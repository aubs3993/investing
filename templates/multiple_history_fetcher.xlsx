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tcher" sheetId="1" state="visible" r:id="rId1"/>
  </sheets>
  <definedNames>
    <definedName name="mh_ticker">Fetcher!$C$6</definedName>
    <definedName name="mh_end_date">Fetcher!$C$7</definedName>
    <definedName name="mh_lookback_yrs">Fetcher!$C$8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;(#,##0);-"/>
    <numFmt numFmtId="166" formatCode="0.0&quot;x&quot;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i val="1"/>
      <color rgb="00808080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164" fontId="4" fillId="2" borderId="1" pivotButton="0" quotePrefix="0" xfId="0"/>
    <xf numFmtId="1" fontId="4" fillId="2" borderId="1" pivotButton="0" quotePrefix="0" xfId="0"/>
    <xf numFmtId="0" fontId="5" fillId="3" borderId="0" applyAlignment="1" pivotButton="0" quotePrefix="0" xfId="0">
      <alignment horizontal="center" vertical="center"/>
    </xf>
    <xf numFmtId="164" fontId="3" fillId="0" borderId="0" pivotButton="0" quotePrefix="0" xfId="0"/>
    <xf numFmtId="2" fontId="6" fillId="0" borderId="0" pivotButton="0" quotePrefix="0" xfId="0"/>
    <xf numFmtId="3" fontId="6" fillId="0" borderId="0" pivotButton="0" quotePrefix="0" xfId="0"/>
    <xf numFmtId="165" fontId="6" fillId="0" borderId="0" pivotButton="0" quotePrefix="0" xfId="0"/>
    <xf numFmtId="165" fontId="7" fillId="0" borderId="0" pivotButton="0" quotePrefix="0" xfId="0"/>
    <xf numFmtId="166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scaffold_multiple_history_fetcher</author>
  </authors>
  <commentList>
    <comment ref="C6" authorId="0" shapeId="0">
      <text>
        <t>Set the ticker you want history for. fetch_multiple_history.py drives this programmatically; you can also change it manually for ad-hoc refreshes.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151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.71" customWidth="1" min="1" max="1"/>
    <col width="12" customWidth="1" min="2" max="2"/>
    <col width="11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2" customWidth="1" min="15" max="15"/>
  </cols>
  <sheetData>
    <row r="2">
      <c r="B2" s="1">
        <f>mh_ticker &amp; " | NTM EV/EBITDA History"</f>
        <v/>
      </c>
    </row>
    <row r="4">
      <c r="B4" s="2" t="inlineStr">
        <is>
          <t>Historical NTM EV/EBITDA Multiple — formulas only. Open in Excel with CapIQ plugin loaded to refresh.</t>
        </is>
      </c>
    </row>
    <row r="5">
      <c r="B5" s="1" t="inlineStr">
        <is>
          <t>Run via:</t>
        </is>
      </c>
      <c r="C5" s="3" t="inlineStr">
        <is>
          <t>python -m companies.scripts.fetch_multiple_history &lt;TICKER&gt;</t>
        </is>
      </c>
    </row>
    <row r="6">
      <c r="B6" s="1" t="inlineStr">
        <is>
          <t>Ticker:</t>
        </is>
      </c>
      <c r="C6" s="4" t="inlineStr">
        <is>
          <t>AAPL</t>
        </is>
      </c>
    </row>
    <row r="7">
      <c r="B7" s="1" t="inlineStr">
        <is>
          <t>End Date:</t>
        </is>
      </c>
      <c r="C7" s="5">
        <f>TODAY()</f>
        <v/>
      </c>
    </row>
    <row r="8">
      <c r="B8" s="1" t="inlineStr">
        <is>
          <t>Lookback Years:</t>
        </is>
      </c>
      <c r="C8" s="6" t="n">
        <v>5</v>
      </c>
    </row>
    <row r="10">
      <c r="B10" s="7" t="inlineStr">
        <is>
          <t>Date</t>
        </is>
      </c>
      <c r="C10" s="7" t="inlineStr">
        <is>
          <t>Stock Price</t>
        </is>
      </c>
      <c r="D10" s="7" t="inlineStr">
        <is>
          <t>Diluted Shares Out</t>
        </is>
      </c>
      <c r="E10" s="7" t="inlineStr">
        <is>
          <t>Cash &amp; Equivalents</t>
        </is>
      </c>
      <c r="F10" s="7" t="inlineStr">
        <is>
          <t>ST Investments</t>
        </is>
      </c>
      <c r="G10" s="7" t="inlineStr">
        <is>
          <t>Total Debt</t>
        </is>
      </c>
      <c r="H10" s="7" t="inlineStr">
        <is>
          <t>Preferred Equity</t>
        </is>
      </c>
      <c r="I10" s="7" t="inlineStr">
        <is>
          <t>Minority Interest</t>
        </is>
      </c>
      <c r="J10" s="7" t="inlineStr">
        <is>
          <t>Equity Investments</t>
        </is>
      </c>
      <c r="K10" s="7" t="inlineStr">
        <is>
          <t>Marketable Securities</t>
        </is>
      </c>
      <c r="L10" s="7" t="inlineStr">
        <is>
          <t>Market Cap</t>
        </is>
      </c>
      <c r="M10" s="7" t="inlineStr">
        <is>
          <t>Enterprise Value</t>
        </is>
      </c>
      <c r="N10" s="7" t="inlineStr">
        <is>
          <t>NTM EBITDA</t>
        </is>
      </c>
      <c r="O10" s="7" t="inlineStr">
        <is>
          <t>NTM EV/EBITDA Multiple</t>
        </is>
      </c>
    </row>
    <row r="11">
      <c r="B11" s="8" t="n"/>
      <c r="C11" s="9">
        <f>IFERROR(_xll.ciqfunctions.udf.CIQ(mh_ticker, "IQ_LASTSALEPRICE", B11), "")</f>
        <v/>
      </c>
      <c r="D11" s="10">
        <f>IFERROR(_xll.ciqfunctions.udf.CIQ(mh_ticker, "IQ_SHARESOUTSTANDING_OUT", B11), "")</f>
        <v/>
      </c>
      <c r="E11" s="11">
        <f>IFERROR(_xll.ciqfunctions.udf.CIQ(mh_ticker, "IQ_CASH_EQUIV", , B11), "")</f>
        <v/>
      </c>
      <c r="F11" s="11">
        <f>IFERROR(_xll.ciqfunctions.udf.CIQ(mh_ticker, "IQ_ST_INVEST", , B11), "")</f>
        <v/>
      </c>
      <c r="G11" s="11">
        <f>IFERROR(_xll.ciqfunctions.udf.CIQ(mh_ticker, "IQ_TOTAL_DEBT_EXCL_OPER_LEASES", , B11), "")</f>
        <v/>
      </c>
      <c r="H11" s="11">
        <f>IFERROR(_xll.ciqfunctions.udf.CIQ(mh_ticker, "IQ_PREF_EQUITY", , B11), "")</f>
        <v/>
      </c>
      <c r="I11" s="11">
        <f>IFERROR(_xll.ciqfunctions.udf.CIQ(mh_ticker, "IQ_MINORITY_INTEREST", , B11), "")</f>
        <v/>
      </c>
      <c r="J11" s="11">
        <f>IFERROR(_xll.ciqfunctions.udf.CIQ(mh_ticker, "IQ_EQUITY_METHOD", , B11), "")</f>
        <v/>
      </c>
      <c r="K11" s="11">
        <f>IFERROR(_xll.ciqfunctions.udf.CIQ(mh_ticker, "IQ_LT_Mark_Securities", , B11), "")</f>
        <v/>
      </c>
      <c r="L11" s="12">
        <f>IFERROR(C11*D11, "")</f>
        <v/>
      </c>
      <c r="M11" s="12">
        <f>IFERROR(L11-E11-F11+G11+H11+I11-J11-K11, "")</f>
        <v/>
      </c>
      <c r="N11" s="11">
        <f>IFERROR(_xll.ciqfunctions.udf.CIQ(mh_ticker, "IQ_EBITDA_EST", IQ_NTM, B11, , , "USD"), "")</f>
        <v/>
      </c>
      <c r="O11" s="13">
        <f>IFERROR(M11/N11, "")</f>
        <v/>
      </c>
    </row>
    <row r="12">
      <c r="B12" s="8" t="n"/>
      <c r="C12" s="9">
        <f>IFERROR(_xll.ciqfunctions.udf.CIQ(mh_ticker, "IQ_LASTSALEPRICE", B12), "")</f>
        <v/>
      </c>
      <c r="D12" s="10">
        <f>IFERROR(_xll.ciqfunctions.udf.CIQ(mh_ticker, "IQ_SHARESOUTSTANDING_OUT", B12), "")</f>
        <v/>
      </c>
      <c r="E12" s="11">
        <f>IFERROR(_xll.ciqfunctions.udf.CIQ(mh_ticker, "IQ_CASH_EQUIV", , B12), "")</f>
        <v/>
      </c>
      <c r="F12" s="11">
        <f>IFERROR(_xll.ciqfunctions.udf.CIQ(mh_ticker, "IQ_ST_INVEST", , B12), "")</f>
        <v/>
      </c>
      <c r="G12" s="11">
        <f>IFERROR(_xll.ciqfunctions.udf.CIQ(mh_ticker, "IQ_TOTAL_DEBT_EXCL_OPER_LEASES", , B12), "")</f>
        <v/>
      </c>
      <c r="H12" s="11">
        <f>IFERROR(_xll.ciqfunctions.udf.CIQ(mh_ticker, "IQ_PREF_EQUITY", , B12), "")</f>
        <v/>
      </c>
      <c r="I12" s="11">
        <f>IFERROR(_xll.ciqfunctions.udf.CIQ(mh_ticker, "IQ_MINORITY_INTEREST", , B12), "")</f>
        <v/>
      </c>
      <c r="J12" s="11">
        <f>IFERROR(_xll.ciqfunctions.udf.CIQ(mh_ticker, "IQ_EQUITY_METHOD", , B12), "")</f>
        <v/>
      </c>
      <c r="K12" s="11">
        <f>IFERROR(_xll.ciqfunctions.udf.CIQ(mh_ticker, "IQ_LT_Mark_Securities", , B12), "")</f>
        <v/>
      </c>
      <c r="L12" s="12">
        <f>IFERROR(C12*D12, "")</f>
        <v/>
      </c>
      <c r="M12" s="12">
        <f>IFERROR(L12-E12-F12+G12+H12+I12-J12-K12, "")</f>
        <v/>
      </c>
      <c r="N12" s="11">
        <f>IFERROR(_xll.ciqfunctions.udf.CIQ(mh_ticker, "IQ_EBITDA_EST", IQ_NTM, B12, , , "USD"), "")</f>
        <v/>
      </c>
      <c r="O12" s="13">
        <f>IFERROR(M12/N12, "")</f>
        <v/>
      </c>
    </row>
    <row r="13">
      <c r="B13" s="8" t="n"/>
      <c r="C13" s="9">
        <f>IFERROR(_xll.ciqfunctions.udf.CIQ(mh_ticker, "IQ_LASTSALEPRICE", B13), "")</f>
        <v/>
      </c>
      <c r="D13" s="10">
        <f>IFERROR(_xll.ciqfunctions.udf.CIQ(mh_ticker, "IQ_SHARESOUTSTANDING_OUT", B13), "")</f>
        <v/>
      </c>
      <c r="E13" s="11">
        <f>IFERROR(_xll.ciqfunctions.udf.CIQ(mh_ticker, "IQ_CASH_EQUIV", , B13), "")</f>
        <v/>
      </c>
      <c r="F13" s="11">
        <f>IFERROR(_xll.ciqfunctions.udf.CIQ(mh_ticker, "IQ_ST_INVEST", , B13), "")</f>
        <v/>
      </c>
      <c r="G13" s="11">
        <f>IFERROR(_xll.ciqfunctions.udf.CIQ(mh_ticker, "IQ_TOTAL_DEBT_EXCL_OPER_LEASES", , B13), "")</f>
        <v/>
      </c>
      <c r="H13" s="11">
        <f>IFERROR(_xll.ciqfunctions.udf.CIQ(mh_ticker, "IQ_PREF_EQUITY", , B13), "")</f>
        <v/>
      </c>
      <c r="I13" s="11">
        <f>IFERROR(_xll.ciqfunctions.udf.CIQ(mh_ticker, "IQ_MINORITY_INTEREST", , B13), "")</f>
        <v/>
      </c>
      <c r="J13" s="11">
        <f>IFERROR(_xll.ciqfunctions.udf.CIQ(mh_ticker, "IQ_EQUITY_METHOD", , B13), "")</f>
        <v/>
      </c>
      <c r="K13" s="11">
        <f>IFERROR(_xll.ciqfunctions.udf.CIQ(mh_ticker, "IQ_LT_Mark_Securities", , B13), "")</f>
        <v/>
      </c>
      <c r="L13" s="12">
        <f>IFERROR(C13*D13, "")</f>
        <v/>
      </c>
      <c r="M13" s="12">
        <f>IFERROR(L13-E13-F13+G13+H13+I13-J13-K13, "")</f>
        <v/>
      </c>
      <c r="N13" s="11">
        <f>IFERROR(_xll.ciqfunctions.udf.CIQ(mh_ticker, "IQ_EBITDA_EST", IQ_NTM, B13, , , "USD"), "")</f>
        <v/>
      </c>
      <c r="O13" s="13">
        <f>IFERROR(M13/N13, "")</f>
        <v/>
      </c>
    </row>
    <row r="14">
      <c r="B14" s="8" t="n"/>
      <c r="C14" s="9">
        <f>IFERROR(_xll.ciqfunctions.udf.CIQ(mh_ticker, "IQ_LASTSALEPRICE", B14), "")</f>
        <v/>
      </c>
      <c r="D14" s="10">
        <f>IFERROR(_xll.ciqfunctions.udf.CIQ(mh_ticker, "IQ_SHARESOUTSTANDING_OUT", B14), "")</f>
        <v/>
      </c>
      <c r="E14" s="11">
        <f>IFERROR(_xll.ciqfunctions.udf.CIQ(mh_ticker, "IQ_CASH_EQUIV", , B14), "")</f>
        <v/>
      </c>
      <c r="F14" s="11">
        <f>IFERROR(_xll.ciqfunctions.udf.CIQ(mh_ticker, "IQ_ST_INVEST", , B14), "")</f>
        <v/>
      </c>
      <c r="G14" s="11">
        <f>IFERROR(_xll.ciqfunctions.udf.CIQ(mh_ticker, "IQ_TOTAL_DEBT_EXCL_OPER_LEASES", , B14), "")</f>
        <v/>
      </c>
      <c r="H14" s="11">
        <f>IFERROR(_xll.ciqfunctions.udf.CIQ(mh_ticker, "IQ_PREF_EQUITY", , B14), "")</f>
        <v/>
      </c>
      <c r="I14" s="11">
        <f>IFERROR(_xll.ciqfunctions.udf.CIQ(mh_ticker, "IQ_MINORITY_INTEREST", , B14), "")</f>
        <v/>
      </c>
      <c r="J14" s="11">
        <f>IFERROR(_xll.ciqfunctions.udf.CIQ(mh_ticker, "IQ_EQUITY_METHOD", , B14), "")</f>
        <v/>
      </c>
      <c r="K14" s="11">
        <f>IFERROR(_xll.ciqfunctions.udf.CIQ(mh_ticker, "IQ_LT_Mark_Securities", , B14), "")</f>
        <v/>
      </c>
      <c r="L14" s="12">
        <f>IFERROR(C14*D14, "")</f>
        <v/>
      </c>
      <c r="M14" s="12">
        <f>IFERROR(L14-E14-F14+G14+H14+I14-J14-K14, "")</f>
        <v/>
      </c>
      <c r="N14" s="11">
        <f>IFERROR(_xll.ciqfunctions.udf.CIQ(mh_ticker, "IQ_EBITDA_EST", IQ_NTM, B14, , , "USD"), "")</f>
        <v/>
      </c>
      <c r="O14" s="13">
        <f>IFERROR(M14/N14, "")</f>
        <v/>
      </c>
    </row>
    <row r="15">
      <c r="B15" s="8" t="n"/>
      <c r="C15" s="9">
        <f>IFERROR(_xll.ciqfunctions.udf.CIQ(mh_ticker, "IQ_LASTSALEPRICE", B15), "")</f>
        <v/>
      </c>
      <c r="D15" s="10">
        <f>IFERROR(_xll.ciqfunctions.udf.CIQ(mh_ticker, "IQ_SHARESOUTSTANDING_OUT", B15), "")</f>
        <v/>
      </c>
      <c r="E15" s="11">
        <f>IFERROR(_xll.ciqfunctions.udf.CIQ(mh_ticker, "IQ_CASH_EQUIV", , B15), "")</f>
        <v/>
      </c>
      <c r="F15" s="11">
        <f>IFERROR(_xll.ciqfunctions.udf.CIQ(mh_ticker, "IQ_ST_INVEST", , B15), "")</f>
        <v/>
      </c>
      <c r="G15" s="11">
        <f>IFERROR(_xll.ciqfunctions.udf.CIQ(mh_ticker, "IQ_TOTAL_DEBT_EXCL_OPER_LEASES", , B15), "")</f>
        <v/>
      </c>
      <c r="H15" s="11">
        <f>IFERROR(_xll.ciqfunctions.udf.CIQ(mh_ticker, "IQ_PREF_EQUITY", , B15), "")</f>
        <v/>
      </c>
      <c r="I15" s="11">
        <f>IFERROR(_xll.ciqfunctions.udf.CIQ(mh_ticker, "IQ_MINORITY_INTEREST", , B15), "")</f>
        <v/>
      </c>
      <c r="J15" s="11">
        <f>IFERROR(_xll.ciqfunctions.udf.CIQ(mh_ticker, "IQ_EQUITY_METHOD", , B15), "")</f>
        <v/>
      </c>
      <c r="K15" s="11">
        <f>IFERROR(_xll.ciqfunctions.udf.CIQ(mh_ticker, "IQ_LT_Mark_Securities", , B15), "")</f>
        <v/>
      </c>
      <c r="L15" s="12">
        <f>IFERROR(C15*D15, "")</f>
        <v/>
      </c>
      <c r="M15" s="12">
        <f>IFERROR(L15-E15-F15+G15+H15+I15-J15-K15, "")</f>
        <v/>
      </c>
      <c r="N15" s="11">
        <f>IFERROR(_xll.ciqfunctions.udf.CIQ(mh_ticker, "IQ_EBITDA_EST", IQ_NTM, B15, , , "USD"), "")</f>
        <v/>
      </c>
      <c r="O15" s="13">
        <f>IFERROR(M15/N15, "")</f>
        <v/>
      </c>
    </row>
    <row r="16">
      <c r="B16" s="8" t="n"/>
      <c r="C16" s="9">
        <f>IFERROR(_xll.ciqfunctions.udf.CIQ(mh_ticker, "IQ_LASTSALEPRICE", B16), "")</f>
        <v/>
      </c>
      <c r="D16" s="10">
        <f>IFERROR(_xll.ciqfunctions.udf.CIQ(mh_ticker, "IQ_SHARESOUTSTANDING_OUT", B16), "")</f>
        <v/>
      </c>
      <c r="E16" s="11">
        <f>IFERROR(_xll.ciqfunctions.udf.CIQ(mh_ticker, "IQ_CASH_EQUIV", , B16), "")</f>
        <v/>
      </c>
      <c r="F16" s="11">
        <f>IFERROR(_xll.ciqfunctions.udf.CIQ(mh_ticker, "IQ_ST_INVEST", , B16), "")</f>
        <v/>
      </c>
      <c r="G16" s="11">
        <f>IFERROR(_xll.ciqfunctions.udf.CIQ(mh_ticker, "IQ_TOTAL_DEBT_EXCL_OPER_LEASES", , B16), "")</f>
        <v/>
      </c>
      <c r="H16" s="11">
        <f>IFERROR(_xll.ciqfunctions.udf.CIQ(mh_ticker, "IQ_PREF_EQUITY", , B16), "")</f>
        <v/>
      </c>
      <c r="I16" s="11">
        <f>IFERROR(_xll.ciqfunctions.udf.CIQ(mh_ticker, "IQ_MINORITY_INTEREST", , B16), "")</f>
        <v/>
      </c>
      <c r="J16" s="11">
        <f>IFERROR(_xll.ciqfunctions.udf.CIQ(mh_ticker, "IQ_EQUITY_METHOD", , B16), "")</f>
        <v/>
      </c>
      <c r="K16" s="11">
        <f>IFERROR(_xll.ciqfunctions.udf.CIQ(mh_ticker, "IQ_LT_Mark_Securities", , B16), "")</f>
        <v/>
      </c>
      <c r="L16" s="12">
        <f>IFERROR(C16*D16, "")</f>
        <v/>
      </c>
      <c r="M16" s="12">
        <f>IFERROR(L16-E16-F16+G16+H16+I16-J16-K16, "")</f>
        <v/>
      </c>
      <c r="N16" s="11">
        <f>IFERROR(_xll.ciqfunctions.udf.CIQ(mh_ticker, "IQ_EBITDA_EST", IQ_NTM, B16, , , "USD"), "")</f>
        <v/>
      </c>
      <c r="O16" s="13">
        <f>IFERROR(M16/N16, "")</f>
        <v/>
      </c>
    </row>
    <row r="17">
      <c r="B17" s="8" t="n"/>
      <c r="C17" s="9">
        <f>IFERROR(_xll.ciqfunctions.udf.CIQ(mh_ticker, "IQ_LASTSALEPRICE", B17), "")</f>
        <v/>
      </c>
      <c r="D17" s="10">
        <f>IFERROR(_xll.ciqfunctions.udf.CIQ(mh_ticker, "IQ_SHARESOUTSTANDING_OUT", B17), "")</f>
        <v/>
      </c>
      <c r="E17" s="11">
        <f>IFERROR(_xll.ciqfunctions.udf.CIQ(mh_ticker, "IQ_CASH_EQUIV", , B17), "")</f>
        <v/>
      </c>
      <c r="F17" s="11">
        <f>IFERROR(_xll.ciqfunctions.udf.CIQ(mh_ticker, "IQ_ST_INVEST", , B17), "")</f>
        <v/>
      </c>
      <c r="G17" s="11">
        <f>IFERROR(_xll.ciqfunctions.udf.CIQ(mh_ticker, "IQ_TOTAL_DEBT_EXCL_OPER_LEASES", , B17), "")</f>
        <v/>
      </c>
      <c r="H17" s="11">
        <f>IFERROR(_xll.ciqfunctions.udf.CIQ(mh_ticker, "IQ_PREF_EQUITY", , B17), "")</f>
        <v/>
      </c>
      <c r="I17" s="11">
        <f>IFERROR(_xll.ciqfunctions.udf.CIQ(mh_ticker, "IQ_MINORITY_INTEREST", , B17), "")</f>
        <v/>
      </c>
      <c r="J17" s="11">
        <f>IFERROR(_xll.ciqfunctions.udf.CIQ(mh_ticker, "IQ_EQUITY_METHOD", , B17), "")</f>
        <v/>
      </c>
      <c r="K17" s="11">
        <f>IFERROR(_xll.ciqfunctions.udf.CIQ(mh_ticker, "IQ_LT_Mark_Securities", , B17), "")</f>
        <v/>
      </c>
      <c r="L17" s="12">
        <f>IFERROR(C17*D17, "")</f>
        <v/>
      </c>
      <c r="M17" s="12">
        <f>IFERROR(L17-E17-F17+G17+H17+I17-J17-K17, "")</f>
        <v/>
      </c>
      <c r="N17" s="11">
        <f>IFERROR(_xll.ciqfunctions.udf.CIQ(mh_ticker, "IQ_EBITDA_EST", IQ_NTM, B17, , , "USD"), "")</f>
        <v/>
      </c>
      <c r="O17" s="13">
        <f>IFERROR(M17/N17, "")</f>
        <v/>
      </c>
    </row>
    <row r="18">
      <c r="B18" s="8" t="n"/>
      <c r="C18" s="9">
        <f>IFERROR(_xll.ciqfunctions.udf.CIQ(mh_ticker, "IQ_LASTSALEPRICE", B18), "")</f>
        <v/>
      </c>
      <c r="D18" s="10">
        <f>IFERROR(_xll.ciqfunctions.udf.CIQ(mh_ticker, "IQ_SHARESOUTSTANDING_OUT", B18), "")</f>
        <v/>
      </c>
      <c r="E18" s="11">
        <f>IFERROR(_xll.ciqfunctions.udf.CIQ(mh_ticker, "IQ_CASH_EQUIV", , B18), "")</f>
        <v/>
      </c>
      <c r="F18" s="11">
        <f>IFERROR(_xll.ciqfunctions.udf.CIQ(mh_ticker, "IQ_ST_INVEST", , B18), "")</f>
        <v/>
      </c>
      <c r="G18" s="11">
        <f>IFERROR(_xll.ciqfunctions.udf.CIQ(mh_ticker, "IQ_TOTAL_DEBT_EXCL_OPER_LEASES", , B18), "")</f>
        <v/>
      </c>
      <c r="H18" s="11">
        <f>IFERROR(_xll.ciqfunctions.udf.CIQ(mh_ticker, "IQ_PREF_EQUITY", , B18), "")</f>
        <v/>
      </c>
      <c r="I18" s="11">
        <f>IFERROR(_xll.ciqfunctions.udf.CIQ(mh_ticker, "IQ_MINORITY_INTEREST", , B18), "")</f>
        <v/>
      </c>
      <c r="J18" s="11">
        <f>IFERROR(_xll.ciqfunctions.udf.CIQ(mh_ticker, "IQ_EQUITY_METHOD", , B18), "")</f>
        <v/>
      </c>
      <c r="K18" s="11">
        <f>IFERROR(_xll.ciqfunctions.udf.CIQ(mh_ticker, "IQ_LT_Mark_Securities", , B18), "")</f>
        <v/>
      </c>
      <c r="L18" s="12">
        <f>IFERROR(C18*D18, "")</f>
        <v/>
      </c>
      <c r="M18" s="12">
        <f>IFERROR(L18-E18-F18+G18+H18+I18-J18-K18, "")</f>
        <v/>
      </c>
      <c r="N18" s="11">
        <f>IFERROR(_xll.ciqfunctions.udf.CIQ(mh_ticker, "IQ_EBITDA_EST", IQ_NTM, B18, , , "USD"), "")</f>
        <v/>
      </c>
      <c r="O18" s="13">
        <f>IFERROR(M18/N18, "")</f>
        <v/>
      </c>
    </row>
    <row r="19">
      <c r="B19" s="8" t="n"/>
      <c r="C19" s="9">
        <f>IFERROR(_xll.ciqfunctions.udf.CIQ(mh_ticker, "IQ_LASTSALEPRICE", B19), "")</f>
        <v/>
      </c>
      <c r="D19" s="10">
        <f>IFERROR(_xll.ciqfunctions.udf.CIQ(mh_ticker, "IQ_SHARESOUTSTANDING_OUT", B19), "")</f>
        <v/>
      </c>
      <c r="E19" s="11">
        <f>IFERROR(_xll.ciqfunctions.udf.CIQ(mh_ticker, "IQ_CASH_EQUIV", , B19), "")</f>
        <v/>
      </c>
      <c r="F19" s="11">
        <f>IFERROR(_xll.ciqfunctions.udf.CIQ(mh_ticker, "IQ_ST_INVEST", , B19), "")</f>
        <v/>
      </c>
      <c r="G19" s="11">
        <f>IFERROR(_xll.ciqfunctions.udf.CIQ(mh_ticker, "IQ_TOTAL_DEBT_EXCL_OPER_LEASES", , B19), "")</f>
        <v/>
      </c>
      <c r="H19" s="11">
        <f>IFERROR(_xll.ciqfunctions.udf.CIQ(mh_ticker, "IQ_PREF_EQUITY", , B19), "")</f>
        <v/>
      </c>
      <c r="I19" s="11">
        <f>IFERROR(_xll.ciqfunctions.udf.CIQ(mh_ticker, "IQ_MINORITY_INTEREST", , B19), "")</f>
        <v/>
      </c>
      <c r="J19" s="11">
        <f>IFERROR(_xll.ciqfunctions.udf.CIQ(mh_ticker, "IQ_EQUITY_METHOD", , B19), "")</f>
        <v/>
      </c>
      <c r="K19" s="11">
        <f>IFERROR(_xll.ciqfunctions.udf.CIQ(mh_ticker, "IQ_LT_Mark_Securities", , B19), "")</f>
        <v/>
      </c>
      <c r="L19" s="12">
        <f>IFERROR(C19*D19, "")</f>
        <v/>
      </c>
      <c r="M19" s="12">
        <f>IFERROR(L19-E19-F19+G19+H19+I19-J19-K19, "")</f>
        <v/>
      </c>
      <c r="N19" s="11">
        <f>IFERROR(_xll.ciqfunctions.udf.CIQ(mh_ticker, "IQ_EBITDA_EST", IQ_NTM, B19, , , "USD"), "")</f>
        <v/>
      </c>
      <c r="O19" s="13">
        <f>IFERROR(M19/N19, "")</f>
        <v/>
      </c>
    </row>
    <row r="20">
      <c r="B20" s="8" t="n"/>
      <c r="C20" s="9">
        <f>IFERROR(_xll.ciqfunctions.udf.CIQ(mh_ticker, "IQ_LASTSALEPRICE", B20), "")</f>
        <v/>
      </c>
      <c r="D20" s="10">
        <f>IFERROR(_xll.ciqfunctions.udf.CIQ(mh_ticker, "IQ_SHARESOUTSTANDING_OUT", B20), "")</f>
        <v/>
      </c>
      <c r="E20" s="11">
        <f>IFERROR(_xll.ciqfunctions.udf.CIQ(mh_ticker, "IQ_CASH_EQUIV", , B20), "")</f>
        <v/>
      </c>
      <c r="F20" s="11">
        <f>IFERROR(_xll.ciqfunctions.udf.CIQ(mh_ticker, "IQ_ST_INVEST", , B20), "")</f>
        <v/>
      </c>
      <c r="G20" s="11">
        <f>IFERROR(_xll.ciqfunctions.udf.CIQ(mh_ticker, "IQ_TOTAL_DEBT_EXCL_OPER_LEASES", , B20), "")</f>
        <v/>
      </c>
      <c r="H20" s="11">
        <f>IFERROR(_xll.ciqfunctions.udf.CIQ(mh_ticker, "IQ_PREF_EQUITY", , B20), "")</f>
        <v/>
      </c>
      <c r="I20" s="11">
        <f>IFERROR(_xll.ciqfunctions.udf.CIQ(mh_ticker, "IQ_MINORITY_INTEREST", , B20), "")</f>
        <v/>
      </c>
      <c r="J20" s="11">
        <f>IFERROR(_xll.ciqfunctions.udf.CIQ(mh_ticker, "IQ_EQUITY_METHOD", , B20), "")</f>
        <v/>
      </c>
      <c r="K20" s="11">
        <f>IFERROR(_xll.ciqfunctions.udf.CIQ(mh_ticker, "IQ_LT_Mark_Securities", , B20), "")</f>
        <v/>
      </c>
      <c r="L20" s="12">
        <f>IFERROR(C20*D20, "")</f>
        <v/>
      </c>
      <c r="M20" s="12">
        <f>IFERROR(L20-E20-F20+G20+H20+I20-J20-K20, "")</f>
        <v/>
      </c>
      <c r="N20" s="11">
        <f>IFERROR(_xll.ciqfunctions.udf.CIQ(mh_ticker, "IQ_EBITDA_EST", IQ_NTM, B20, , , "USD"), "")</f>
        <v/>
      </c>
      <c r="O20" s="13">
        <f>IFERROR(M20/N20, "")</f>
        <v/>
      </c>
    </row>
    <row r="21">
      <c r="B21" s="8" t="n"/>
      <c r="C21" s="9">
        <f>IFERROR(_xll.ciqfunctions.udf.CIQ(mh_ticker, "IQ_LASTSALEPRICE", B21), "")</f>
        <v/>
      </c>
      <c r="D21" s="10">
        <f>IFERROR(_xll.ciqfunctions.udf.CIQ(mh_ticker, "IQ_SHARESOUTSTANDING_OUT", B21), "")</f>
        <v/>
      </c>
      <c r="E21" s="11">
        <f>IFERROR(_xll.ciqfunctions.udf.CIQ(mh_ticker, "IQ_CASH_EQUIV", , B21), "")</f>
        <v/>
      </c>
      <c r="F21" s="11">
        <f>IFERROR(_xll.ciqfunctions.udf.CIQ(mh_ticker, "IQ_ST_INVEST", , B21), "")</f>
        <v/>
      </c>
      <c r="G21" s="11">
        <f>IFERROR(_xll.ciqfunctions.udf.CIQ(mh_ticker, "IQ_TOTAL_DEBT_EXCL_OPER_LEASES", , B21), "")</f>
        <v/>
      </c>
      <c r="H21" s="11">
        <f>IFERROR(_xll.ciqfunctions.udf.CIQ(mh_ticker, "IQ_PREF_EQUITY", , B21), "")</f>
        <v/>
      </c>
      <c r="I21" s="11">
        <f>IFERROR(_xll.ciqfunctions.udf.CIQ(mh_ticker, "IQ_MINORITY_INTEREST", , B21), "")</f>
        <v/>
      </c>
      <c r="J21" s="11">
        <f>IFERROR(_xll.ciqfunctions.udf.CIQ(mh_ticker, "IQ_EQUITY_METHOD", , B21), "")</f>
        <v/>
      </c>
      <c r="K21" s="11">
        <f>IFERROR(_xll.ciqfunctions.udf.CIQ(mh_ticker, "IQ_LT_Mark_Securities", , B21), "")</f>
        <v/>
      </c>
      <c r="L21" s="12">
        <f>IFERROR(C21*D21, "")</f>
        <v/>
      </c>
      <c r="M21" s="12">
        <f>IFERROR(L21-E21-F21+G21+H21+I21-J21-K21, "")</f>
        <v/>
      </c>
      <c r="N21" s="11">
        <f>IFERROR(_xll.ciqfunctions.udf.CIQ(mh_ticker, "IQ_EBITDA_EST", IQ_NTM, B21, , , "USD"), "")</f>
        <v/>
      </c>
      <c r="O21" s="13">
        <f>IFERROR(M21/N21, "")</f>
        <v/>
      </c>
    </row>
    <row r="22">
      <c r="B22" s="8" t="n"/>
      <c r="C22" s="9">
        <f>IFERROR(_xll.ciqfunctions.udf.CIQ(mh_ticker, "IQ_LASTSALEPRICE", B22), "")</f>
        <v/>
      </c>
      <c r="D22" s="10">
        <f>IFERROR(_xll.ciqfunctions.udf.CIQ(mh_ticker, "IQ_SHARESOUTSTANDING_OUT", B22), "")</f>
        <v/>
      </c>
      <c r="E22" s="11">
        <f>IFERROR(_xll.ciqfunctions.udf.CIQ(mh_ticker, "IQ_CASH_EQUIV", , B22), "")</f>
        <v/>
      </c>
      <c r="F22" s="11">
        <f>IFERROR(_xll.ciqfunctions.udf.CIQ(mh_ticker, "IQ_ST_INVEST", , B22), "")</f>
        <v/>
      </c>
      <c r="G22" s="11">
        <f>IFERROR(_xll.ciqfunctions.udf.CIQ(mh_ticker, "IQ_TOTAL_DEBT_EXCL_OPER_LEASES", , B22), "")</f>
        <v/>
      </c>
      <c r="H22" s="11">
        <f>IFERROR(_xll.ciqfunctions.udf.CIQ(mh_ticker, "IQ_PREF_EQUITY", , B22), "")</f>
        <v/>
      </c>
      <c r="I22" s="11">
        <f>IFERROR(_xll.ciqfunctions.udf.CIQ(mh_ticker, "IQ_MINORITY_INTEREST", , B22), "")</f>
        <v/>
      </c>
      <c r="J22" s="11">
        <f>IFERROR(_xll.ciqfunctions.udf.CIQ(mh_ticker, "IQ_EQUITY_METHOD", , B22), "")</f>
        <v/>
      </c>
      <c r="K22" s="11">
        <f>IFERROR(_xll.ciqfunctions.udf.CIQ(mh_ticker, "IQ_LT_Mark_Securities", , B22), "")</f>
        <v/>
      </c>
      <c r="L22" s="12">
        <f>IFERROR(C22*D22, "")</f>
        <v/>
      </c>
      <c r="M22" s="12">
        <f>IFERROR(L22-E22-F22+G22+H22+I22-J22-K22, "")</f>
        <v/>
      </c>
      <c r="N22" s="11">
        <f>IFERROR(_xll.ciqfunctions.udf.CIQ(mh_ticker, "IQ_EBITDA_EST", IQ_NTM, B22, , , "USD"), "")</f>
        <v/>
      </c>
      <c r="O22" s="13">
        <f>IFERROR(M22/N22, "")</f>
        <v/>
      </c>
    </row>
    <row r="23">
      <c r="B23" s="8" t="n"/>
      <c r="C23" s="9">
        <f>IFERROR(_xll.ciqfunctions.udf.CIQ(mh_ticker, "IQ_LASTSALEPRICE", B23), "")</f>
        <v/>
      </c>
      <c r="D23" s="10">
        <f>IFERROR(_xll.ciqfunctions.udf.CIQ(mh_ticker, "IQ_SHARESOUTSTANDING_OUT", B23), "")</f>
        <v/>
      </c>
      <c r="E23" s="11">
        <f>IFERROR(_xll.ciqfunctions.udf.CIQ(mh_ticker, "IQ_CASH_EQUIV", , B23), "")</f>
        <v/>
      </c>
      <c r="F23" s="11">
        <f>IFERROR(_xll.ciqfunctions.udf.CIQ(mh_ticker, "IQ_ST_INVEST", , B23), "")</f>
        <v/>
      </c>
      <c r="G23" s="11">
        <f>IFERROR(_xll.ciqfunctions.udf.CIQ(mh_ticker, "IQ_TOTAL_DEBT_EXCL_OPER_LEASES", , B23), "")</f>
        <v/>
      </c>
      <c r="H23" s="11">
        <f>IFERROR(_xll.ciqfunctions.udf.CIQ(mh_ticker, "IQ_PREF_EQUITY", , B23), "")</f>
        <v/>
      </c>
      <c r="I23" s="11">
        <f>IFERROR(_xll.ciqfunctions.udf.CIQ(mh_ticker, "IQ_MINORITY_INTEREST", , B23), "")</f>
        <v/>
      </c>
      <c r="J23" s="11">
        <f>IFERROR(_xll.ciqfunctions.udf.CIQ(mh_ticker, "IQ_EQUITY_METHOD", , B23), "")</f>
        <v/>
      </c>
      <c r="K23" s="11">
        <f>IFERROR(_xll.ciqfunctions.udf.CIQ(mh_ticker, "IQ_LT_Mark_Securities", , B23), "")</f>
        <v/>
      </c>
      <c r="L23" s="12">
        <f>IFERROR(C23*D23, "")</f>
        <v/>
      </c>
      <c r="M23" s="12">
        <f>IFERROR(L23-E23-F23+G23+H23+I23-J23-K23, "")</f>
        <v/>
      </c>
      <c r="N23" s="11">
        <f>IFERROR(_xll.ciqfunctions.udf.CIQ(mh_ticker, "IQ_EBITDA_EST", IQ_NTM, B23, , , "USD"), "")</f>
        <v/>
      </c>
      <c r="O23" s="13">
        <f>IFERROR(M23/N23, "")</f>
        <v/>
      </c>
    </row>
    <row r="24">
      <c r="B24" s="8" t="n"/>
      <c r="C24" s="9">
        <f>IFERROR(_xll.ciqfunctions.udf.CIQ(mh_ticker, "IQ_LASTSALEPRICE", B24), "")</f>
        <v/>
      </c>
      <c r="D24" s="10">
        <f>IFERROR(_xll.ciqfunctions.udf.CIQ(mh_ticker, "IQ_SHARESOUTSTANDING_OUT", B24), "")</f>
        <v/>
      </c>
      <c r="E24" s="11">
        <f>IFERROR(_xll.ciqfunctions.udf.CIQ(mh_ticker, "IQ_CASH_EQUIV", , B24), "")</f>
        <v/>
      </c>
      <c r="F24" s="11">
        <f>IFERROR(_xll.ciqfunctions.udf.CIQ(mh_ticker, "IQ_ST_INVEST", , B24), "")</f>
        <v/>
      </c>
      <c r="G24" s="11">
        <f>IFERROR(_xll.ciqfunctions.udf.CIQ(mh_ticker, "IQ_TOTAL_DEBT_EXCL_OPER_LEASES", , B24), "")</f>
        <v/>
      </c>
      <c r="H24" s="11">
        <f>IFERROR(_xll.ciqfunctions.udf.CIQ(mh_ticker, "IQ_PREF_EQUITY", , B24), "")</f>
        <v/>
      </c>
      <c r="I24" s="11">
        <f>IFERROR(_xll.ciqfunctions.udf.CIQ(mh_ticker, "IQ_MINORITY_INTEREST", , B24), "")</f>
        <v/>
      </c>
      <c r="J24" s="11">
        <f>IFERROR(_xll.ciqfunctions.udf.CIQ(mh_ticker, "IQ_EQUITY_METHOD", , B24), "")</f>
        <v/>
      </c>
      <c r="K24" s="11">
        <f>IFERROR(_xll.ciqfunctions.udf.CIQ(mh_ticker, "IQ_LT_Mark_Securities", , B24), "")</f>
        <v/>
      </c>
      <c r="L24" s="12">
        <f>IFERROR(C24*D24, "")</f>
        <v/>
      </c>
      <c r="M24" s="12">
        <f>IFERROR(L24-E24-F24+G24+H24+I24-J24-K24, "")</f>
        <v/>
      </c>
      <c r="N24" s="11">
        <f>IFERROR(_xll.ciqfunctions.udf.CIQ(mh_ticker, "IQ_EBITDA_EST", IQ_NTM, B24, , , "USD"), "")</f>
        <v/>
      </c>
      <c r="O24" s="13">
        <f>IFERROR(M24/N24, "")</f>
        <v/>
      </c>
    </row>
    <row r="25">
      <c r="B25" s="8" t="n"/>
      <c r="C25" s="9">
        <f>IFERROR(_xll.ciqfunctions.udf.CIQ(mh_ticker, "IQ_LASTSALEPRICE", B25), "")</f>
        <v/>
      </c>
      <c r="D25" s="10">
        <f>IFERROR(_xll.ciqfunctions.udf.CIQ(mh_ticker, "IQ_SHARESOUTSTANDING_OUT", B25), "")</f>
        <v/>
      </c>
      <c r="E25" s="11">
        <f>IFERROR(_xll.ciqfunctions.udf.CIQ(mh_ticker, "IQ_CASH_EQUIV", , B25), "")</f>
        <v/>
      </c>
      <c r="F25" s="11">
        <f>IFERROR(_xll.ciqfunctions.udf.CIQ(mh_ticker, "IQ_ST_INVEST", , B25), "")</f>
        <v/>
      </c>
      <c r="G25" s="11">
        <f>IFERROR(_xll.ciqfunctions.udf.CIQ(mh_ticker, "IQ_TOTAL_DEBT_EXCL_OPER_LEASES", , B25), "")</f>
        <v/>
      </c>
      <c r="H25" s="11">
        <f>IFERROR(_xll.ciqfunctions.udf.CIQ(mh_ticker, "IQ_PREF_EQUITY", , B25), "")</f>
        <v/>
      </c>
      <c r="I25" s="11">
        <f>IFERROR(_xll.ciqfunctions.udf.CIQ(mh_ticker, "IQ_MINORITY_INTEREST", , B25), "")</f>
        <v/>
      </c>
      <c r="J25" s="11">
        <f>IFERROR(_xll.ciqfunctions.udf.CIQ(mh_ticker, "IQ_EQUITY_METHOD", , B25), "")</f>
        <v/>
      </c>
      <c r="K25" s="11">
        <f>IFERROR(_xll.ciqfunctions.udf.CIQ(mh_ticker, "IQ_LT_Mark_Securities", , B25), "")</f>
        <v/>
      </c>
      <c r="L25" s="12">
        <f>IFERROR(C25*D25, "")</f>
        <v/>
      </c>
      <c r="M25" s="12">
        <f>IFERROR(L25-E25-F25+G25+H25+I25-J25-K25, "")</f>
        <v/>
      </c>
      <c r="N25" s="11">
        <f>IFERROR(_xll.ciqfunctions.udf.CIQ(mh_ticker, "IQ_EBITDA_EST", IQ_NTM, B25, , , "USD"), "")</f>
        <v/>
      </c>
      <c r="O25" s="13">
        <f>IFERROR(M25/N25, "")</f>
        <v/>
      </c>
    </row>
    <row r="26">
      <c r="B26" s="8" t="n"/>
      <c r="C26" s="9">
        <f>IFERROR(_xll.ciqfunctions.udf.CIQ(mh_ticker, "IQ_LASTSALEPRICE", B26), "")</f>
        <v/>
      </c>
      <c r="D26" s="10">
        <f>IFERROR(_xll.ciqfunctions.udf.CIQ(mh_ticker, "IQ_SHARESOUTSTANDING_OUT", B26), "")</f>
        <v/>
      </c>
      <c r="E26" s="11">
        <f>IFERROR(_xll.ciqfunctions.udf.CIQ(mh_ticker, "IQ_CASH_EQUIV", , B26), "")</f>
        <v/>
      </c>
      <c r="F26" s="11">
        <f>IFERROR(_xll.ciqfunctions.udf.CIQ(mh_ticker, "IQ_ST_INVEST", , B26), "")</f>
        <v/>
      </c>
      <c r="G26" s="11">
        <f>IFERROR(_xll.ciqfunctions.udf.CIQ(mh_ticker, "IQ_TOTAL_DEBT_EXCL_OPER_LEASES", , B26), "")</f>
        <v/>
      </c>
      <c r="H26" s="11">
        <f>IFERROR(_xll.ciqfunctions.udf.CIQ(mh_ticker, "IQ_PREF_EQUITY", , B26), "")</f>
        <v/>
      </c>
      <c r="I26" s="11">
        <f>IFERROR(_xll.ciqfunctions.udf.CIQ(mh_ticker, "IQ_MINORITY_INTEREST", , B26), "")</f>
        <v/>
      </c>
      <c r="J26" s="11">
        <f>IFERROR(_xll.ciqfunctions.udf.CIQ(mh_ticker, "IQ_EQUITY_METHOD", , B26), "")</f>
        <v/>
      </c>
      <c r="K26" s="11">
        <f>IFERROR(_xll.ciqfunctions.udf.CIQ(mh_ticker, "IQ_LT_Mark_Securities", , B26), "")</f>
        <v/>
      </c>
      <c r="L26" s="12">
        <f>IFERROR(C26*D26, "")</f>
        <v/>
      </c>
      <c r="M26" s="12">
        <f>IFERROR(L26-E26-F26+G26+H26+I26-J26-K26, "")</f>
        <v/>
      </c>
      <c r="N26" s="11">
        <f>IFERROR(_xll.ciqfunctions.udf.CIQ(mh_ticker, "IQ_EBITDA_EST", IQ_NTM, B26, , , "USD"), "")</f>
        <v/>
      </c>
      <c r="O26" s="13">
        <f>IFERROR(M26/N26, "")</f>
        <v/>
      </c>
    </row>
    <row r="27">
      <c r="B27" s="8" t="n"/>
      <c r="C27" s="9">
        <f>IFERROR(_xll.ciqfunctions.udf.CIQ(mh_ticker, "IQ_LASTSALEPRICE", B27), "")</f>
        <v/>
      </c>
      <c r="D27" s="10">
        <f>IFERROR(_xll.ciqfunctions.udf.CIQ(mh_ticker, "IQ_SHARESOUTSTANDING_OUT", B27), "")</f>
        <v/>
      </c>
      <c r="E27" s="11">
        <f>IFERROR(_xll.ciqfunctions.udf.CIQ(mh_ticker, "IQ_CASH_EQUIV", , B27), "")</f>
        <v/>
      </c>
      <c r="F27" s="11">
        <f>IFERROR(_xll.ciqfunctions.udf.CIQ(mh_ticker, "IQ_ST_INVEST", , B27), "")</f>
        <v/>
      </c>
      <c r="G27" s="11">
        <f>IFERROR(_xll.ciqfunctions.udf.CIQ(mh_ticker, "IQ_TOTAL_DEBT_EXCL_OPER_LEASES", , B27), "")</f>
        <v/>
      </c>
      <c r="H27" s="11">
        <f>IFERROR(_xll.ciqfunctions.udf.CIQ(mh_ticker, "IQ_PREF_EQUITY", , B27), "")</f>
        <v/>
      </c>
      <c r="I27" s="11">
        <f>IFERROR(_xll.ciqfunctions.udf.CIQ(mh_ticker, "IQ_MINORITY_INTEREST", , B27), "")</f>
        <v/>
      </c>
      <c r="J27" s="11">
        <f>IFERROR(_xll.ciqfunctions.udf.CIQ(mh_ticker, "IQ_EQUITY_METHOD", , B27), "")</f>
        <v/>
      </c>
      <c r="K27" s="11">
        <f>IFERROR(_xll.ciqfunctions.udf.CIQ(mh_ticker, "IQ_LT_Mark_Securities", , B27), "")</f>
        <v/>
      </c>
      <c r="L27" s="12">
        <f>IFERROR(C27*D27, "")</f>
        <v/>
      </c>
      <c r="M27" s="12">
        <f>IFERROR(L27-E27-F27+G27+H27+I27-J27-K27, "")</f>
        <v/>
      </c>
      <c r="N27" s="11">
        <f>IFERROR(_xll.ciqfunctions.udf.CIQ(mh_ticker, "IQ_EBITDA_EST", IQ_NTM, B27, , , "USD"), "")</f>
        <v/>
      </c>
      <c r="O27" s="13">
        <f>IFERROR(M27/N27, "")</f>
        <v/>
      </c>
    </row>
    <row r="28">
      <c r="B28" s="8" t="n"/>
      <c r="C28" s="9">
        <f>IFERROR(_xll.ciqfunctions.udf.CIQ(mh_ticker, "IQ_LASTSALEPRICE", B28), "")</f>
        <v/>
      </c>
      <c r="D28" s="10">
        <f>IFERROR(_xll.ciqfunctions.udf.CIQ(mh_ticker, "IQ_SHARESOUTSTANDING_OUT", B28), "")</f>
        <v/>
      </c>
      <c r="E28" s="11">
        <f>IFERROR(_xll.ciqfunctions.udf.CIQ(mh_ticker, "IQ_CASH_EQUIV", , B28), "")</f>
        <v/>
      </c>
      <c r="F28" s="11">
        <f>IFERROR(_xll.ciqfunctions.udf.CIQ(mh_ticker, "IQ_ST_INVEST", , B28), "")</f>
        <v/>
      </c>
      <c r="G28" s="11">
        <f>IFERROR(_xll.ciqfunctions.udf.CIQ(mh_ticker, "IQ_TOTAL_DEBT_EXCL_OPER_LEASES", , B28), "")</f>
        <v/>
      </c>
      <c r="H28" s="11">
        <f>IFERROR(_xll.ciqfunctions.udf.CIQ(mh_ticker, "IQ_PREF_EQUITY", , B28), "")</f>
        <v/>
      </c>
      <c r="I28" s="11">
        <f>IFERROR(_xll.ciqfunctions.udf.CIQ(mh_ticker, "IQ_MINORITY_INTEREST", , B28), "")</f>
        <v/>
      </c>
      <c r="J28" s="11">
        <f>IFERROR(_xll.ciqfunctions.udf.CIQ(mh_ticker, "IQ_EQUITY_METHOD", , B28), "")</f>
        <v/>
      </c>
      <c r="K28" s="11">
        <f>IFERROR(_xll.ciqfunctions.udf.CIQ(mh_ticker, "IQ_LT_Mark_Securities", , B28), "")</f>
        <v/>
      </c>
      <c r="L28" s="12">
        <f>IFERROR(C28*D28, "")</f>
        <v/>
      </c>
      <c r="M28" s="12">
        <f>IFERROR(L28-E28-F28+G28+H28+I28-J28-K28, "")</f>
        <v/>
      </c>
      <c r="N28" s="11">
        <f>IFERROR(_xll.ciqfunctions.udf.CIQ(mh_ticker, "IQ_EBITDA_EST", IQ_NTM, B28, , , "USD"), "")</f>
        <v/>
      </c>
      <c r="O28" s="13">
        <f>IFERROR(M28/N28, "")</f>
        <v/>
      </c>
    </row>
    <row r="29">
      <c r="B29" s="8" t="n"/>
      <c r="C29" s="9">
        <f>IFERROR(_xll.ciqfunctions.udf.CIQ(mh_ticker, "IQ_LASTSALEPRICE", B29), "")</f>
        <v/>
      </c>
      <c r="D29" s="10">
        <f>IFERROR(_xll.ciqfunctions.udf.CIQ(mh_ticker, "IQ_SHARESOUTSTANDING_OUT", B29), "")</f>
        <v/>
      </c>
      <c r="E29" s="11">
        <f>IFERROR(_xll.ciqfunctions.udf.CIQ(mh_ticker, "IQ_CASH_EQUIV", , B29), "")</f>
        <v/>
      </c>
      <c r="F29" s="11">
        <f>IFERROR(_xll.ciqfunctions.udf.CIQ(mh_ticker, "IQ_ST_INVEST", , B29), "")</f>
        <v/>
      </c>
      <c r="G29" s="11">
        <f>IFERROR(_xll.ciqfunctions.udf.CIQ(mh_ticker, "IQ_TOTAL_DEBT_EXCL_OPER_LEASES", , B29), "")</f>
        <v/>
      </c>
      <c r="H29" s="11">
        <f>IFERROR(_xll.ciqfunctions.udf.CIQ(mh_ticker, "IQ_PREF_EQUITY", , B29), "")</f>
        <v/>
      </c>
      <c r="I29" s="11">
        <f>IFERROR(_xll.ciqfunctions.udf.CIQ(mh_ticker, "IQ_MINORITY_INTEREST", , B29), "")</f>
        <v/>
      </c>
      <c r="J29" s="11">
        <f>IFERROR(_xll.ciqfunctions.udf.CIQ(mh_ticker, "IQ_EQUITY_METHOD", , B29), "")</f>
        <v/>
      </c>
      <c r="K29" s="11">
        <f>IFERROR(_xll.ciqfunctions.udf.CIQ(mh_ticker, "IQ_LT_Mark_Securities", , B29), "")</f>
        <v/>
      </c>
      <c r="L29" s="12">
        <f>IFERROR(C29*D29, "")</f>
        <v/>
      </c>
      <c r="M29" s="12">
        <f>IFERROR(L29-E29-F29+G29+H29+I29-J29-K29, "")</f>
        <v/>
      </c>
      <c r="N29" s="11">
        <f>IFERROR(_xll.ciqfunctions.udf.CIQ(mh_ticker, "IQ_EBITDA_EST", IQ_NTM, B29, , , "USD"), "")</f>
        <v/>
      </c>
      <c r="O29" s="13">
        <f>IFERROR(M29/N29, "")</f>
        <v/>
      </c>
    </row>
    <row r="30">
      <c r="B30" s="8" t="n"/>
      <c r="C30" s="9">
        <f>IFERROR(_xll.ciqfunctions.udf.CIQ(mh_ticker, "IQ_LASTSALEPRICE", B30), "")</f>
        <v/>
      </c>
      <c r="D30" s="10">
        <f>IFERROR(_xll.ciqfunctions.udf.CIQ(mh_ticker, "IQ_SHARESOUTSTANDING_OUT", B30), "")</f>
        <v/>
      </c>
      <c r="E30" s="11">
        <f>IFERROR(_xll.ciqfunctions.udf.CIQ(mh_ticker, "IQ_CASH_EQUIV", , B30), "")</f>
        <v/>
      </c>
      <c r="F30" s="11">
        <f>IFERROR(_xll.ciqfunctions.udf.CIQ(mh_ticker, "IQ_ST_INVEST", , B30), "")</f>
        <v/>
      </c>
      <c r="G30" s="11">
        <f>IFERROR(_xll.ciqfunctions.udf.CIQ(mh_ticker, "IQ_TOTAL_DEBT_EXCL_OPER_LEASES", , B30), "")</f>
        <v/>
      </c>
      <c r="H30" s="11">
        <f>IFERROR(_xll.ciqfunctions.udf.CIQ(mh_ticker, "IQ_PREF_EQUITY", , B30), "")</f>
        <v/>
      </c>
      <c r="I30" s="11">
        <f>IFERROR(_xll.ciqfunctions.udf.CIQ(mh_ticker, "IQ_MINORITY_INTEREST", , B30), "")</f>
        <v/>
      </c>
      <c r="J30" s="11">
        <f>IFERROR(_xll.ciqfunctions.udf.CIQ(mh_ticker, "IQ_EQUITY_METHOD", , B30), "")</f>
        <v/>
      </c>
      <c r="K30" s="11">
        <f>IFERROR(_xll.ciqfunctions.udf.CIQ(mh_ticker, "IQ_LT_Mark_Securities", , B30), "")</f>
        <v/>
      </c>
      <c r="L30" s="12">
        <f>IFERROR(C30*D30, "")</f>
        <v/>
      </c>
      <c r="M30" s="12">
        <f>IFERROR(L30-E30-F30+G30+H30+I30-J30-K30, "")</f>
        <v/>
      </c>
      <c r="N30" s="11">
        <f>IFERROR(_xll.ciqfunctions.udf.CIQ(mh_ticker, "IQ_EBITDA_EST", IQ_NTM, B30, , , "USD"), "")</f>
        <v/>
      </c>
      <c r="O30" s="13">
        <f>IFERROR(M30/N30, "")</f>
        <v/>
      </c>
    </row>
    <row r="31">
      <c r="B31" s="8" t="n"/>
      <c r="C31" s="9">
        <f>IFERROR(_xll.ciqfunctions.udf.CIQ(mh_ticker, "IQ_LASTSALEPRICE", B31), "")</f>
        <v/>
      </c>
      <c r="D31" s="10">
        <f>IFERROR(_xll.ciqfunctions.udf.CIQ(mh_ticker, "IQ_SHARESOUTSTANDING_OUT", B31), "")</f>
        <v/>
      </c>
      <c r="E31" s="11">
        <f>IFERROR(_xll.ciqfunctions.udf.CIQ(mh_ticker, "IQ_CASH_EQUIV", , B31), "")</f>
        <v/>
      </c>
      <c r="F31" s="11">
        <f>IFERROR(_xll.ciqfunctions.udf.CIQ(mh_ticker, "IQ_ST_INVEST", , B31), "")</f>
        <v/>
      </c>
      <c r="G31" s="11">
        <f>IFERROR(_xll.ciqfunctions.udf.CIQ(mh_ticker, "IQ_TOTAL_DEBT_EXCL_OPER_LEASES", , B31), "")</f>
        <v/>
      </c>
      <c r="H31" s="11">
        <f>IFERROR(_xll.ciqfunctions.udf.CIQ(mh_ticker, "IQ_PREF_EQUITY", , B31), "")</f>
        <v/>
      </c>
      <c r="I31" s="11">
        <f>IFERROR(_xll.ciqfunctions.udf.CIQ(mh_ticker, "IQ_MINORITY_INTEREST", , B31), "")</f>
        <v/>
      </c>
      <c r="J31" s="11">
        <f>IFERROR(_xll.ciqfunctions.udf.CIQ(mh_ticker, "IQ_EQUITY_METHOD", , B31), "")</f>
        <v/>
      </c>
      <c r="K31" s="11">
        <f>IFERROR(_xll.ciqfunctions.udf.CIQ(mh_ticker, "IQ_LT_Mark_Securities", , B31), "")</f>
        <v/>
      </c>
      <c r="L31" s="12">
        <f>IFERROR(C31*D31, "")</f>
        <v/>
      </c>
      <c r="M31" s="12">
        <f>IFERROR(L31-E31-F31+G31+H31+I31-J31-K31, "")</f>
        <v/>
      </c>
      <c r="N31" s="11">
        <f>IFERROR(_xll.ciqfunctions.udf.CIQ(mh_ticker, "IQ_EBITDA_EST", IQ_NTM, B31, , , "USD"), "")</f>
        <v/>
      </c>
      <c r="O31" s="13">
        <f>IFERROR(M31/N31, "")</f>
        <v/>
      </c>
    </row>
    <row r="32">
      <c r="B32" s="8" t="n"/>
      <c r="C32" s="9">
        <f>IFERROR(_xll.ciqfunctions.udf.CIQ(mh_ticker, "IQ_LASTSALEPRICE", B32), "")</f>
        <v/>
      </c>
      <c r="D32" s="10">
        <f>IFERROR(_xll.ciqfunctions.udf.CIQ(mh_ticker, "IQ_SHARESOUTSTANDING_OUT", B32), "")</f>
        <v/>
      </c>
      <c r="E32" s="11">
        <f>IFERROR(_xll.ciqfunctions.udf.CIQ(mh_ticker, "IQ_CASH_EQUIV", , B32), "")</f>
        <v/>
      </c>
      <c r="F32" s="11">
        <f>IFERROR(_xll.ciqfunctions.udf.CIQ(mh_ticker, "IQ_ST_INVEST", , B32), "")</f>
        <v/>
      </c>
      <c r="G32" s="11">
        <f>IFERROR(_xll.ciqfunctions.udf.CIQ(mh_ticker, "IQ_TOTAL_DEBT_EXCL_OPER_LEASES", , B32), "")</f>
        <v/>
      </c>
      <c r="H32" s="11">
        <f>IFERROR(_xll.ciqfunctions.udf.CIQ(mh_ticker, "IQ_PREF_EQUITY", , B32), "")</f>
        <v/>
      </c>
      <c r="I32" s="11">
        <f>IFERROR(_xll.ciqfunctions.udf.CIQ(mh_ticker, "IQ_MINORITY_INTEREST", , B32), "")</f>
        <v/>
      </c>
      <c r="J32" s="11">
        <f>IFERROR(_xll.ciqfunctions.udf.CIQ(mh_ticker, "IQ_EQUITY_METHOD", , B32), "")</f>
        <v/>
      </c>
      <c r="K32" s="11">
        <f>IFERROR(_xll.ciqfunctions.udf.CIQ(mh_ticker, "IQ_LT_Mark_Securities", , B32), "")</f>
        <v/>
      </c>
      <c r="L32" s="12">
        <f>IFERROR(C32*D32, "")</f>
        <v/>
      </c>
      <c r="M32" s="12">
        <f>IFERROR(L32-E32-F32+G32+H32+I32-J32-K32, "")</f>
        <v/>
      </c>
      <c r="N32" s="11">
        <f>IFERROR(_xll.ciqfunctions.udf.CIQ(mh_ticker, "IQ_EBITDA_EST", IQ_NTM, B32, , , "USD"), "")</f>
        <v/>
      </c>
      <c r="O32" s="13">
        <f>IFERROR(M32/N32, "")</f>
        <v/>
      </c>
    </row>
    <row r="33">
      <c r="B33" s="8" t="n"/>
      <c r="C33" s="9">
        <f>IFERROR(_xll.ciqfunctions.udf.CIQ(mh_ticker, "IQ_LASTSALEPRICE", B33), "")</f>
        <v/>
      </c>
      <c r="D33" s="10">
        <f>IFERROR(_xll.ciqfunctions.udf.CIQ(mh_ticker, "IQ_SHARESOUTSTANDING_OUT", B33), "")</f>
        <v/>
      </c>
      <c r="E33" s="11">
        <f>IFERROR(_xll.ciqfunctions.udf.CIQ(mh_ticker, "IQ_CASH_EQUIV", , B33), "")</f>
        <v/>
      </c>
      <c r="F33" s="11">
        <f>IFERROR(_xll.ciqfunctions.udf.CIQ(mh_ticker, "IQ_ST_INVEST", , B33), "")</f>
        <v/>
      </c>
      <c r="G33" s="11">
        <f>IFERROR(_xll.ciqfunctions.udf.CIQ(mh_ticker, "IQ_TOTAL_DEBT_EXCL_OPER_LEASES", , B33), "")</f>
        <v/>
      </c>
      <c r="H33" s="11">
        <f>IFERROR(_xll.ciqfunctions.udf.CIQ(mh_ticker, "IQ_PREF_EQUITY", , B33), "")</f>
        <v/>
      </c>
      <c r="I33" s="11">
        <f>IFERROR(_xll.ciqfunctions.udf.CIQ(mh_ticker, "IQ_MINORITY_INTEREST", , B33), "")</f>
        <v/>
      </c>
      <c r="J33" s="11">
        <f>IFERROR(_xll.ciqfunctions.udf.CIQ(mh_ticker, "IQ_EQUITY_METHOD", , B33), "")</f>
        <v/>
      </c>
      <c r="K33" s="11">
        <f>IFERROR(_xll.ciqfunctions.udf.CIQ(mh_ticker, "IQ_LT_Mark_Securities", , B33), "")</f>
        <v/>
      </c>
      <c r="L33" s="12">
        <f>IFERROR(C33*D33, "")</f>
        <v/>
      </c>
      <c r="M33" s="12">
        <f>IFERROR(L33-E33-F33+G33+H33+I33-J33-K33, "")</f>
        <v/>
      </c>
      <c r="N33" s="11">
        <f>IFERROR(_xll.ciqfunctions.udf.CIQ(mh_ticker, "IQ_EBITDA_EST", IQ_NTM, B33, , , "USD"), "")</f>
        <v/>
      </c>
      <c r="O33" s="13">
        <f>IFERROR(M33/N33, "")</f>
        <v/>
      </c>
    </row>
    <row r="34">
      <c r="B34" s="8" t="n"/>
      <c r="C34" s="9">
        <f>IFERROR(_xll.ciqfunctions.udf.CIQ(mh_ticker, "IQ_LASTSALEPRICE", B34), "")</f>
        <v/>
      </c>
      <c r="D34" s="10">
        <f>IFERROR(_xll.ciqfunctions.udf.CIQ(mh_ticker, "IQ_SHARESOUTSTANDING_OUT", B34), "")</f>
        <v/>
      </c>
      <c r="E34" s="11">
        <f>IFERROR(_xll.ciqfunctions.udf.CIQ(mh_ticker, "IQ_CASH_EQUIV", , B34), "")</f>
        <v/>
      </c>
      <c r="F34" s="11">
        <f>IFERROR(_xll.ciqfunctions.udf.CIQ(mh_ticker, "IQ_ST_INVEST", , B34), "")</f>
        <v/>
      </c>
      <c r="G34" s="11">
        <f>IFERROR(_xll.ciqfunctions.udf.CIQ(mh_ticker, "IQ_TOTAL_DEBT_EXCL_OPER_LEASES", , B34), "")</f>
        <v/>
      </c>
      <c r="H34" s="11">
        <f>IFERROR(_xll.ciqfunctions.udf.CIQ(mh_ticker, "IQ_PREF_EQUITY", , B34), "")</f>
        <v/>
      </c>
      <c r="I34" s="11">
        <f>IFERROR(_xll.ciqfunctions.udf.CIQ(mh_ticker, "IQ_MINORITY_INTEREST", , B34), "")</f>
        <v/>
      </c>
      <c r="J34" s="11">
        <f>IFERROR(_xll.ciqfunctions.udf.CIQ(mh_ticker, "IQ_EQUITY_METHOD", , B34), "")</f>
        <v/>
      </c>
      <c r="K34" s="11">
        <f>IFERROR(_xll.ciqfunctions.udf.CIQ(mh_ticker, "IQ_LT_Mark_Securities", , B34), "")</f>
        <v/>
      </c>
      <c r="L34" s="12">
        <f>IFERROR(C34*D34, "")</f>
        <v/>
      </c>
      <c r="M34" s="12">
        <f>IFERROR(L34-E34-F34+G34+H34+I34-J34-K34, "")</f>
        <v/>
      </c>
      <c r="N34" s="11">
        <f>IFERROR(_xll.ciqfunctions.udf.CIQ(mh_ticker, "IQ_EBITDA_EST", IQ_NTM, B34, , , "USD"), "")</f>
        <v/>
      </c>
      <c r="O34" s="13">
        <f>IFERROR(M34/N34, "")</f>
        <v/>
      </c>
    </row>
    <row r="35">
      <c r="B35" s="8" t="n"/>
      <c r="C35" s="9">
        <f>IFERROR(_xll.ciqfunctions.udf.CIQ(mh_ticker, "IQ_LASTSALEPRICE", B35), "")</f>
        <v/>
      </c>
      <c r="D35" s="10">
        <f>IFERROR(_xll.ciqfunctions.udf.CIQ(mh_ticker, "IQ_SHARESOUTSTANDING_OUT", B35), "")</f>
        <v/>
      </c>
      <c r="E35" s="11">
        <f>IFERROR(_xll.ciqfunctions.udf.CIQ(mh_ticker, "IQ_CASH_EQUIV", , B35), "")</f>
        <v/>
      </c>
      <c r="F35" s="11">
        <f>IFERROR(_xll.ciqfunctions.udf.CIQ(mh_ticker, "IQ_ST_INVEST", , B35), "")</f>
        <v/>
      </c>
      <c r="G35" s="11">
        <f>IFERROR(_xll.ciqfunctions.udf.CIQ(mh_ticker, "IQ_TOTAL_DEBT_EXCL_OPER_LEASES", , B35), "")</f>
        <v/>
      </c>
      <c r="H35" s="11">
        <f>IFERROR(_xll.ciqfunctions.udf.CIQ(mh_ticker, "IQ_PREF_EQUITY", , B35), "")</f>
        <v/>
      </c>
      <c r="I35" s="11">
        <f>IFERROR(_xll.ciqfunctions.udf.CIQ(mh_ticker, "IQ_MINORITY_INTEREST", , B35), "")</f>
        <v/>
      </c>
      <c r="J35" s="11">
        <f>IFERROR(_xll.ciqfunctions.udf.CIQ(mh_ticker, "IQ_EQUITY_METHOD", , B35), "")</f>
        <v/>
      </c>
      <c r="K35" s="11">
        <f>IFERROR(_xll.ciqfunctions.udf.CIQ(mh_ticker, "IQ_LT_Mark_Securities", , B35), "")</f>
        <v/>
      </c>
      <c r="L35" s="12">
        <f>IFERROR(C35*D35, "")</f>
        <v/>
      </c>
      <c r="M35" s="12">
        <f>IFERROR(L35-E35-F35+G35+H35+I35-J35-K35, "")</f>
        <v/>
      </c>
      <c r="N35" s="11">
        <f>IFERROR(_xll.ciqfunctions.udf.CIQ(mh_ticker, "IQ_EBITDA_EST", IQ_NTM, B35, , , "USD"), "")</f>
        <v/>
      </c>
      <c r="O35" s="13">
        <f>IFERROR(M35/N35, "")</f>
        <v/>
      </c>
    </row>
    <row r="36">
      <c r="B36" s="8" t="n"/>
      <c r="C36" s="9">
        <f>IFERROR(_xll.ciqfunctions.udf.CIQ(mh_ticker, "IQ_LASTSALEPRICE", B36), "")</f>
        <v/>
      </c>
      <c r="D36" s="10">
        <f>IFERROR(_xll.ciqfunctions.udf.CIQ(mh_ticker, "IQ_SHARESOUTSTANDING_OUT", B36), "")</f>
        <v/>
      </c>
      <c r="E36" s="11">
        <f>IFERROR(_xll.ciqfunctions.udf.CIQ(mh_ticker, "IQ_CASH_EQUIV", , B36), "")</f>
        <v/>
      </c>
      <c r="F36" s="11">
        <f>IFERROR(_xll.ciqfunctions.udf.CIQ(mh_ticker, "IQ_ST_INVEST", , B36), "")</f>
        <v/>
      </c>
      <c r="G36" s="11">
        <f>IFERROR(_xll.ciqfunctions.udf.CIQ(mh_ticker, "IQ_TOTAL_DEBT_EXCL_OPER_LEASES", , B36), "")</f>
        <v/>
      </c>
      <c r="H36" s="11">
        <f>IFERROR(_xll.ciqfunctions.udf.CIQ(mh_ticker, "IQ_PREF_EQUITY", , B36), "")</f>
        <v/>
      </c>
      <c r="I36" s="11">
        <f>IFERROR(_xll.ciqfunctions.udf.CIQ(mh_ticker, "IQ_MINORITY_INTEREST", , B36), "")</f>
        <v/>
      </c>
      <c r="J36" s="11">
        <f>IFERROR(_xll.ciqfunctions.udf.CIQ(mh_ticker, "IQ_EQUITY_METHOD", , B36), "")</f>
        <v/>
      </c>
      <c r="K36" s="11">
        <f>IFERROR(_xll.ciqfunctions.udf.CIQ(mh_ticker, "IQ_LT_Mark_Securities", , B36), "")</f>
        <v/>
      </c>
      <c r="L36" s="12">
        <f>IFERROR(C36*D36, "")</f>
        <v/>
      </c>
      <c r="M36" s="12">
        <f>IFERROR(L36-E36-F36+G36+H36+I36-J36-K36, "")</f>
        <v/>
      </c>
      <c r="N36" s="11">
        <f>IFERROR(_xll.ciqfunctions.udf.CIQ(mh_ticker, "IQ_EBITDA_EST", IQ_NTM, B36, , , "USD"), "")</f>
        <v/>
      </c>
      <c r="O36" s="13">
        <f>IFERROR(M36/N36, "")</f>
        <v/>
      </c>
    </row>
    <row r="37">
      <c r="B37" s="8" t="n"/>
      <c r="C37" s="9">
        <f>IFERROR(_xll.ciqfunctions.udf.CIQ(mh_ticker, "IQ_LASTSALEPRICE", B37), "")</f>
        <v/>
      </c>
      <c r="D37" s="10">
        <f>IFERROR(_xll.ciqfunctions.udf.CIQ(mh_ticker, "IQ_SHARESOUTSTANDING_OUT", B37), "")</f>
        <v/>
      </c>
      <c r="E37" s="11">
        <f>IFERROR(_xll.ciqfunctions.udf.CIQ(mh_ticker, "IQ_CASH_EQUIV", , B37), "")</f>
        <v/>
      </c>
      <c r="F37" s="11">
        <f>IFERROR(_xll.ciqfunctions.udf.CIQ(mh_ticker, "IQ_ST_INVEST", , B37), "")</f>
        <v/>
      </c>
      <c r="G37" s="11">
        <f>IFERROR(_xll.ciqfunctions.udf.CIQ(mh_ticker, "IQ_TOTAL_DEBT_EXCL_OPER_LEASES", , B37), "")</f>
        <v/>
      </c>
      <c r="H37" s="11">
        <f>IFERROR(_xll.ciqfunctions.udf.CIQ(mh_ticker, "IQ_PREF_EQUITY", , B37), "")</f>
        <v/>
      </c>
      <c r="I37" s="11">
        <f>IFERROR(_xll.ciqfunctions.udf.CIQ(mh_ticker, "IQ_MINORITY_INTEREST", , B37), "")</f>
        <v/>
      </c>
      <c r="J37" s="11">
        <f>IFERROR(_xll.ciqfunctions.udf.CIQ(mh_ticker, "IQ_EQUITY_METHOD", , B37), "")</f>
        <v/>
      </c>
      <c r="K37" s="11">
        <f>IFERROR(_xll.ciqfunctions.udf.CIQ(mh_ticker, "IQ_LT_Mark_Securities", , B37), "")</f>
        <v/>
      </c>
      <c r="L37" s="12">
        <f>IFERROR(C37*D37, "")</f>
        <v/>
      </c>
      <c r="M37" s="12">
        <f>IFERROR(L37-E37-F37+G37+H37+I37-J37-K37, "")</f>
        <v/>
      </c>
      <c r="N37" s="11">
        <f>IFERROR(_xll.ciqfunctions.udf.CIQ(mh_ticker, "IQ_EBITDA_EST", IQ_NTM, B37, , , "USD"), "")</f>
        <v/>
      </c>
      <c r="O37" s="13">
        <f>IFERROR(M37/N37, "")</f>
        <v/>
      </c>
    </row>
    <row r="38">
      <c r="B38" s="8" t="n"/>
      <c r="C38" s="9">
        <f>IFERROR(_xll.ciqfunctions.udf.CIQ(mh_ticker, "IQ_LASTSALEPRICE", B38), "")</f>
        <v/>
      </c>
      <c r="D38" s="10">
        <f>IFERROR(_xll.ciqfunctions.udf.CIQ(mh_ticker, "IQ_SHARESOUTSTANDING_OUT", B38), "")</f>
        <v/>
      </c>
      <c r="E38" s="11">
        <f>IFERROR(_xll.ciqfunctions.udf.CIQ(mh_ticker, "IQ_CASH_EQUIV", , B38), "")</f>
        <v/>
      </c>
      <c r="F38" s="11">
        <f>IFERROR(_xll.ciqfunctions.udf.CIQ(mh_ticker, "IQ_ST_INVEST", , B38), "")</f>
        <v/>
      </c>
      <c r="G38" s="11">
        <f>IFERROR(_xll.ciqfunctions.udf.CIQ(mh_ticker, "IQ_TOTAL_DEBT_EXCL_OPER_LEASES", , B38), "")</f>
        <v/>
      </c>
      <c r="H38" s="11">
        <f>IFERROR(_xll.ciqfunctions.udf.CIQ(mh_ticker, "IQ_PREF_EQUITY", , B38), "")</f>
        <v/>
      </c>
      <c r="I38" s="11">
        <f>IFERROR(_xll.ciqfunctions.udf.CIQ(mh_ticker, "IQ_MINORITY_INTEREST", , B38), "")</f>
        <v/>
      </c>
      <c r="J38" s="11">
        <f>IFERROR(_xll.ciqfunctions.udf.CIQ(mh_ticker, "IQ_EQUITY_METHOD", , B38), "")</f>
        <v/>
      </c>
      <c r="K38" s="11">
        <f>IFERROR(_xll.ciqfunctions.udf.CIQ(mh_ticker, "IQ_LT_Mark_Securities", , B38), "")</f>
        <v/>
      </c>
      <c r="L38" s="12">
        <f>IFERROR(C38*D38, "")</f>
        <v/>
      </c>
      <c r="M38" s="12">
        <f>IFERROR(L38-E38-F38+G38+H38+I38-J38-K38, "")</f>
        <v/>
      </c>
      <c r="N38" s="11">
        <f>IFERROR(_xll.ciqfunctions.udf.CIQ(mh_ticker, "IQ_EBITDA_EST", IQ_NTM, B38, , , "USD"), "")</f>
        <v/>
      </c>
      <c r="O38" s="13">
        <f>IFERROR(M38/N38, "")</f>
        <v/>
      </c>
    </row>
    <row r="39">
      <c r="B39" s="8" t="n"/>
      <c r="C39" s="9">
        <f>IFERROR(_xll.ciqfunctions.udf.CIQ(mh_ticker, "IQ_LASTSALEPRICE", B39), "")</f>
        <v/>
      </c>
      <c r="D39" s="10">
        <f>IFERROR(_xll.ciqfunctions.udf.CIQ(mh_ticker, "IQ_SHARESOUTSTANDING_OUT", B39), "")</f>
        <v/>
      </c>
      <c r="E39" s="11">
        <f>IFERROR(_xll.ciqfunctions.udf.CIQ(mh_ticker, "IQ_CASH_EQUIV", , B39), "")</f>
        <v/>
      </c>
      <c r="F39" s="11">
        <f>IFERROR(_xll.ciqfunctions.udf.CIQ(mh_ticker, "IQ_ST_INVEST", , B39), "")</f>
        <v/>
      </c>
      <c r="G39" s="11">
        <f>IFERROR(_xll.ciqfunctions.udf.CIQ(mh_ticker, "IQ_TOTAL_DEBT_EXCL_OPER_LEASES", , B39), "")</f>
        <v/>
      </c>
      <c r="H39" s="11">
        <f>IFERROR(_xll.ciqfunctions.udf.CIQ(mh_ticker, "IQ_PREF_EQUITY", , B39), "")</f>
        <v/>
      </c>
      <c r="I39" s="11">
        <f>IFERROR(_xll.ciqfunctions.udf.CIQ(mh_ticker, "IQ_MINORITY_INTEREST", , B39), "")</f>
        <v/>
      </c>
      <c r="J39" s="11">
        <f>IFERROR(_xll.ciqfunctions.udf.CIQ(mh_ticker, "IQ_EQUITY_METHOD", , B39), "")</f>
        <v/>
      </c>
      <c r="K39" s="11">
        <f>IFERROR(_xll.ciqfunctions.udf.CIQ(mh_ticker, "IQ_LT_Mark_Securities", , B39), "")</f>
        <v/>
      </c>
      <c r="L39" s="12">
        <f>IFERROR(C39*D39, "")</f>
        <v/>
      </c>
      <c r="M39" s="12">
        <f>IFERROR(L39-E39-F39+G39+H39+I39-J39-K39, "")</f>
        <v/>
      </c>
      <c r="N39" s="11">
        <f>IFERROR(_xll.ciqfunctions.udf.CIQ(mh_ticker, "IQ_EBITDA_EST", IQ_NTM, B39, , , "USD"), "")</f>
        <v/>
      </c>
      <c r="O39" s="13">
        <f>IFERROR(M39/N39, "")</f>
        <v/>
      </c>
    </row>
    <row r="40">
      <c r="B40" s="8" t="n"/>
      <c r="C40" s="9">
        <f>IFERROR(_xll.ciqfunctions.udf.CIQ(mh_ticker, "IQ_LASTSALEPRICE", B40), "")</f>
        <v/>
      </c>
      <c r="D40" s="10">
        <f>IFERROR(_xll.ciqfunctions.udf.CIQ(mh_ticker, "IQ_SHARESOUTSTANDING_OUT", B40), "")</f>
        <v/>
      </c>
      <c r="E40" s="11">
        <f>IFERROR(_xll.ciqfunctions.udf.CIQ(mh_ticker, "IQ_CASH_EQUIV", , B40), "")</f>
        <v/>
      </c>
      <c r="F40" s="11">
        <f>IFERROR(_xll.ciqfunctions.udf.CIQ(mh_ticker, "IQ_ST_INVEST", , B40), "")</f>
        <v/>
      </c>
      <c r="G40" s="11">
        <f>IFERROR(_xll.ciqfunctions.udf.CIQ(mh_ticker, "IQ_TOTAL_DEBT_EXCL_OPER_LEASES", , B40), "")</f>
        <v/>
      </c>
      <c r="H40" s="11">
        <f>IFERROR(_xll.ciqfunctions.udf.CIQ(mh_ticker, "IQ_PREF_EQUITY", , B40), "")</f>
        <v/>
      </c>
      <c r="I40" s="11">
        <f>IFERROR(_xll.ciqfunctions.udf.CIQ(mh_ticker, "IQ_MINORITY_INTEREST", , B40), "")</f>
        <v/>
      </c>
      <c r="J40" s="11">
        <f>IFERROR(_xll.ciqfunctions.udf.CIQ(mh_ticker, "IQ_EQUITY_METHOD", , B40), "")</f>
        <v/>
      </c>
      <c r="K40" s="11">
        <f>IFERROR(_xll.ciqfunctions.udf.CIQ(mh_ticker, "IQ_LT_Mark_Securities", , B40), "")</f>
        <v/>
      </c>
      <c r="L40" s="12">
        <f>IFERROR(C40*D40, "")</f>
        <v/>
      </c>
      <c r="M40" s="12">
        <f>IFERROR(L40-E40-F40+G40+H40+I40-J40-K40, "")</f>
        <v/>
      </c>
      <c r="N40" s="11">
        <f>IFERROR(_xll.ciqfunctions.udf.CIQ(mh_ticker, "IQ_EBITDA_EST", IQ_NTM, B40, , , "USD"), "")</f>
        <v/>
      </c>
      <c r="O40" s="13">
        <f>IFERROR(M40/N40, "")</f>
        <v/>
      </c>
    </row>
    <row r="41">
      <c r="B41" s="8" t="n"/>
      <c r="C41" s="9">
        <f>IFERROR(_xll.ciqfunctions.udf.CIQ(mh_ticker, "IQ_LASTSALEPRICE", B41), "")</f>
        <v/>
      </c>
      <c r="D41" s="10">
        <f>IFERROR(_xll.ciqfunctions.udf.CIQ(mh_ticker, "IQ_SHARESOUTSTANDING_OUT", B41), "")</f>
        <v/>
      </c>
      <c r="E41" s="11">
        <f>IFERROR(_xll.ciqfunctions.udf.CIQ(mh_ticker, "IQ_CASH_EQUIV", , B41), "")</f>
        <v/>
      </c>
      <c r="F41" s="11">
        <f>IFERROR(_xll.ciqfunctions.udf.CIQ(mh_ticker, "IQ_ST_INVEST", , B41), "")</f>
        <v/>
      </c>
      <c r="G41" s="11">
        <f>IFERROR(_xll.ciqfunctions.udf.CIQ(mh_ticker, "IQ_TOTAL_DEBT_EXCL_OPER_LEASES", , B41), "")</f>
        <v/>
      </c>
      <c r="H41" s="11">
        <f>IFERROR(_xll.ciqfunctions.udf.CIQ(mh_ticker, "IQ_PREF_EQUITY", , B41), "")</f>
        <v/>
      </c>
      <c r="I41" s="11">
        <f>IFERROR(_xll.ciqfunctions.udf.CIQ(mh_ticker, "IQ_MINORITY_INTEREST", , B41), "")</f>
        <v/>
      </c>
      <c r="J41" s="11">
        <f>IFERROR(_xll.ciqfunctions.udf.CIQ(mh_ticker, "IQ_EQUITY_METHOD", , B41), "")</f>
        <v/>
      </c>
      <c r="K41" s="11">
        <f>IFERROR(_xll.ciqfunctions.udf.CIQ(mh_ticker, "IQ_LT_Mark_Securities", , B41), "")</f>
        <v/>
      </c>
      <c r="L41" s="12">
        <f>IFERROR(C41*D41, "")</f>
        <v/>
      </c>
      <c r="M41" s="12">
        <f>IFERROR(L41-E41-F41+G41+H41+I41-J41-K41, "")</f>
        <v/>
      </c>
      <c r="N41" s="11">
        <f>IFERROR(_xll.ciqfunctions.udf.CIQ(mh_ticker, "IQ_EBITDA_EST", IQ_NTM, B41, , , "USD"), "")</f>
        <v/>
      </c>
      <c r="O41" s="13">
        <f>IFERROR(M41/N41, "")</f>
        <v/>
      </c>
    </row>
    <row r="42">
      <c r="B42" s="8" t="n"/>
      <c r="C42" s="9">
        <f>IFERROR(_xll.ciqfunctions.udf.CIQ(mh_ticker, "IQ_LASTSALEPRICE", B42), "")</f>
        <v/>
      </c>
      <c r="D42" s="10">
        <f>IFERROR(_xll.ciqfunctions.udf.CIQ(mh_ticker, "IQ_SHARESOUTSTANDING_OUT", B42), "")</f>
        <v/>
      </c>
      <c r="E42" s="11">
        <f>IFERROR(_xll.ciqfunctions.udf.CIQ(mh_ticker, "IQ_CASH_EQUIV", , B42), "")</f>
        <v/>
      </c>
      <c r="F42" s="11">
        <f>IFERROR(_xll.ciqfunctions.udf.CIQ(mh_ticker, "IQ_ST_INVEST", , B42), "")</f>
        <v/>
      </c>
      <c r="G42" s="11">
        <f>IFERROR(_xll.ciqfunctions.udf.CIQ(mh_ticker, "IQ_TOTAL_DEBT_EXCL_OPER_LEASES", , B42), "")</f>
        <v/>
      </c>
      <c r="H42" s="11">
        <f>IFERROR(_xll.ciqfunctions.udf.CIQ(mh_ticker, "IQ_PREF_EQUITY", , B42), "")</f>
        <v/>
      </c>
      <c r="I42" s="11">
        <f>IFERROR(_xll.ciqfunctions.udf.CIQ(mh_ticker, "IQ_MINORITY_INTEREST", , B42), "")</f>
        <v/>
      </c>
      <c r="J42" s="11">
        <f>IFERROR(_xll.ciqfunctions.udf.CIQ(mh_ticker, "IQ_EQUITY_METHOD", , B42), "")</f>
        <v/>
      </c>
      <c r="K42" s="11">
        <f>IFERROR(_xll.ciqfunctions.udf.CIQ(mh_ticker, "IQ_LT_Mark_Securities", , B42), "")</f>
        <v/>
      </c>
      <c r="L42" s="12">
        <f>IFERROR(C42*D42, "")</f>
        <v/>
      </c>
      <c r="M42" s="12">
        <f>IFERROR(L42-E42-F42+G42+H42+I42-J42-K42, "")</f>
        <v/>
      </c>
      <c r="N42" s="11">
        <f>IFERROR(_xll.ciqfunctions.udf.CIQ(mh_ticker, "IQ_EBITDA_EST", IQ_NTM, B42, , , "USD"), "")</f>
        <v/>
      </c>
      <c r="O42" s="13">
        <f>IFERROR(M42/N42, "")</f>
        <v/>
      </c>
    </row>
    <row r="43">
      <c r="B43" s="8" t="n"/>
      <c r="C43" s="9">
        <f>IFERROR(_xll.ciqfunctions.udf.CIQ(mh_ticker, "IQ_LASTSALEPRICE", B43), "")</f>
        <v/>
      </c>
      <c r="D43" s="10">
        <f>IFERROR(_xll.ciqfunctions.udf.CIQ(mh_ticker, "IQ_SHARESOUTSTANDING_OUT", B43), "")</f>
        <v/>
      </c>
      <c r="E43" s="11">
        <f>IFERROR(_xll.ciqfunctions.udf.CIQ(mh_ticker, "IQ_CASH_EQUIV", , B43), "")</f>
        <v/>
      </c>
      <c r="F43" s="11">
        <f>IFERROR(_xll.ciqfunctions.udf.CIQ(mh_ticker, "IQ_ST_INVEST", , B43), "")</f>
        <v/>
      </c>
      <c r="G43" s="11">
        <f>IFERROR(_xll.ciqfunctions.udf.CIQ(mh_ticker, "IQ_TOTAL_DEBT_EXCL_OPER_LEASES", , B43), "")</f>
        <v/>
      </c>
      <c r="H43" s="11">
        <f>IFERROR(_xll.ciqfunctions.udf.CIQ(mh_ticker, "IQ_PREF_EQUITY", , B43), "")</f>
        <v/>
      </c>
      <c r="I43" s="11">
        <f>IFERROR(_xll.ciqfunctions.udf.CIQ(mh_ticker, "IQ_MINORITY_INTEREST", , B43), "")</f>
        <v/>
      </c>
      <c r="J43" s="11">
        <f>IFERROR(_xll.ciqfunctions.udf.CIQ(mh_ticker, "IQ_EQUITY_METHOD", , B43), "")</f>
        <v/>
      </c>
      <c r="K43" s="11">
        <f>IFERROR(_xll.ciqfunctions.udf.CIQ(mh_ticker, "IQ_LT_Mark_Securities", , B43), "")</f>
        <v/>
      </c>
      <c r="L43" s="12">
        <f>IFERROR(C43*D43, "")</f>
        <v/>
      </c>
      <c r="M43" s="12">
        <f>IFERROR(L43-E43-F43+G43+H43+I43-J43-K43, "")</f>
        <v/>
      </c>
      <c r="N43" s="11">
        <f>IFERROR(_xll.ciqfunctions.udf.CIQ(mh_ticker, "IQ_EBITDA_EST", IQ_NTM, B43, , , "USD"), "")</f>
        <v/>
      </c>
      <c r="O43" s="13">
        <f>IFERROR(M43/N43, "")</f>
        <v/>
      </c>
    </row>
    <row r="44">
      <c r="B44" s="8" t="n"/>
      <c r="C44" s="9">
        <f>IFERROR(_xll.ciqfunctions.udf.CIQ(mh_ticker, "IQ_LASTSALEPRICE", B44), "")</f>
        <v/>
      </c>
      <c r="D44" s="10">
        <f>IFERROR(_xll.ciqfunctions.udf.CIQ(mh_ticker, "IQ_SHARESOUTSTANDING_OUT", B44), "")</f>
        <v/>
      </c>
      <c r="E44" s="11">
        <f>IFERROR(_xll.ciqfunctions.udf.CIQ(mh_ticker, "IQ_CASH_EQUIV", , B44), "")</f>
        <v/>
      </c>
      <c r="F44" s="11">
        <f>IFERROR(_xll.ciqfunctions.udf.CIQ(mh_ticker, "IQ_ST_INVEST", , B44), "")</f>
        <v/>
      </c>
      <c r="G44" s="11">
        <f>IFERROR(_xll.ciqfunctions.udf.CIQ(mh_ticker, "IQ_TOTAL_DEBT_EXCL_OPER_LEASES", , B44), "")</f>
        <v/>
      </c>
      <c r="H44" s="11">
        <f>IFERROR(_xll.ciqfunctions.udf.CIQ(mh_ticker, "IQ_PREF_EQUITY", , B44), "")</f>
        <v/>
      </c>
      <c r="I44" s="11">
        <f>IFERROR(_xll.ciqfunctions.udf.CIQ(mh_ticker, "IQ_MINORITY_INTEREST", , B44), "")</f>
        <v/>
      </c>
      <c r="J44" s="11">
        <f>IFERROR(_xll.ciqfunctions.udf.CIQ(mh_ticker, "IQ_EQUITY_METHOD", , B44), "")</f>
        <v/>
      </c>
      <c r="K44" s="11">
        <f>IFERROR(_xll.ciqfunctions.udf.CIQ(mh_ticker, "IQ_LT_Mark_Securities", , B44), "")</f>
        <v/>
      </c>
      <c r="L44" s="12">
        <f>IFERROR(C44*D44, "")</f>
        <v/>
      </c>
      <c r="M44" s="12">
        <f>IFERROR(L44-E44-F44+G44+H44+I44-J44-K44, "")</f>
        <v/>
      </c>
      <c r="N44" s="11">
        <f>IFERROR(_xll.ciqfunctions.udf.CIQ(mh_ticker, "IQ_EBITDA_EST", IQ_NTM, B44, , , "USD"), "")</f>
        <v/>
      </c>
      <c r="O44" s="13">
        <f>IFERROR(M44/N44, "")</f>
        <v/>
      </c>
    </row>
    <row r="45">
      <c r="B45" s="8" t="n"/>
      <c r="C45" s="9">
        <f>IFERROR(_xll.ciqfunctions.udf.CIQ(mh_ticker, "IQ_LASTSALEPRICE", B45), "")</f>
        <v/>
      </c>
      <c r="D45" s="10">
        <f>IFERROR(_xll.ciqfunctions.udf.CIQ(mh_ticker, "IQ_SHARESOUTSTANDING_OUT", B45), "")</f>
        <v/>
      </c>
      <c r="E45" s="11">
        <f>IFERROR(_xll.ciqfunctions.udf.CIQ(mh_ticker, "IQ_CASH_EQUIV", , B45), "")</f>
        <v/>
      </c>
      <c r="F45" s="11">
        <f>IFERROR(_xll.ciqfunctions.udf.CIQ(mh_ticker, "IQ_ST_INVEST", , B45), "")</f>
        <v/>
      </c>
      <c r="G45" s="11">
        <f>IFERROR(_xll.ciqfunctions.udf.CIQ(mh_ticker, "IQ_TOTAL_DEBT_EXCL_OPER_LEASES", , B45), "")</f>
        <v/>
      </c>
      <c r="H45" s="11">
        <f>IFERROR(_xll.ciqfunctions.udf.CIQ(mh_ticker, "IQ_PREF_EQUITY", , B45), "")</f>
        <v/>
      </c>
      <c r="I45" s="11">
        <f>IFERROR(_xll.ciqfunctions.udf.CIQ(mh_ticker, "IQ_MINORITY_INTEREST", , B45), "")</f>
        <v/>
      </c>
      <c r="J45" s="11">
        <f>IFERROR(_xll.ciqfunctions.udf.CIQ(mh_ticker, "IQ_EQUITY_METHOD", , B45), "")</f>
        <v/>
      </c>
      <c r="K45" s="11">
        <f>IFERROR(_xll.ciqfunctions.udf.CIQ(mh_ticker, "IQ_LT_Mark_Securities", , B45), "")</f>
        <v/>
      </c>
      <c r="L45" s="12">
        <f>IFERROR(C45*D45, "")</f>
        <v/>
      </c>
      <c r="M45" s="12">
        <f>IFERROR(L45-E45-F45+G45+H45+I45-J45-K45, "")</f>
        <v/>
      </c>
      <c r="N45" s="11">
        <f>IFERROR(_xll.ciqfunctions.udf.CIQ(mh_ticker, "IQ_EBITDA_EST", IQ_NTM, B45, , , "USD"), "")</f>
        <v/>
      </c>
      <c r="O45" s="13">
        <f>IFERROR(M45/N45, "")</f>
        <v/>
      </c>
    </row>
    <row r="46">
      <c r="B46" s="8" t="n"/>
      <c r="C46" s="9">
        <f>IFERROR(_xll.ciqfunctions.udf.CIQ(mh_ticker, "IQ_LASTSALEPRICE", B46), "")</f>
        <v/>
      </c>
      <c r="D46" s="10">
        <f>IFERROR(_xll.ciqfunctions.udf.CIQ(mh_ticker, "IQ_SHARESOUTSTANDING_OUT", B46), "")</f>
        <v/>
      </c>
      <c r="E46" s="11">
        <f>IFERROR(_xll.ciqfunctions.udf.CIQ(mh_ticker, "IQ_CASH_EQUIV", , B46), "")</f>
        <v/>
      </c>
      <c r="F46" s="11">
        <f>IFERROR(_xll.ciqfunctions.udf.CIQ(mh_ticker, "IQ_ST_INVEST", , B46), "")</f>
        <v/>
      </c>
      <c r="G46" s="11">
        <f>IFERROR(_xll.ciqfunctions.udf.CIQ(mh_ticker, "IQ_TOTAL_DEBT_EXCL_OPER_LEASES", , B46), "")</f>
        <v/>
      </c>
      <c r="H46" s="11">
        <f>IFERROR(_xll.ciqfunctions.udf.CIQ(mh_ticker, "IQ_PREF_EQUITY", , B46), "")</f>
        <v/>
      </c>
      <c r="I46" s="11">
        <f>IFERROR(_xll.ciqfunctions.udf.CIQ(mh_ticker, "IQ_MINORITY_INTEREST", , B46), "")</f>
        <v/>
      </c>
      <c r="J46" s="11">
        <f>IFERROR(_xll.ciqfunctions.udf.CIQ(mh_ticker, "IQ_EQUITY_METHOD", , B46), "")</f>
        <v/>
      </c>
      <c r="K46" s="11">
        <f>IFERROR(_xll.ciqfunctions.udf.CIQ(mh_ticker, "IQ_LT_Mark_Securities", , B46), "")</f>
        <v/>
      </c>
      <c r="L46" s="12">
        <f>IFERROR(C46*D46, "")</f>
        <v/>
      </c>
      <c r="M46" s="12">
        <f>IFERROR(L46-E46-F46+G46+H46+I46-J46-K46, "")</f>
        <v/>
      </c>
      <c r="N46" s="11">
        <f>IFERROR(_xll.ciqfunctions.udf.CIQ(mh_ticker, "IQ_EBITDA_EST", IQ_NTM, B46, , , "USD"), "")</f>
        <v/>
      </c>
      <c r="O46" s="13">
        <f>IFERROR(M46/N46, "")</f>
        <v/>
      </c>
    </row>
    <row r="47">
      <c r="B47" s="8" t="n"/>
      <c r="C47" s="9">
        <f>IFERROR(_xll.ciqfunctions.udf.CIQ(mh_ticker, "IQ_LASTSALEPRICE", B47), "")</f>
        <v/>
      </c>
      <c r="D47" s="10">
        <f>IFERROR(_xll.ciqfunctions.udf.CIQ(mh_ticker, "IQ_SHARESOUTSTANDING_OUT", B47), "")</f>
        <v/>
      </c>
      <c r="E47" s="11">
        <f>IFERROR(_xll.ciqfunctions.udf.CIQ(mh_ticker, "IQ_CASH_EQUIV", , B47), "")</f>
        <v/>
      </c>
      <c r="F47" s="11">
        <f>IFERROR(_xll.ciqfunctions.udf.CIQ(mh_ticker, "IQ_ST_INVEST", , B47), "")</f>
        <v/>
      </c>
      <c r="G47" s="11">
        <f>IFERROR(_xll.ciqfunctions.udf.CIQ(mh_ticker, "IQ_TOTAL_DEBT_EXCL_OPER_LEASES", , B47), "")</f>
        <v/>
      </c>
      <c r="H47" s="11">
        <f>IFERROR(_xll.ciqfunctions.udf.CIQ(mh_ticker, "IQ_PREF_EQUITY", , B47), "")</f>
        <v/>
      </c>
      <c r="I47" s="11">
        <f>IFERROR(_xll.ciqfunctions.udf.CIQ(mh_ticker, "IQ_MINORITY_INTEREST", , B47), "")</f>
        <v/>
      </c>
      <c r="J47" s="11">
        <f>IFERROR(_xll.ciqfunctions.udf.CIQ(mh_ticker, "IQ_EQUITY_METHOD", , B47), "")</f>
        <v/>
      </c>
      <c r="K47" s="11">
        <f>IFERROR(_xll.ciqfunctions.udf.CIQ(mh_ticker, "IQ_LT_Mark_Securities", , B47), "")</f>
        <v/>
      </c>
      <c r="L47" s="12">
        <f>IFERROR(C47*D47, "")</f>
        <v/>
      </c>
      <c r="M47" s="12">
        <f>IFERROR(L47-E47-F47+G47+H47+I47-J47-K47, "")</f>
        <v/>
      </c>
      <c r="N47" s="11">
        <f>IFERROR(_xll.ciqfunctions.udf.CIQ(mh_ticker, "IQ_EBITDA_EST", IQ_NTM, B47, , , "USD"), "")</f>
        <v/>
      </c>
      <c r="O47" s="13">
        <f>IFERROR(M47/N47, "")</f>
        <v/>
      </c>
    </row>
    <row r="48">
      <c r="B48" s="8" t="n"/>
      <c r="C48" s="9">
        <f>IFERROR(_xll.ciqfunctions.udf.CIQ(mh_ticker, "IQ_LASTSALEPRICE", B48), "")</f>
        <v/>
      </c>
      <c r="D48" s="10">
        <f>IFERROR(_xll.ciqfunctions.udf.CIQ(mh_ticker, "IQ_SHARESOUTSTANDING_OUT", B48), "")</f>
        <v/>
      </c>
      <c r="E48" s="11">
        <f>IFERROR(_xll.ciqfunctions.udf.CIQ(mh_ticker, "IQ_CASH_EQUIV", , B48), "")</f>
        <v/>
      </c>
      <c r="F48" s="11">
        <f>IFERROR(_xll.ciqfunctions.udf.CIQ(mh_ticker, "IQ_ST_INVEST", , B48), "")</f>
        <v/>
      </c>
      <c r="G48" s="11">
        <f>IFERROR(_xll.ciqfunctions.udf.CIQ(mh_ticker, "IQ_TOTAL_DEBT_EXCL_OPER_LEASES", , B48), "")</f>
        <v/>
      </c>
      <c r="H48" s="11">
        <f>IFERROR(_xll.ciqfunctions.udf.CIQ(mh_ticker, "IQ_PREF_EQUITY", , B48), "")</f>
        <v/>
      </c>
      <c r="I48" s="11">
        <f>IFERROR(_xll.ciqfunctions.udf.CIQ(mh_ticker, "IQ_MINORITY_INTEREST", , B48), "")</f>
        <v/>
      </c>
      <c r="J48" s="11">
        <f>IFERROR(_xll.ciqfunctions.udf.CIQ(mh_ticker, "IQ_EQUITY_METHOD", , B48), "")</f>
        <v/>
      </c>
      <c r="K48" s="11">
        <f>IFERROR(_xll.ciqfunctions.udf.CIQ(mh_ticker, "IQ_LT_Mark_Securities", , B48), "")</f>
        <v/>
      </c>
      <c r="L48" s="12">
        <f>IFERROR(C48*D48, "")</f>
        <v/>
      </c>
      <c r="M48" s="12">
        <f>IFERROR(L48-E48-F48+G48+H48+I48-J48-K48, "")</f>
        <v/>
      </c>
      <c r="N48" s="11">
        <f>IFERROR(_xll.ciqfunctions.udf.CIQ(mh_ticker, "IQ_EBITDA_EST", IQ_NTM, B48, , , "USD"), "")</f>
        <v/>
      </c>
      <c r="O48" s="13">
        <f>IFERROR(M48/N48, "")</f>
        <v/>
      </c>
    </row>
    <row r="49">
      <c r="B49" s="8" t="n"/>
      <c r="C49" s="9">
        <f>IFERROR(_xll.ciqfunctions.udf.CIQ(mh_ticker, "IQ_LASTSALEPRICE", B49), "")</f>
        <v/>
      </c>
      <c r="D49" s="10">
        <f>IFERROR(_xll.ciqfunctions.udf.CIQ(mh_ticker, "IQ_SHARESOUTSTANDING_OUT", B49), "")</f>
        <v/>
      </c>
      <c r="E49" s="11">
        <f>IFERROR(_xll.ciqfunctions.udf.CIQ(mh_ticker, "IQ_CASH_EQUIV", , B49), "")</f>
        <v/>
      </c>
      <c r="F49" s="11">
        <f>IFERROR(_xll.ciqfunctions.udf.CIQ(mh_ticker, "IQ_ST_INVEST", , B49), "")</f>
        <v/>
      </c>
      <c r="G49" s="11">
        <f>IFERROR(_xll.ciqfunctions.udf.CIQ(mh_ticker, "IQ_TOTAL_DEBT_EXCL_OPER_LEASES", , B49), "")</f>
        <v/>
      </c>
      <c r="H49" s="11">
        <f>IFERROR(_xll.ciqfunctions.udf.CIQ(mh_ticker, "IQ_PREF_EQUITY", , B49), "")</f>
        <v/>
      </c>
      <c r="I49" s="11">
        <f>IFERROR(_xll.ciqfunctions.udf.CIQ(mh_ticker, "IQ_MINORITY_INTEREST", , B49), "")</f>
        <v/>
      </c>
      <c r="J49" s="11">
        <f>IFERROR(_xll.ciqfunctions.udf.CIQ(mh_ticker, "IQ_EQUITY_METHOD", , B49), "")</f>
        <v/>
      </c>
      <c r="K49" s="11">
        <f>IFERROR(_xll.ciqfunctions.udf.CIQ(mh_ticker, "IQ_LT_Mark_Securities", , B49), "")</f>
        <v/>
      </c>
      <c r="L49" s="12">
        <f>IFERROR(C49*D49, "")</f>
        <v/>
      </c>
      <c r="M49" s="12">
        <f>IFERROR(L49-E49-F49+G49+H49+I49-J49-K49, "")</f>
        <v/>
      </c>
      <c r="N49" s="11">
        <f>IFERROR(_xll.ciqfunctions.udf.CIQ(mh_ticker, "IQ_EBITDA_EST", IQ_NTM, B49, , , "USD"), "")</f>
        <v/>
      </c>
      <c r="O49" s="13">
        <f>IFERROR(M49/N49, "")</f>
        <v/>
      </c>
    </row>
    <row r="50">
      <c r="B50" s="8" t="n"/>
      <c r="C50" s="9">
        <f>IFERROR(_xll.ciqfunctions.udf.CIQ(mh_ticker, "IQ_LASTSALEPRICE", B50), "")</f>
        <v/>
      </c>
      <c r="D50" s="10">
        <f>IFERROR(_xll.ciqfunctions.udf.CIQ(mh_ticker, "IQ_SHARESOUTSTANDING_OUT", B50), "")</f>
        <v/>
      </c>
      <c r="E50" s="11">
        <f>IFERROR(_xll.ciqfunctions.udf.CIQ(mh_ticker, "IQ_CASH_EQUIV", , B50), "")</f>
        <v/>
      </c>
      <c r="F50" s="11">
        <f>IFERROR(_xll.ciqfunctions.udf.CIQ(mh_ticker, "IQ_ST_INVEST", , B50), "")</f>
        <v/>
      </c>
      <c r="G50" s="11">
        <f>IFERROR(_xll.ciqfunctions.udf.CIQ(mh_ticker, "IQ_TOTAL_DEBT_EXCL_OPER_LEASES", , B50), "")</f>
        <v/>
      </c>
      <c r="H50" s="11">
        <f>IFERROR(_xll.ciqfunctions.udf.CIQ(mh_ticker, "IQ_PREF_EQUITY", , B50), "")</f>
        <v/>
      </c>
      <c r="I50" s="11">
        <f>IFERROR(_xll.ciqfunctions.udf.CIQ(mh_ticker, "IQ_MINORITY_INTEREST", , B50), "")</f>
        <v/>
      </c>
      <c r="J50" s="11">
        <f>IFERROR(_xll.ciqfunctions.udf.CIQ(mh_ticker, "IQ_EQUITY_METHOD", , B50), "")</f>
        <v/>
      </c>
      <c r="K50" s="11">
        <f>IFERROR(_xll.ciqfunctions.udf.CIQ(mh_ticker, "IQ_LT_Mark_Securities", , B50), "")</f>
        <v/>
      </c>
      <c r="L50" s="12">
        <f>IFERROR(C50*D50, "")</f>
        <v/>
      </c>
      <c r="M50" s="12">
        <f>IFERROR(L50-E50-F50+G50+H50+I50-J50-K50, "")</f>
        <v/>
      </c>
      <c r="N50" s="11">
        <f>IFERROR(_xll.ciqfunctions.udf.CIQ(mh_ticker, "IQ_EBITDA_EST", IQ_NTM, B50, , , "USD"), "")</f>
        <v/>
      </c>
      <c r="O50" s="13">
        <f>IFERROR(M50/N50, "")</f>
        <v/>
      </c>
    </row>
    <row r="51">
      <c r="B51" s="8" t="n"/>
      <c r="C51" s="9">
        <f>IFERROR(_xll.ciqfunctions.udf.CIQ(mh_ticker, "IQ_LASTSALEPRICE", B51), "")</f>
        <v/>
      </c>
      <c r="D51" s="10">
        <f>IFERROR(_xll.ciqfunctions.udf.CIQ(mh_ticker, "IQ_SHARESOUTSTANDING_OUT", B51), "")</f>
        <v/>
      </c>
      <c r="E51" s="11">
        <f>IFERROR(_xll.ciqfunctions.udf.CIQ(mh_ticker, "IQ_CASH_EQUIV", , B51), "")</f>
        <v/>
      </c>
      <c r="F51" s="11">
        <f>IFERROR(_xll.ciqfunctions.udf.CIQ(mh_ticker, "IQ_ST_INVEST", , B51), "")</f>
        <v/>
      </c>
      <c r="G51" s="11">
        <f>IFERROR(_xll.ciqfunctions.udf.CIQ(mh_ticker, "IQ_TOTAL_DEBT_EXCL_OPER_LEASES", , B51), "")</f>
        <v/>
      </c>
      <c r="H51" s="11">
        <f>IFERROR(_xll.ciqfunctions.udf.CIQ(mh_ticker, "IQ_PREF_EQUITY", , B51), "")</f>
        <v/>
      </c>
      <c r="I51" s="11">
        <f>IFERROR(_xll.ciqfunctions.udf.CIQ(mh_ticker, "IQ_MINORITY_INTEREST", , B51), "")</f>
        <v/>
      </c>
      <c r="J51" s="11">
        <f>IFERROR(_xll.ciqfunctions.udf.CIQ(mh_ticker, "IQ_EQUITY_METHOD", , B51), "")</f>
        <v/>
      </c>
      <c r="K51" s="11">
        <f>IFERROR(_xll.ciqfunctions.udf.CIQ(mh_ticker, "IQ_LT_Mark_Securities", , B51), "")</f>
        <v/>
      </c>
      <c r="L51" s="12">
        <f>IFERROR(C51*D51, "")</f>
        <v/>
      </c>
      <c r="M51" s="12">
        <f>IFERROR(L51-E51-F51+G51+H51+I51-J51-K51, "")</f>
        <v/>
      </c>
      <c r="N51" s="11">
        <f>IFERROR(_xll.ciqfunctions.udf.CIQ(mh_ticker, "IQ_EBITDA_EST", IQ_NTM, B51, , , "USD"), "")</f>
        <v/>
      </c>
      <c r="O51" s="13">
        <f>IFERROR(M51/N51, "")</f>
        <v/>
      </c>
    </row>
    <row r="52">
      <c r="B52" s="8" t="n"/>
      <c r="C52" s="9">
        <f>IFERROR(_xll.ciqfunctions.udf.CIQ(mh_ticker, "IQ_LASTSALEPRICE", B52), "")</f>
        <v/>
      </c>
      <c r="D52" s="10">
        <f>IFERROR(_xll.ciqfunctions.udf.CIQ(mh_ticker, "IQ_SHARESOUTSTANDING_OUT", B52), "")</f>
        <v/>
      </c>
      <c r="E52" s="11">
        <f>IFERROR(_xll.ciqfunctions.udf.CIQ(mh_ticker, "IQ_CASH_EQUIV", , B52), "")</f>
        <v/>
      </c>
      <c r="F52" s="11">
        <f>IFERROR(_xll.ciqfunctions.udf.CIQ(mh_ticker, "IQ_ST_INVEST", , B52), "")</f>
        <v/>
      </c>
      <c r="G52" s="11">
        <f>IFERROR(_xll.ciqfunctions.udf.CIQ(mh_ticker, "IQ_TOTAL_DEBT_EXCL_OPER_LEASES", , B52), "")</f>
        <v/>
      </c>
      <c r="H52" s="11">
        <f>IFERROR(_xll.ciqfunctions.udf.CIQ(mh_ticker, "IQ_PREF_EQUITY", , B52), "")</f>
        <v/>
      </c>
      <c r="I52" s="11">
        <f>IFERROR(_xll.ciqfunctions.udf.CIQ(mh_ticker, "IQ_MINORITY_INTEREST", , B52), "")</f>
        <v/>
      </c>
      <c r="J52" s="11">
        <f>IFERROR(_xll.ciqfunctions.udf.CIQ(mh_ticker, "IQ_EQUITY_METHOD", , B52), "")</f>
        <v/>
      </c>
      <c r="K52" s="11">
        <f>IFERROR(_xll.ciqfunctions.udf.CIQ(mh_ticker, "IQ_LT_Mark_Securities", , B52), "")</f>
        <v/>
      </c>
      <c r="L52" s="12">
        <f>IFERROR(C52*D52, "")</f>
        <v/>
      </c>
      <c r="M52" s="12">
        <f>IFERROR(L52-E52-F52+G52+H52+I52-J52-K52, "")</f>
        <v/>
      </c>
      <c r="N52" s="11">
        <f>IFERROR(_xll.ciqfunctions.udf.CIQ(mh_ticker, "IQ_EBITDA_EST", IQ_NTM, B52, , , "USD"), "")</f>
        <v/>
      </c>
      <c r="O52" s="13">
        <f>IFERROR(M52/N52, "")</f>
        <v/>
      </c>
    </row>
    <row r="53">
      <c r="B53" s="8" t="n"/>
      <c r="C53" s="9">
        <f>IFERROR(_xll.ciqfunctions.udf.CIQ(mh_ticker, "IQ_LASTSALEPRICE", B53), "")</f>
        <v/>
      </c>
      <c r="D53" s="10">
        <f>IFERROR(_xll.ciqfunctions.udf.CIQ(mh_ticker, "IQ_SHARESOUTSTANDING_OUT", B53), "")</f>
        <v/>
      </c>
      <c r="E53" s="11">
        <f>IFERROR(_xll.ciqfunctions.udf.CIQ(mh_ticker, "IQ_CASH_EQUIV", , B53), "")</f>
        <v/>
      </c>
      <c r="F53" s="11">
        <f>IFERROR(_xll.ciqfunctions.udf.CIQ(mh_ticker, "IQ_ST_INVEST", , B53), "")</f>
        <v/>
      </c>
      <c r="G53" s="11">
        <f>IFERROR(_xll.ciqfunctions.udf.CIQ(mh_ticker, "IQ_TOTAL_DEBT_EXCL_OPER_LEASES", , B53), "")</f>
        <v/>
      </c>
      <c r="H53" s="11">
        <f>IFERROR(_xll.ciqfunctions.udf.CIQ(mh_ticker, "IQ_PREF_EQUITY", , B53), "")</f>
        <v/>
      </c>
      <c r="I53" s="11">
        <f>IFERROR(_xll.ciqfunctions.udf.CIQ(mh_ticker, "IQ_MINORITY_INTEREST", , B53), "")</f>
        <v/>
      </c>
      <c r="J53" s="11">
        <f>IFERROR(_xll.ciqfunctions.udf.CIQ(mh_ticker, "IQ_EQUITY_METHOD", , B53), "")</f>
        <v/>
      </c>
      <c r="K53" s="11">
        <f>IFERROR(_xll.ciqfunctions.udf.CIQ(mh_ticker, "IQ_LT_Mark_Securities", , B53), "")</f>
        <v/>
      </c>
      <c r="L53" s="12">
        <f>IFERROR(C53*D53, "")</f>
        <v/>
      </c>
      <c r="M53" s="12">
        <f>IFERROR(L53-E53-F53+G53+H53+I53-J53-K53, "")</f>
        <v/>
      </c>
      <c r="N53" s="11">
        <f>IFERROR(_xll.ciqfunctions.udf.CIQ(mh_ticker, "IQ_EBITDA_EST", IQ_NTM, B53, , , "USD"), "")</f>
        <v/>
      </c>
      <c r="O53" s="13">
        <f>IFERROR(M53/N53, "")</f>
        <v/>
      </c>
    </row>
    <row r="54">
      <c r="B54" s="8" t="n"/>
      <c r="C54" s="9">
        <f>IFERROR(_xll.ciqfunctions.udf.CIQ(mh_ticker, "IQ_LASTSALEPRICE", B54), "")</f>
        <v/>
      </c>
      <c r="D54" s="10">
        <f>IFERROR(_xll.ciqfunctions.udf.CIQ(mh_ticker, "IQ_SHARESOUTSTANDING_OUT", B54), "")</f>
        <v/>
      </c>
      <c r="E54" s="11">
        <f>IFERROR(_xll.ciqfunctions.udf.CIQ(mh_ticker, "IQ_CASH_EQUIV", , B54), "")</f>
        <v/>
      </c>
      <c r="F54" s="11">
        <f>IFERROR(_xll.ciqfunctions.udf.CIQ(mh_ticker, "IQ_ST_INVEST", , B54), "")</f>
        <v/>
      </c>
      <c r="G54" s="11">
        <f>IFERROR(_xll.ciqfunctions.udf.CIQ(mh_ticker, "IQ_TOTAL_DEBT_EXCL_OPER_LEASES", , B54), "")</f>
        <v/>
      </c>
      <c r="H54" s="11">
        <f>IFERROR(_xll.ciqfunctions.udf.CIQ(mh_ticker, "IQ_PREF_EQUITY", , B54), "")</f>
        <v/>
      </c>
      <c r="I54" s="11">
        <f>IFERROR(_xll.ciqfunctions.udf.CIQ(mh_ticker, "IQ_MINORITY_INTEREST", , B54), "")</f>
        <v/>
      </c>
      <c r="J54" s="11">
        <f>IFERROR(_xll.ciqfunctions.udf.CIQ(mh_ticker, "IQ_EQUITY_METHOD", , B54), "")</f>
        <v/>
      </c>
      <c r="K54" s="11">
        <f>IFERROR(_xll.ciqfunctions.udf.CIQ(mh_ticker, "IQ_LT_Mark_Securities", , B54), "")</f>
        <v/>
      </c>
      <c r="L54" s="12">
        <f>IFERROR(C54*D54, "")</f>
        <v/>
      </c>
      <c r="M54" s="12">
        <f>IFERROR(L54-E54-F54+G54+H54+I54-J54-K54, "")</f>
        <v/>
      </c>
      <c r="N54" s="11">
        <f>IFERROR(_xll.ciqfunctions.udf.CIQ(mh_ticker, "IQ_EBITDA_EST", IQ_NTM, B54, , , "USD"), "")</f>
        <v/>
      </c>
      <c r="O54" s="13">
        <f>IFERROR(M54/N54, "")</f>
        <v/>
      </c>
    </row>
    <row r="55">
      <c r="B55" s="8" t="n"/>
      <c r="C55" s="9">
        <f>IFERROR(_xll.ciqfunctions.udf.CIQ(mh_ticker, "IQ_LASTSALEPRICE", B55), "")</f>
        <v/>
      </c>
      <c r="D55" s="10">
        <f>IFERROR(_xll.ciqfunctions.udf.CIQ(mh_ticker, "IQ_SHARESOUTSTANDING_OUT", B55), "")</f>
        <v/>
      </c>
      <c r="E55" s="11">
        <f>IFERROR(_xll.ciqfunctions.udf.CIQ(mh_ticker, "IQ_CASH_EQUIV", , B55), "")</f>
        <v/>
      </c>
      <c r="F55" s="11">
        <f>IFERROR(_xll.ciqfunctions.udf.CIQ(mh_ticker, "IQ_ST_INVEST", , B55), "")</f>
        <v/>
      </c>
      <c r="G55" s="11">
        <f>IFERROR(_xll.ciqfunctions.udf.CIQ(mh_ticker, "IQ_TOTAL_DEBT_EXCL_OPER_LEASES", , B55), "")</f>
        <v/>
      </c>
      <c r="H55" s="11">
        <f>IFERROR(_xll.ciqfunctions.udf.CIQ(mh_ticker, "IQ_PREF_EQUITY", , B55), "")</f>
        <v/>
      </c>
      <c r="I55" s="11">
        <f>IFERROR(_xll.ciqfunctions.udf.CIQ(mh_ticker, "IQ_MINORITY_INTEREST", , B55), "")</f>
        <v/>
      </c>
      <c r="J55" s="11">
        <f>IFERROR(_xll.ciqfunctions.udf.CIQ(mh_ticker, "IQ_EQUITY_METHOD", , B55), "")</f>
        <v/>
      </c>
      <c r="K55" s="11">
        <f>IFERROR(_xll.ciqfunctions.udf.CIQ(mh_ticker, "IQ_LT_Mark_Securities", , B55), "")</f>
        <v/>
      </c>
      <c r="L55" s="12">
        <f>IFERROR(C55*D55, "")</f>
        <v/>
      </c>
      <c r="M55" s="12">
        <f>IFERROR(L55-E55-F55+G55+H55+I55-J55-K55, "")</f>
        <v/>
      </c>
      <c r="N55" s="11">
        <f>IFERROR(_xll.ciqfunctions.udf.CIQ(mh_ticker, "IQ_EBITDA_EST", IQ_NTM, B55, , , "USD"), "")</f>
        <v/>
      </c>
      <c r="O55" s="13">
        <f>IFERROR(M55/N55, "")</f>
        <v/>
      </c>
    </row>
    <row r="56">
      <c r="B56" s="8" t="n"/>
      <c r="C56" s="9">
        <f>IFERROR(_xll.ciqfunctions.udf.CIQ(mh_ticker, "IQ_LASTSALEPRICE", B56), "")</f>
        <v/>
      </c>
      <c r="D56" s="10">
        <f>IFERROR(_xll.ciqfunctions.udf.CIQ(mh_ticker, "IQ_SHARESOUTSTANDING_OUT", B56), "")</f>
        <v/>
      </c>
      <c r="E56" s="11">
        <f>IFERROR(_xll.ciqfunctions.udf.CIQ(mh_ticker, "IQ_CASH_EQUIV", , B56), "")</f>
        <v/>
      </c>
      <c r="F56" s="11">
        <f>IFERROR(_xll.ciqfunctions.udf.CIQ(mh_ticker, "IQ_ST_INVEST", , B56), "")</f>
        <v/>
      </c>
      <c r="G56" s="11">
        <f>IFERROR(_xll.ciqfunctions.udf.CIQ(mh_ticker, "IQ_TOTAL_DEBT_EXCL_OPER_LEASES", , B56), "")</f>
        <v/>
      </c>
      <c r="H56" s="11">
        <f>IFERROR(_xll.ciqfunctions.udf.CIQ(mh_ticker, "IQ_PREF_EQUITY", , B56), "")</f>
        <v/>
      </c>
      <c r="I56" s="11">
        <f>IFERROR(_xll.ciqfunctions.udf.CIQ(mh_ticker, "IQ_MINORITY_INTEREST", , B56), "")</f>
        <v/>
      </c>
      <c r="J56" s="11">
        <f>IFERROR(_xll.ciqfunctions.udf.CIQ(mh_ticker, "IQ_EQUITY_METHOD", , B56), "")</f>
        <v/>
      </c>
      <c r="K56" s="11">
        <f>IFERROR(_xll.ciqfunctions.udf.CIQ(mh_ticker, "IQ_LT_Mark_Securities", , B56), "")</f>
        <v/>
      </c>
      <c r="L56" s="12">
        <f>IFERROR(C56*D56, "")</f>
        <v/>
      </c>
      <c r="M56" s="12">
        <f>IFERROR(L56-E56-F56+G56+H56+I56-J56-K56, "")</f>
        <v/>
      </c>
      <c r="N56" s="11">
        <f>IFERROR(_xll.ciqfunctions.udf.CIQ(mh_ticker, "IQ_EBITDA_EST", IQ_NTM, B56, , , "USD"), "")</f>
        <v/>
      </c>
      <c r="O56" s="13">
        <f>IFERROR(M56/N56, "")</f>
        <v/>
      </c>
    </row>
    <row r="57">
      <c r="B57" s="8" t="n"/>
      <c r="C57" s="9">
        <f>IFERROR(_xll.ciqfunctions.udf.CIQ(mh_ticker, "IQ_LASTSALEPRICE", B57), "")</f>
        <v/>
      </c>
      <c r="D57" s="10">
        <f>IFERROR(_xll.ciqfunctions.udf.CIQ(mh_ticker, "IQ_SHARESOUTSTANDING_OUT", B57), "")</f>
        <v/>
      </c>
      <c r="E57" s="11">
        <f>IFERROR(_xll.ciqfunctions.udf.CIQ(mh_ticker, "IQ_CASH_EQUIV", , B57), "")</f>
        <v/>
      </c>
      <c r="F57" s="11">
        <f>IFERROR(_xll.ciqfunctions.udf.CIQ(mh_ticker, "IQ_ST_INVEST", , B57), "")</f>
        <v/>
      </c>
      <c r="G57" s="11">
        <f>IFERROR(_xll.ciqfunctions.udf.CIQ(mh_ticker, "IQ_TOTAL_DEBT_EXCL_OPER_LEASES", , B57), "")</f>
        <v/>
      </c>
      <c r="H57" s="11">
        <f>IFERROR(_xll.ciqfunctions.udf.CIQ(mh_ticker, "IQ_PREF_EQUITY", , B57), "")</f>
        <v/>
      </c>
      <c r="I57" s="11">
        <f>IFERROR(_xll.ciqfunctions.udf.CIQ(mh_ticker, "IQ_MINORITY_INTEREST", , B57), "")</f>
        <v/>
      </c>
      <c r="J57" s="11">
        <f>IFERROR(_xll.ciqfunctions.udf.CIQ(mh_ticker, "IQ_EQUITY_METHOD", , B57), "")</f>
        <v/>
      </c>
      <c r="K57" s="11">
        <f>IFERROR(_xll.ciqfunctions.udf.CIQ(mh_ticker, "IQ_LT_Mark_Securities", , B57), "")</f>
        <v/>
      </c>
      <c r="L57" s="12">
        <f>IFERROR(C57*D57, "")</f>
        <v/>
      </c>
      <c r="M57" s="12">
        <f>IFERROR(L57-E57-F57+G57+H57+I57-J57-K57, "")</f>
        <v/>
      </c>
      <c r="N57" s="11">
        <f>IFERROR(_xll.ciqfunctions.udf.CIQ(mh_ticker, "IQ_EBITDA_EST", IQ_NTM, B57, , , "USD"), "")</f>
        <v/>
      </c>
      <c r="O57" s="13">
        <f>IFERROR(M57/N57, "")</f>
        <v/>
      </c>
    </row>
    <row r="58">
      <c r="B58" s="8" t="n"/>
      <c r="C58" s="9">
        <f>IFERROR(_xll.ciqfunctions.udf.CIQ(mh_ticker, "IQ_LASTSALEPRICE", B58), "")</f>
        <v/>
      </c>
      <c r="D58" s="10">
        <f>IFERROR(_xll.ciqfunctions.udf.CIQ(mh_ticker, "IQ_SHARESOUTSTANDING_OUT", B58), "")</f>
        <v/>
      </c>
      <c r="E58" s="11">
        <f>IFERROR(_xll.ciqfunctions.udf.CIQ(mh_ticker, "IQ_CASH_EQUIV", , B58), "")</f>
        <v/>
      </c>
      <c r="F58" s="11">
        <f>IFERROR(_xll.ciqfunctions.udf.CIQ(mh_ticker, "IQ_ST_INVEST", , B58), "")</f>
        <v/>
      </c>
      <c r="G58" s="11">
        <f>IFERROR(_xll.ciqfunctions.udf.CIQ(mh_ticker, "IQ_TOTAL_DEBT_EXCL_OPER_LEASES", , B58), "")</f>
        <v/>
      </c>
      <c r="H58" s="11">
        <f>IFERROR(_xll.ciqfunctions.udf.CIQ(mh_ticker, "IQ_PREF_EQUITY", , B58), "")</f>
        <v/>
      </c>
      <c r="I58" s="11">
        <f>IFERROR(_xll.ciqfunctions.udf.CIQ(mh_ticker, "IQ_MINORITY_INTEREST", , B58), "")</f>
        <v/>
      </c>
      <c r="J58" s="11">
        <f>IFERROR(_xll.ciqfunctions.udf.CIQ(mh_ticker, "IQ_EQUITY_METHOD", , B58), "")</f>
        <v/>
      </c>
      <c r="K58" s="11">
        <f>IFERROR(_xll.ciqfunctions.udf.CIQ(mh_ticker, "IQ_LT_Mark_Securities", , B58), "")</f>
        <v/>
      </c>
      <c r="L58" s="12">
        <f>IFERROR(C58*D58, "")</f>
        <v/>
      </c>
      <c r="M58" s="12">
        <f>IFERROR(L58-E58-F58+G58+H58+I58-J58-K58, "")</f>
        <v/>
      </c>
      <c r="N58" s="11">
        <f>IFERROR(_xll.ciqfunctions.udf.CIQ(mh_ticker, "IQ_EBITDA_EST", IQ_NTM, B58, , , "USD"), "")</f>
        <v/>
      </c>
      <c r="O58" s="13">
        <f>IFERROR(M58/N58, "")</f>
        <v/>
      </c>
    </row>
    <row r="59">
      <c r="B59" s="8" t="n"/>
      <c r="C59" s="9">
        <f>IFERROR(_xll.ciqfunctions.udf.CIQ(mh_ticker, "IQ_LASTSALEPRICE", B59), "")</f>
        <v/>
      </c>
      <c r="D59" s="10">
        <f>IFERROR(_xll.ciqfunctions.udf.CIQ(mh_ticker, "IQ_SHARESOUTSTANDING_OUT", B59), "")</f>
        <v/>
      </c>
      <c r="E59" s="11">
        <f>IFERROR(_xll.ciqfunctions.udf.CIQ(mh_ticker, "IQ_CASH_EQUIV", , B59), "")</f>
        <v/>
      </c>
      <c r="F59" s="11">
        <f>IFERROR(_xll.ciqfunctions.udf.CIQ(mh_ticker, "IQ_ST_INVEST", , B59), "")</f>
        <v/>
      </c>
      <c r="G59" s="11">
        <f>IFERROR(_xll.ciqfunctions.udf.CIQ(mh_ticker, "IQ_TOTAL_DEBT_EXCL_OPER_LEASES", , B59), "")</f>
        <v/>
      </c>
      <c r="H59" s="11">
        <f>IFERROR(_xll.ciqfunctions.udf.CIQ(mh_ticker, "IQ_PREF_EQUITY", , B59), "")</f>
        <v/>
      </c>
      <c r="I59" s="11">
        <f>IFERROR(_xll.ciqfunctions.udf.CIQ(mh_ticker, "IQ_MINORITY_INTEREST", , B59), "")</f>
        <v/>
      </c>
      <c r="J59" s="11">
        <f>IFERROR(_xll.ciqfunctions.udf.CIQ(mh_ticker, "IQ_EQUITY_METHOD", , B59), "")</f>
        <v/>
      </c>
      <c r="K59" s="11">
        <f>IFERROR(_xll.ciqfunctions.udf.CIQ(mh_ticker, "IQ_LT_Mark_Securities", , B59), "")</f>
        <v/>
      </c>
      <c r="L59" s="12">
        <f>IFERROR(C59*D59, "")</f>
        <v/>
      </c>
      <c r="M59" s="12">
        <f>IFERROR(L59-E59-F59+G59+H59+I59-J59-K59, "")</f>
        <v/>
      </c>
      <c r="N59" s="11">
        <f>IFERROR(_xll.ciqfunctions.udf.CIQ(mh_ticker, "IQ_EBITDA_EST", IQ_NTM, B59, , , "USD"), "")</f>
        <v/>
      </c>
      <c r="O59" s="13">
        <f>IFERROR(M59/N59, "")</f>
        <v/>
      </c>
    </row>
    <row r="60">
      <c r="B60" s="8" t="n"/>
      <c r="C60" s="9">
        <f>IFERROR(_xll.ciqfunctions.udf.CIQ(mh_ticker, "IQ_LASTSALEPRICE", B60), "")</f>
        <v/>
      </c>
      <c r="D60" s="10">
        <f>IFERROR(_xll.ciqfunctions.udf.CIQ(mh_ticker, "IQ_SHARESOUTSTANDING_OUT", B60), "")</f>
        <v/>
      </c>
      <c r="E60" s="11">
        <f>IFERROR(_xll.ciqfunctions.udf.CIQ(mh_ticker, "IQ_CASH_EQUIV", , B60), "")</f>
        <v/>
      </c>
      <c r="F60" s="11">
        <f>IFERROR(_xll.ciqfunctions.udf.CIQ(mh_ticker, "IQ_ST_INVEST", , B60), "")</f>
        <v/>
      </c>
      <c r="G60" s="11">
        <f>IFERROR(_xll.ciqfunctions.udf.CIQ(mh_ticker, "IQ_TOTAL_DEBT_EXCL_OPER_LEASES", , B60), "")</f>
        <v/>
      </c>
      <c r="H60" s="11">
        <f>IFERROR(_xll.ciqfunctions.udf.CIQ(mh_ticker, "IQ_PREF_EQUITY", , B60), "")</f>
        <v/>
      </c>
      <c r="I60" s="11">
        <f>IFERROR(_xll.ciqfunctions.udf.CIQ(mh_ticker, "IQ_MINORITY_INTEREST", , B60), "")</f>
        <v/>
      </c>
      <c r="J60" s="11">
        <f>IFERROR(_xll.ciqfunctions.udf.CIQ(mh_ticker, "IQ_EQUITY_METHOD", , B60), "")</f>
        <v/>
      </c>
      <c r="K60" s="11">
        <f>IFERROR(_xll.ciqfunctions.udf.CIQ(mh_ticker, "IQ_LT_Mark_Securities", , B60), "")</f>
        <v/>
      </c>
      <c r="L60" s="12">
        <f>IFERROR(C60*D60, "")</f>
        <v/>
      </c>
      <c r="M60" s="12">
        <f>IFERROR(L60-E60-F60+G60+H60+I60-J60-K60, "")</f>
        <v/>
      </c>
      <c r="N60" s="11">
        <f>IFERROR(_xll.ciqfunctions.udf.CIQ(mh_ticker, "IQ_EBITDA_EST", IQ_NTM, B60, , , "USD"), "")</f>
        <v/>
      </c>
      <c r="O60" s="13">
        <f>IFERROR(M60/N60, "")</f>
        <v/>
      </c>
    </row>
    <row r="61">
      <c r="B61" s="8" t="n"/>
      <c r="C61" s="9">
        <f>IFERROR(_xll.ciqfunctions.udf.CIQ(mh_ticker, "IQ_LASTSALEPRICE", B61), "")</f>
        <v/>
      </c>
      <c r="D61" s="10">
        <f>IFERROR(_xll.ciqfunctions.udf.CIQ(mh_ticker, "IQ_SHARESOUTSTANDING_OUT", B61), "")</f>
        <v/>
      </c>
      <c r="E61" s="11">
        <f>IFERROR(_xll.ciqfunctions.udf.CIQ(mh_ticker, "IQ_CASH_EQUIV", , B61), "")</f>
        <v/>
      </c>
      <c r="F61" s="11">
        <f>IFERROR(_xll.ciqfunctions.udf.CIQ(mh_ticker, "IQ_ST_INVEST", , B61), "")</f>
        <v/>
      </c>
      <c r="G61" s="11">
        <f>IFERROR(_xll.ciqfunctions.udf.CIQ(mh_ticker, "IQ_TOTAL_DEBT_EXCL_OPER_LEASES", , B61), "")</f>
        <v/>
      </c>
      <c r="H61" s="11">
        <f>IFERROR(_xll.ciqfunctions.udf.CIQ(mh_ticker, "IQ_PREF_EQUITY", , B61), "")</f>
        <v/>
      </c>
      <c r="I61" s="11">
        <f>IFERROR(_xll.ciqfunctions.udf.CIQ(mh_ticker, "IQ_MINORITY_INTEREST", , B61), "")</f>
        <v/>
      </c>
      <c r="J61" s="11">
        <f>IFERROR(_xll.ciqfunctions.udf.CIQ(mh_ticker, "IQ_EQUITY_METHOD", , B61), "")</f>
        <v/>
      </c>
      <c r="K61" s="11">
        <f>IFERROR(_xll.ciqfunctions.udf.CIQ(mh_ticker, "IQ_LT_Mark_Securities", , B61), "")</f>
        <v/>
      </c>
      <c r="L61" s="12">
        <f>IFERROR(C61*D61, "")</f>
        <v/>
      </c>
      <c r="M61" s="12">
        <f>IFERROR(L61-E61-F61+G61+H61+I61-J61-K61, "")</f>
        <v/>
      </c>
      <c r="N61" s="11">
        <f>IFERROR(_xll.ciqfunctions.udf.CIQ(mh_ticker, "IQ_EBITDA_EST", IQ_NTM, B61, , , "USD"), "")</f>
        <v/>
      </c>
      <c r="O61" s="13">
        <f>IFERROR(M61/N61, "")</f>
        <v/>
      </c>
    </row>
    <row r="62">
      <c r="B62" s="8" t="n"/>
      <c r="C62" s="9">
        <f>IFERROR(_xll.ciqfunctions.udf.CIQ(mh_ticker, "IQ_LASTSALEPRICE", B62), "")</f>
        <v/>
      </c>
      <c r="D62" s="10">
        <f>IFERROR(_xll.ciqfunctions.udf.CIQ(mh_ticker, "IQ_SHARESOUTSTANDING_OUT", B62), "")</f>
        <v/>
      </c>
      <c r="E62" s="11">
        <f>IFERROR(_xll.ciqfunctions.udf.CIQ(mh_ticker, "IQ_CASH_EQUIV", , B62), "")</f>
        <v/>
      </c>
      <c r="F62" s="11">
        <f>IFERROR(_xll.ciqfunctions.udf.CIQ(mh_ticker, "IQ_ST_INVEST", , B62), "")</f>
        <v/>
      </c>
      <c r="G62" s="11">
        <f>IFERROR(_xll.ciqfunctions.udf.CIQ(mh_ticker, "IQ_TOTAL_DEBT_EXCL_OPER_LEASES", , B62), "")</f>
        <v/>
      </c>
      <c r="H62" s="11">
        <f>IFERROR(_xll.ciqfunctions.udf.CIQ(mh_ticker, "IQ_PREF_EQUITY", , B62), "")</f>
        <v/>
      </c>
      <c r="I62" s="11">
        <f>IFERROR(_xll.ciqfunctions.udf.CIQ(mh_ticker, "IQ_MINORITY_INTEREST", , B62), "")</f>
        <v/>
      </c>
      <c r="J62" s="11">
        <f>IFERROR(_xll.ciqfunctions.udf.CIQ(mh_ticker, "IQ_EQUITY_METHOD", , B62), "")</f>
        <v/>
      </c>
      <c r="K62" s="11">
        <f>IFERROR(_xll.ciqfunctions.udf.CIQ(mh_ticker, "IQ_LT_Mark_Securities", , B62), "")</f>
        <v/>
      </c>
      <c r="L62" s="12">
        <f>IFERROR(C62*D62, "")</f>
        <v/>
      </c>
      <c r="M62" s="12">
        <f>IFERROR(L62-E62-F62+G62+H62+I62-J62-K62, "")</f>
        <v/>
      </c>
      <c r="N62" s="11">
        <f>IFERROR(_xll.ciqfunctions.udf.CIQ(mh_ticker, "IQ_EBITDA_EST", IQ_NTM, B62, , , "USD"), "")</f>
        <v/>
      </c>
      <c r="O62" s="13">
        <f>IFERROR(M62/N62, "")</f>
        <v/>
      </c>
    </row>
    <row r="63">
      <c r="B63" s="8" t="n"/>
      <c r="C63" s="9">
        <f>IFERROR(_xll.ciqfunctions.udf.CIQ(mh_ticker, "IQ_LASTSALEPRICE", B63), "")</f>
        <v/>
      </c>
      <c r="D63" s="10">
        <f>IFERROR(_xll.ciqfunctions.udf.CIQ(mh_ticker, "IQ_SHARESOUTSTANDING_OUT", B63), "")</f>
        <v/>
      </c>
      <c r="E63" s="11">
        <f>IFERROR(_xll.ciqfunctions.udf.CIQ(mh_ticker, "IQ_CASH_EQUIV", , B63), "")</f>
        <v/>
      </c>
      <c r="F63" s="11">
        <f>IFERROR(_xll.ciqfunctions.udf.CIQ(mh_ticker, "IQ_ST_INVEST", , B63), "")</f>
        <v/>
      </c>
      <c r="G63" s="11">
        <f>IFERROR(_xll.ciqfunctions.udf.CIQ(mh_ticker, "IQ_TOTAL_DEBT_EXCL_OPER_LEASES", , B63), "")</f>
        <v/>
      </c>
      <c r="H63" s="11">
        <f>IFERROR(_xll.ciqfunctions.udf.CIQ(mh_ticker, "IQ_PREF_EQUITY", , B63), "")</f>
        <v/>
      </c>
      <c r="I63" s="11">
        <f>IFERROR(_xll.ciqfunctions.udf.CIQ(mh_ticker, "IQ_MINORITY_INTEREST", , B63), "")</f>
        <v/>
      </c>
      <c r="J63" s="11">
        <f>IFERROR(_xll.ciqfunctions.udf.CIQ(mh_ticker, "IQ_EQUITY_METHOD", , B63), "")</f>
        <v/>
      </c>
      <c r="K63" s="11">
        <f>IFERROR(_xll.ciqfunctions.udf.CIQ(mh_ticker, "IQ_LT_Mark_Securities", , B63), "")</f>
        <v/>
      </c>
      <c r="L63" s="12">
        <f>IFERROR(C63*D63, "")</f>
        <v/>
      </c>
      <c r="M63" s="12">
        <f>IFERROR(L63-E63-F63+G63+H63+I63-J63-K63, "")</f>
        <v/>
      </c>
      <c r="N63" s="11">
        <f>IFERROR(_xll.ciqfunctions.udf.CIQ(mh_ticker, "IQ_EBITDA_EST", IQ_NTM, B63, , , "USD"), "")</f>
        <v/>
      </c>
      <c r="O63" s="13">
        <f>IFERROR(M63/N63, "")</f>
        <v/>
      </c>
    </row>
    <row r="64">
      <c r="B64" s="8" t="n"/>
      <c r="C64" s="9">
        <f>IFERROR(_xll.ciqfunctions.udf.CIQ(mh_ticker, "IQ_LASTSALEPRICE", B64), "")</f>
        <v/>
      </c>
      <c r="D64" s="10">
        <f>IFERROR(_xll.ciqfunctions.udf.CIQ(mh_ticker, "IQ_SHARESOUTSTANDING_OUT", B64), "")</f>
        <v/>
      </c>
      <c r="E64" s="11">
        <f>IFERROR(_xll.ciqfunctions.udf.CIQ(mh_ticker, "IQ_CASH_EQUIV", , B64), "")</f>
        <v/>
      </c>
      <c r="F64" s="11">
        <f>IFERROR(_xll.ciqfunctions.udf.CIQ(mh_ticker, "IQ_ST_INVEST", , B64), "")</f>
        <v/>
      </c>
      <c r="G64" s="11">
        <f>IFERROR(_xll.ciqfunctions.udf.CIQ(mh_ticker, "IQ_TOTAL_DEBT_EXCL_OPER_LEASES", , B64), "")</f>
        <v/>
      </c>
      <c r="H64" s="11">
        <f>IFERROR(_xll.ciqfunctions.udf.CIQ(mh_ticker, "IQ_PREF_EQUITY", , B64), "")</f>
        <v/>
      </c>
      <c r="I64" s="11">
        <f>IFERROR(_xll.ciqfunctions.udf.CIQ(mh_ticker, "IQ_MINORITY_INTEREST", , B64), "")</f>
        <v/>
      </c>
      <c r="J64" s="11">
        <f>IFERROR(_xll.ciqfunctions.udf.CIQ(mh_ticker, "IQ_EQUITY_METHOD", , B64), "")</f>
        <v/>
      </c>
      <c r="K64" s="11">
        <f>IFERROR(_xll.ciqfunctions.udf.CIQ(mh_ticker, "IQ_LT_Mark_Securities", , B64), "")</f>
        <v/>
      </c>
      <c r="L64" s="12">
        <f>IFERROR(C64*D64, "")</f>
        <v/>
      </c>
      <c r="M64" s="12">
        <f>IFERROR(L64-E64-F64+G64+H64+I64-J64-K64, "")</f>
        <v/>
      </c>
      <c r="N64" s="11">
        <f>IFERROR(_xll.ciqfunctions.udf.CIQ(mh_ticker, "IQ_EBITDA_EST", IQ_NTM, B64, , , "USD"), "")</f>
        <v/>
      </c>
      <c r="O64" s="13">
        <f>IFERROR(M64/N64, "")</f>
        <v/>
      </c>
    </row>
    <row r="65">
      <c r="B65" s="8" t="n"/>
      <c r="C65" s="9">
        <f>IFERROR(_xll.ciqfunctions.udf.CIQ(mh_ticker, "IQ_LASTSALEPRICE", B65), "")</f>
        <v/>
      </c>
      <c r="D65" s="10">
        <f>IFERROR(_xll.ciqfunctions.udf.CIQ(mh_ticker, "IQ_SHARESOUTSTANDING_OUT", B65), "")</f>
        <v/>
      </c>
      <c r="E65" s="11">
        <f>IFERROR(_xll.ciqfunctions.udf.CIQ(mh_ticker, "IQ_CASH_EQUIV", , B65), "")</f>
        <v/>
      </c>
      <c r="F65" s="11">
        <f>IFERROR(_xll.ciqfunctions.udf.CIQ(mh_ticker, "IQ_ST_INVEST", , B65), "")</f>
        <v/>
      </c>
      <c r="G65" s="11">
        <f>IFERROR(_xll.ciqfunctions.udf.CIQ(mh_ticker, "IQ_TOTAL_DEBT_EXCL_OPER_LEASES", , B65), "")</f>
        <v/>
      </c>
      <c r="H65" s="11">
        <f>IFERROR(_xll.ciqfunctions.udf.CIQ(mh_ticker, "IQ_PREF_EQUITY", , B65), "")</f>
        <v/>
      </c>
      <c r="I65" s="11">
        <f>IFERROR(_xll.ciqfunctions.udf.CIQ(mh_ticker, "IQ_MINORITY_INTEREST", , B65), "")</f>
        <v/>
      </c>
      <c r="J65" s="11">
        <f>IFERROR(_xll.ciqfunctions.udf.CIQ(mh_ticker, "IQ_EQUITY_METHOD", , B65), "")</f>
        <v/>
      </c>
      <c r="K65" s="11">
        <f>IFERROR(_xll.ciqfunctions.udf.CIQ(mh_ticker, "IQ_LT_Mark_Securities", , B65), "")</f>
        <v/>
      </c>
      <c r="L65" s="12">
        <f>IFERROR(C65*D65, "")</f>
        <v/>
      </c>
      <c r="M65" s="12">
        <f>IFERROR(L65-E65-F65+G65+H65+I65-J65-K65, "")</f>
        <v/>
      </c>
      <c r="N65" s="11">
        <f>IFERROR(_xll.ciqfunctions.udf.CIQ(mh_ticker, "IQ_EBITDA_EST", IQ_NTM, B65, , , "USD"), "")</f>
        <v/>
      </c>
      <c r="O65" s="13">
        <f>IFERROR(M65/N65, "")</f>
        <v/>
      </c>
    </row>
    <row r="66">
      <c r="B66" s="8" t="n"/>
      <c r="C66" s="9">
        <f>IFERROR(_xll.ciqfunctions.udf.CIQ(mh_ticker, "IQ_LASTSALEPRICE", B66), "")</f>
        <v/>
      </c>
      <c r="D66" s="10">
        <f>IFERROR(_xll.ciqfunctions.udf.CIQ(mh_ticker, "IQ_SHARESOUTSTANDING_OUT", B66), "")</f>
        <v/>
      </c>
      <c r="E66" s="11">
        <f>IFERROR(_xll.ciqfunctions.udf.CIQ(mh_ticker, "IQ_CASH_EQUIV", , B66), "")</f>
        <v/>
      </c>
      <c r="F66" s="11">
        <f>IFERROR(_xll.ciqfunctions.udf.CIQ(mh_ticker, "IQ_ST_INVEST", , B66), "")</f>
        <v/>
      </c>
      <c r="G66" s="11">
        <f>IFERROR(_xll.ciqfunctions.udf.CIQ(mh_ticker, "IQ_TOTAL_DEBT_EXCL_OPER_LEASES", , B66), "")</f>
        <v/>
      </c>
      <c r="H66" s="11">
        <f>IFERROR(_xll.ciqfunctions.udf.CIQ(mh_ticker, "IQ_PREF_EQUITY", , B66), "")</f>
        <v/>
      </c>
      <c r="I66" s="11">
        <f>IFERROR(_xll.ciqfunctions.udf.CIQ(mh_ticker, "IQ_MINORITY_INTEREST", , B66), "")</f>
        <v/>
      </c>
      <c r="J66" s="11">
        <f>IFERROR(_xll.ciqfunctions.udf.CIQ(mh_ticker, "IQ_EQUITY_METHOD", , B66), "")</f>
        <v/>
      </c>
      <c r="K66" s="11">
        <f>IFERROR(_xll.ciqfunctions.udf.CIQ(mh_ticker, "IQ_LT_Mark_Securities", , B66), "")</f>
        <v/>
      </c>
      <c r="L66" s="12">
        <f>IFERROR(C66*D66, "")</f>
        <v/>
      </c>
      <c r="M66" s="12">
        <f>IFERROR(L66-E66-F66+G66+H66+I66-J66-K66, "")</f>
        <v/>
      </c>
      <c r="N66" s="11">
        <f>IFERROR(_xll.ciqfunctions.udf.CIQ(mh_ticker, "IQ_EBITDA_EST", IQ_NTM, B66, , , "USD"), "")</f>
        <v/>
      </c>
      <c r="O66" s="13">
        <f>IFERROR(M66/N66, "")</f>
        <v/>
      </c>
    </row>
    <row r="67">
      <c r="B67" s="8" t="n"/>
      <c r="C67" s="9">
        <f>IFERROR(_xll.ciqfunctions.udf.CIQ(mh_ticker, "IQ_LASTSALEPRICE", B67), "")</f>
        <v/>
      </c>
      <c r="D67" s="10">
        <f>IFERROR(_xll.ciqfunctions.udf.CIQ(mh_ticker, "IQ_SHARESOUTSTANDING_OUT", B67), "")</f>
        <v/>
      </c>
      <c r="E67" s="11">
        <f>IFERROR(_xll.ciqfunctions.udf.CIQ(mh_ticker, "IQ_CASH_EQUIV", , B67), "")</f>
        <v/>
      </c>
      <c r="F67" s="11">
        <f>IFERROR(_xll.ciqfunctions.udf.CIQ(mh_ticker, "IQ_ST_INVEST", , B67), "")</f>
        <v/>
      </c>
      <c r="G67" s="11">
        <f>IFERROR(_xll.ciqfunctions.udf.CIQ(mh_ticker, "IQ_TOTAL_DEBT_EXCL_OPER_LEASES", , B67), "")</f>
        <v/>
      </c>
      <c r="H67" s="11">
        <f>IFERROR(_xll.ciqfunctions.udf.CIQ(mh_ticker, "IQ_PREF_EQUITY", , B67), "")</f>
        <v/>
      </c>
      <c r="I67" s="11">
        <f>IFERROR(_xll.ciqfunctions.udf.CIQ(mh_ticker, "IQ_MINORITY_INTEREST", , B67), "")</f>
        <v/>
      </c>
      <c r="J67" s="11">
        <f>IFERROR(_xll.ciqfunctions.udf.CIQ(mh_ticker, "IQ_EQUITY_METHOD", , B67), "")</f>
        <v/>
      </c>
      <c r="K67" s="11">
        <f>IFERROR(_xll.ciqfunctions.udf.CIQ(mh_ticker, "IQ_LT_Mark_Securities", , B67), "")</f>
        <v/>
      </c>
      <c r="L67" s="12">
        <f>IFERROR(C67*D67, "")</f>
        <v/>
      </c>
      <c r="M67" s="12">
        <f>IFERROR(L67-E67-F67+G67+H67+I67-J67-K67, "")</f>
        <v/>
      </c>
      <c r="N67" s="11">
        <f>IFERROR(_xll.ciqfunctions.udf.CIQ(mh_ticker, "IQ_EBITDA_EST", IQ_NTM, B67, , , "USD"), "")</f>
        <v/>
      </c>
      <c r="O67" s="13">
        <f>IFERROR(M67/N67, "")</f>
        <v/>
      </c>
    </row>
    <row r="68">
      <c r="B68" s="8" t="n"/>
      <c r="C68" s="9">
        <f>IFERROR(_xll.ciqfunctions.udf.CIQ(mh_ticker, "IQ_LASTSALEPRICE", B68), "")</f>
        <v/>
      </c>
      <c r="D68" s="10">
        <f>IFERROR(_xll.ciqfunctions.udf.CIQ(mh_ticker, "IQ_SHARESOUTSTANDING_OUT", B68), "")</f>
        <v/>
      </c>
      <c r="E68" s="11">
        <f>IFERROR(_xll.ciqfunctions.udf.CIQ(mh_ticker, "IQ_CASH_EQUIV", , B68), "")</f>
        <v/>
      </c>
      <c r="F68" s="11">
        <f>IFERROR(_xll.ciqfunctions.udf.CIQ(mh_ticker, "IQ_ST_INVEST", , B68), "")</f>
        <v/>
      </c>
      <c r="G68" s="11">
        <f>IFERROR(_xll.ciqfunctions.udf.CIQ(mh_ticker, "IQ_TOTAL_DEBT_EXCL_OPER_LEASES", , B68), "")</f>
        <v/>
      </c>
      <c r="H68" s="11">
        <f>IFERROR(_xll.ciqfunctions.udf.CIQ(mh_ticker, "IQ_PREF_EQUITY", , B68), "")</f>
        <v/>
      </c>
      <c r="I68" s="11">
        <f>IFERROR(_xll.ciqfunctions.udf.CIQ(mh_ticker, "IQ_MINORITY_INTEREST", , B68), "")</f>
        <v/>
      </c>
      <c r="J68" s="11">
        <f>IFERROR(_xll.ciqfunctions.udf.CIQ(mh_ticker, "IQ_EQUITY_METHOD", , B68), "")</f>
        <v/>
      </c>
      <c r="K68" s="11">
        <f>IFERROR(_xll.ciqfunctions.udf.CIQ(mh_ticker, "IQ_LT_Mark_Securities", , B68), "")</f>
        <v/>
      </c>
      <c r="L68" s="12">
        <f>IFERROR(C68*D68, "")</f>
        <v/>
      </c>
      <c r="M68" s="12">
        <f>IFERROR(L68-E68-F68+G68+H68+I68-J68-K68, "")</f>
        <v/>
      </c>
      <c r="N68" s="11">
        <f>IFERROR(_xll.ciqfunctions.udf.CIQ(mh_ticker, "IQ_EBITDA_EST", IQ_NTM, B68, , , "USD"), "")</f>
        <v/>
      </c>
      <c r="O68" s="13">
        <f>IFERROR(M68/N68, "")</f>
        <v/>
      </c>
    </row>
    <row r="69">
      <c r="B69" s="8" t="n"/>
      <c r="C69" s="9">
        <f>IFERROR(_xll.ciqfunctions.udf.CIQ(mh_ticker, "IQ_LASTSALEPRICE", B69), "")</f>
        <v/>
      </c>
      <c r="D69" s="10">
        <f>IFERROR(_xll.ciqfunctions.udf.CIQ(mh_ticker, "IQ_SHARESOUTSTANDING_OUT", B69), "")</f>
        <v/>
      </c>
      <c r="E69" s="11">
        <f>IFERROR(_xll.ciqfunctions.udf.CIQ(mh_ticker, "IQ_CASH_EQUIV", , B69), "")</f>
        <v/>
      </c>
      <c r="F69" s="11">
        <f>IFERROR(_xll.ciqfunctions.udf.CIQ(mh_ticker, "IQ_ST_INVEST", , B69), "")</f>
        <v/>
      </c>
      <c r="G69" s="11">
        <f>IFERROR(_xll.ciqfunctions.udf.CIQ(mh_ticker, "IQ_TOTAL_DEBT_EXCL_OPER_LEASES", , B69), "")</f>
        <v/>
      </c>
      <c r="H69" s="11">
        <f>IFERROR(_xll.ciqfunctions.udf.CIQ(mh_ticker, "IQ_PREF_EQUITY", , B69), "")</f>
        <v/>
      </c>
      <c r="I69" s="11">
        <f>IFERROR(_xll.ciqfunctions.udf.CIQ(mh_ticker, "IQ_MINORITY_INTEREST", , B69), "")</f>
        <v/>
      </c>
      <c r="J69" s="11">
        <f>IFERROR(_xll.ciqfunctions.udf.CIQ(mh_ticker, "IQ_EQUITY_METHOD", , B69), "")</f>
        <v/>
      </c>
      <c r="K69" s="11">
        <f>IFERROR(_xll.ciqfunctions.udf.CIQ(mh_ticker, "IQ_LT_Mark_Securities", , B69), "")</f>
        <v/>
      </c>
      <c r="L69" s="12">
        <f>IFERROR(C69*D69, "")</f>
        <v/>
      </c>
      <c r="M69" s="12">
        <f>IFERROR(L69-E69-F69+G69+H69+I69-J69-K69, "")</f>
        <v/>
      </c>
      <c r="N69" s="11">
        <f>IFERROR(_xll.ciqfunctions.udf.CIQ(mh_ticker, "IQ_EBITDA_EST", IQ_NTM, B69, , , "USD"), "")</f>
        <v/>
      </c>
      <c r="O69" s="13">
        <f>IFERROR(M69/N69, "")</f>
        <v/>
      </c>
    </row>
    <row r="70">
      <c r="B70" s="8" t="n"/>
      <c r="C70" s="9">
        <f>IFERROR(_xll.ciqfunctions.udf.CIQ(mh_ticker, "IQ_LASTSALEPRICE", B70), "")</f>
        <v/>
      </c>
      <c r="D70" s="10">
        <f>IFERROR(_xll.ciqfunctions.udf.CIQ(mh_ticker, "IQ_SHARESOUTSTANDING_OUT", B70), "")</f>
        <v/>
      </c>
      <c r="E70" s="11">
        <f>IFERROR(_xll.ciqfunctions.udf.CIQ(mh_ticker, "IQ_CASH_EQUIV", , B70), "")</f>
        <v/>
      </c>
      <c r="F70" s="11">
        <f>IFERROR(_xll.ciqfunctions.udf.CIQ(mh_ticker, "IQ_ST_INVEST", , B70), "")</f>
        <v/>
      </c>
      <c r="G70" s="11">
        <f>IFERROR(_xll.ciqfunctions.udf.CIQ(mh_ticker, "IQ_TOTAL_DEBT_EXCL_OPER_LEASES", , B70), "")</f>
        <v/>
      </c>
      <c r="H70" s="11">
        <f>IFERROR(_xll.ciqfunctions.udf.CIQ(mh_ticker, "IQ_PREF_EQUITY", , B70), "")</f>
        <v/>
      </c>
      <c r="I70" s="11">
        <f>IFERROR(_xll.ciqfunctions.udf.CIQ(mh_ticker, "IQ_MINORITY_INTEREST", , B70), "")</f>
        <v/>
      </c>
      <c r="J70" s="11">
        <f>IFERROR(_xll.ciqfunctions.udf.CIQ(mh_ticker, "IQ_EQUITY_METHOD", , B70), "")</f>
        <v/>
      </c>
      <c r="K70" s="11">
        <f>IFERROR(_xll.ciqfunctions.udf.CIQ(mh_ticker, "IQ_LT_Mark_Securities", , B70), "")</f>
        <v/>
      </c>
      <c r="L70" s="12">
        <f>IFERROR(C70*D70, "")</f>
        <v/>
      </c>
      <c r="M70" s="12">
        <f>IFERROR(L70-E70-F70+G70+H70+I70-J70-K70, "")</f>
        <v/>
      </c>
      <c r="N70" s="11">
        <f>IFERROR(_xll.ciqfunctions.udf.CIQ(mh_ticker, "IQ_EBITDA_EST", IQ_NTM, B70, , , "USD"), "")</f>
        <v/>
      </c>
      <c r="O70" s="13">
        <f>IFERROR(M70/N70, "")</f>
        <v/>
      </c>
    </row>
    <row r="71">
      <c r="B71" s="8" t="n"/>
      <c r="C71" s="9">
        <f>IFERROR(_xll.ciqfunctions.udf.CIQ(mh_ticker, "IQ_LASTSALEPRICE", B71), "")</f>
        <v/>
      </c>
      <c r="D71" s="10">
        <f>IFERROR(_xll.ciqfunctions.udf.CIQ(mh_ticker, "IQ_SHARESOUTSTANDING_OUT", B71), "")</f>
        <v/>
      </c>
      <c r="E71" s="11">
        <f>IFERROR(_xll.ciqfunctions.udf.CIQ(mh_ticker, "IQ_CASH_EQUIV", , B71), "")</f>
        <v/>
      </c>
      <c r="F71" s="11">
        <f>IFERROR(_xll.ciqfunctions.udf.CIQ(mh_ticker, "IQ_ST_INVEST", , B71), "")</f>
        <v/>
      </c>
      <c r="G71" s="11">
        <f>IFERROR(_xll.ciqfunctions.udf.CIQ(mh_ticker, "IQ_TOTAL_DEBT_EXCL_OPER_LEASES", , B71), "")</f>
        <v/>
      </c>
      <c r="H71" s="11">
        <f>IFERROR(_xll.ciqfunctions.udf.CIQ(mh_ticker, "IQ_PREF_EQUITY", , B71), "")</f>
        <v/>
      </c>
      <c r="I71" s="11">
        <f>IFERROR(_xll.ciqfunctions.udf.CIQ(mh_ticker, "IQ_MINORITY_INTEREST", , B71), "")</f>
        <v/>
      </c>
      <c r="J71" s="11">
        <f>IFERROR(_xll.ciqfunctions.udf.CIQ(mh_ticker, "IQ_EQUITY_METHOD", , B71), "")</f>
        <v/>
      </c>
      <c r="K71" s="11">
        <f>IFERROR(_xll.ciqfunctions.udf.CIQ(mh_ticker, "IQ_LT_Mark_Securities", , B71), "")</f>
        <v/>
      </c>
      <c r="L71" s="12">
        <f>IFERROR(C71*D71, "")</f>
        <v/>
      </c>
      <c r="M71" s="12">
        <f>IFERROR(L71-E71-F71+G71+H71+I71-J71-K71, "")</f>
        <v/>
      </c>
      <c r="N71" s="11">
        <f>IFERROR(_xll.ciqfunctions.udf.CIQ(mh_ticker, "IQ_EBITDA_EST", IQ_NTM, B71, , , "USD"), "")</f>
        <v/>
      </c>
      <c r="O71" s="13">
        <f>IFERROR(M71/N71, "")</f>
        <v/>
      </c>
    </row>
    <row r="72">
      <c r="B72" s="8" t="n"/>
      <c r="C72" s="9">
        <f>IFERROR(_xll.ciqfunctions.udf.CIQ(mh_ticker, "IQ_LASTSALEPRICE", B72), "")</f>
        <v/>
      </c>
      <c r="D72" s="10">
        <f>IFERROR(_xll.ciqfunctions.udf.CIQ(mh_ticker, "IQ_SHARESOUTSTANDING_OUT", B72), "")</f>
        <v/>
      </c>
      <c r="E72" s="11">
        <f>IFERROR(_xll.ciqfunctions.udf.CIQ(mh_ticker, "IQ_CASH_EQUIV", , B72), "")</f>
        <v/>
      </c>
      <c r="F72" s="11">
        <f>IFERROR(_xll.ciqfunctions.udf.CIQ(mh_ticker, "IQ_ST_INVEST", , B72), "")</f>
        <v/>
      </c>
      <c r="G72" s="11">
        <f>IFERROR(_xll.ciqfunctions.udf.CIQ(mh_ticker, "IQ_TOTAL_DEBT_EXCL_OPER_LEASES", , B72), "")</f>
        <v/>
      </c>
      <c r="H72" s="11">
        <f>IFERROR(_xll.ciqfunctions.udf.CIQ(mh_ticker, "IQ_PREF_EQUITY", , B72), "")</f>
        <v/>
      </c>
      <c r="I72" s="11">
        <f>IFERROR(_xll.ciqfunctions.udf.CIQ(mh_ticker, "IQ_MINORITY_INTEREST", , B72), "")</f>
        <v/>
      </c>
      <c r="J72" s="11">
        <f>IFERROR(_xll.ciqfunctions.udf.CIQ(mh_ticker, "IQ_EQUITY_METHOD", , B72), "")</f>
        <v/>
      </c>
      <c r="K72" s="11">
        <f>IFERROR(_xll.ciqfunctions.udf.CIQ(mh_ticker, "IQ_LT_Mark_Securities", , B72), "")</f>
        <v/>
      </c>
      <c r="L72" s="12">
        <f>IFERROR(C72*D72, "")</f>
        <v/>
      </c>
      <c r="M72" s="12">
        <f>IFERROR(L72-E72-F72+G72+H72+I72-J72-K72, "")</f>
        <v/>
      </c>
      <c r="N72" s="11">
        <f>IFERROR(_xll.ciqfunctions.udf.CIQ(mh_ticker, "IQ_EBITDA_EST", IQ_NTM, B72, , , "USD"), "")</f>
        <v/>
      </c>
      <c r="O72" s="13">
        <f>IFERROR(M72/N72, "")</f>
        <v/>
      </c>
    </row>
    <row r="73">
      <c r="B73" s="8" t="n"/>
      <c r="C73" s="9">
        <f>IFERROR(_xll.ciqfunctions.udf.CIQ(mh_ticker, "IQ_LASTSALEPRICE", B73), "")</f>
        <v/>
      </c>
      <c r="D73" s="10">
        <f>IFERROR(_xll.ciqfunctions.udf.CIQ(mh_ticker, "IQ_SHARESOUTSTANDING_OUT", B73), "")</f>
        <v/>
      </c>
      <c r="E73" s="11">
        <f>IFERROR(_xll.ciqfunctions.udf.CIQ(mh_ticker, "IQ_CASH_EQUIV", , B73), "")</f>
        <v/>
      </c>
      <c r="F73" s="11">
        <f>IFERROR(_xll.ciqfunctions.udf.CIQ(mh_ticker, "IQ_ST_INVEST", , B73), "")</f>
        <v/>
      </c>
      <c r="G73" s="11">
        <f>IFERROR(_xll.ciqfunctions.udf.CIQ(mh_ticker, "IQ_TOTAL_DEBT_EXCL_OPER_LEASES", , B73), "")</f>
        <v/>
      </c>
      <c r="H73" s="11">
        <f>IFERROR(_xll.ciqfunctions.udf.CIQ(mh_ticker, "IQ_PREF_EQUITY", , B73), "")</f>
        <v/>
      </c>
      <c r="I73" s="11">
        <f>IFERROR(_xll.ciqfunctions.udf.CIQ(mh_ticker, "IQ_MINORITY_INTEREST", , B73), "")</f>
        <v/>
      </c>
      <c r="J73" s="11">
        <f>IFERROR(_xll.ciqfunctions.udf.CIQ(mh_ticker, "IQ_EQUITY_METHOD", , B73), "")</f>
        <v/>
      </c>
      <c r="K73" s="11">
        <f>IFERROR(_xll.ciqfunctions.udf.CIQ(mh_ticker, "IQ_LT_Mark_Securities", , B73), "")</f>
        <v/>
      </c>
      <c r="L73" s="12">
        <f>IFERROR(C73*D73, "")</f>
        <v/>
      </c>
      <c r="M73" s="12">
        <f>IFERROR(L73-E73-F73+G73+H73+I73-J73-K73, "")</f>
        <v/>
      </c>
      <c r="N73" s="11">
        <f>IFERROR(_xll.ciqfunctions.udf.CIQ(mh_ticker, "IQ_EBITDA_EST", IQ_NTM, B73, , , "USD"), "")</f>
        <v/>
      </c>
      <c r="O73" s="13">
        <f>IFERROR(M73/N73, "")</f>
        <v/>
      </c>
    </row>
    <row r="74">
      <c r="B74" s="8" t="n"/>
      <c r="C74" s="9">
        <f>IFERROR(_xll.ciqfunctions.udf.CIQ(mh_ticker, "IQ_LASTSALEPRICE", B74), "")</f>
        <v/>
      </c>
      <c r="D74" s="10">
        <f>IFERROR(_xll.ciqfunctions.udf.CIQ(mh_ticker, "IQ_SHARESOUTSTANDING_OUT", B74), "")</f>
        <v/>
      </c>
      <c r="E74" s="11">
        <f>IFERROR(_xll.ciqfunctions.udf.CIQ(mh_ticker, "IQ_CASH_EQUIV", , B74), "")</f>
        <v/>
      </c>
      <c r="F74" s="11">
        <f>IFERROR(_xll.ciqfunctions.udf.CIQ(mh_ticker, "IQ_ST_INVEST", , B74), "")</f>
        <v/>
      </c>
      <c r="G74" s="11">
        <f>IFERROR(_xll.ciqfunctions.udf.CIQ(mh_ticker, "IQ_TOTAL_DEBT_EXCL_OPER_LEASES", , B74), "")</f>
        <v/>
      </c>
      <c r="H74" s="11">
        <f>IFERROR(_xll.ciqfunctions.udf.CIQ(mh_ticker, "IQ_PREF_EQUITY", , B74), "")</f>
        <v/>
      </c>
      <c r="I74" s="11">
        <f>IFERROR(_xll.ciqfunctions.udf.CIQ(mh_ticker, "IQ_MINORITY_INTEREST", , B74), "")</f>
        <v/>
      </c>
      <c r="J74" s="11">
        <f>IFERROR(_xll.ciqfunctions.udf.CIQ(mh_ticker, "IQ_EQUITY_METHOD", , B74), "")</f>
        <v/>
      </c>
      <c r="K74" s="11">
        <f>IFERROR(_xll.ciqfunctions.udf.CIQ(mh_ticker, "IQ_LT_Mark_Securities", , B74), "")</f>
        <v/>
      </c>
      <c r="L74" s="12">
        <f>IFERROR(C74*D74, "")</f>
        <v/>
      </c>
      <c r="M74" s="12">
        <f>IFERROR(L74-E74-F74+G74+H74+I74-J74-K74, "")</f>
        <v/>
      </c>
      <c r="N74" s="11">
        <f>IFERROR(_xll.ciqfunctions.udf.CIQ(mh_ticker, "IQ_EBITDA_EST", IQ_NTM, B74, , , "USD"), "")</f>
        <v/>
      </c>
      <c r="O74" s="13">
        <f>IFERROR(M74/N74, "")</f>
        <v/>
      </c>
    </row>
    <row r="75">
      <c r="B75" s="8" t="n"/>
      <c r="C75" s="9">
        <f>IFERROR(_xll.ciqfunctions.udf.CIQ(mh_ticker, "IQ_LASTSALEPRICE", B75), "")</f>
        <v/>
      </c>
      <c r="D75" s="10">
        <f>IFERROR(_xll.ciqfunctions.udf.CIQ(mh_ticker, "IQ_SHARESOUTSTANDING_OUT", B75), "")</f>
        <v/>
      </c>
      <c r="E75" s="11">
        <f>IFERROR(_xll.ciqfunctions.udf.CIQ(mh_ticker, "IQ_CASH_EQUIV", , B75), "")</f>
        <v/>
      </c>
      <c r="F75" s="11">
        <f>IFERROR(_xll.ciqfunctions.udf.CIQ(mh_ticker, "IQ_ST_INVEST", , B75), "")</f>
        <v/>
      </c>
      <c r="G75" s="11">
        <f>IFERROR(_xll.ciqfunctions.udf.CIQ(mh_ticker, "IQ_TOTAL_DEBT_EXCL_OPER_LEASES", , B75), "")</f>
        <v/>
      </c>
      <c r="H75" s="11">
        <f>IFERROR(_xll.ciqfunctions.udf.CIQ(mh_ticker, "IQ_PREF_EQUITY", , B75), "")</f>
        <v/>
      </c>
      <c r="I75" s="11">
        <f>IFERROR(_xll.ciqfunctions.udf.CIQ(mh_ticker, "IQ_MINORITY_INTEREST", , B75), "")</f>
        <v/>
      </c>
      <c r="J75" s="11">
        <f>IFERROR(_xll.ciqfunctions.udf.CIQ(mh_ticker, "IQ_EQUITY_METHOD", , B75), "")</f>
        <v/>
      </c>
      <c r="K75" s="11">
        <f>IFERROR(_xll.ciqfunctions.udf.CIQ(mh_ticker, "IQ_LT_Mark_Securities", , B75), "")</f>
        <v/>
      </c>
      <c r="L75" s="12">
        <f>IFERROR(C75*D75, "")</f>
        <v/>
      </c>
      <c r="M75" s="12">
        <f>IFERROR(L75-E75-F75+G75+H75+I75-J75-K75, "")</f>
        <v/>
      </c>
      <c r="N75" s="11">
        <f>IFERROR(_xll.ciqfunctions.udf.CIQ(mh_ticker, "IQ_EBITDA_EST", IQ_NTM, B75, , , "USD"), "")</f>
        <v/>
      </c>
      <c r="O75" s="13">
        <f>IFERROR(M75/N75, "")</f>
        <v/>
      </c>
    </row>
    <row r="76">
      <c r="B76" s="8" t="n"/>
      <c r="C76" s="9">
        <f>IFERROR(_xll.ciqfunctions.udf.CIQ(mh_ticker, "IQ_LASTSALEPRICE", B76), "")</f>
        <v/>
      </c>
      <c r="D76" s="10">
        <f>IFERROR(_xll.ciqfunctions.udf.CIQ(mh_ticker, "IQ_SHARESOUTSTANDING_OUT", B76), "")</f>
        <v/>
      </c>
      <c r="E76" s="11">
        <f>IFERROR(_xll.ciqfunctions.udf.CIQ(mh_ticker, "IQ_CASH_EQUIV", , B76), "")</f>
        <v/>
      </c>
      <c r="F76" s="11">
        <f>IFERROR(_xll.ciqfunctions.udf.CIQ(mh_ticker, "IQ_ST_INVEST", , B76), "")</f>
        <v/>
      </c>
      <c r="G76" s="11">
        <f>IFERROR(_xll.ciqfunctions.udf.CIQ(mh_ticker, "IQ_TOTAL_DEBT_EXCL_OPER_LEASES", , B76), "")</f>
        <v/>
      </c>
      <c r="H76" s="11">
        <f>IFERROR(_xll.ciqfunctions.udf.CIQ(mh_ticker, "IQ_PREF_EQUITY", , B76), "")</f>
        <v/>
      </c>
      <c r="I76" s="11">
        <f>IFERROR(_xll.ciqfunctions.udf.CIQ(mh_ticker, "IQ_MINORITY_INTEREST", , B76), "")</f>
        <v/>
      </c>
      <c r="J76" s="11">
        <f>IFERROR(_xll.ciqfunctions.udf.CIQ(mh_ticker, "IQ_EQUITY_METHOD", , B76), "")</f>
        <v/>
      </c>
      <c r="K76" s="11">
        <f>IFERROR(_xll.ciqfunctions.udf.CIQ(mh_ticker, "IQ_LT_Mark_Securities", , B76), "")</f>
        <v/>
      </c>
      <c r="L76" s="12">
        <f>IFERROR(C76*D76, "")</f>
        <v/>
      </c>
      <c r="M76" s="12">
        <f>IFERROR(L76-E76-F76+G76+H76+I76-J76-K76, "")</f>
        <v/>
      </c>
      <c r="N76" s="11">
        <f>IFERROR(_xll.ciqfunctions.udf.CIQ(mh_ticker, "IQ_EBITDA_EST", IQ_NTM, B76, , , "USD"), "")</f>
        <v/>
      </c>
      <c r="O76" s="13">
        <f>IFERROR(M76/N76, "")</f>
        <v/>
      </c>
    </row>
    <row r="77">
      <c r="B77" s="8" t="n"/>
      <c r="C77" s="9">
        <f>IFERROR(_xll.ciqfunctions.udf.CIQ(mh_ticker, "IQ_LASTSALEPRICE", B77), "")</f>
        <v/>
      </c>
      <c r="D77" s="10">
        <f>IFERROR(_xll.ciqfunctions.udf.CIQ(mh_ticker, "IQ_SHARESOUTSTANDING_OUT", B77), "")</f>
        <v/>
      </c>
      <c r="E77" s="11">
        <f>IFERROR(_xll.ciqfunctions.udf.CIQ(mh_ticker, "IQ_CASH_EQUIV", , B77), "")</f>
        <v/>
      </c>
      <c r="F77" s="11">
        <f>IFERROR(_xll.ciqfunctions.udf.CIQ(mh_ticker, "IQ_ST_INVEST", , B77), "")</f>
        <v/>
      </c>
      <c r="G77" s="11">
        <f>IFERROR(_xll.ciqfunctions.udf.CIQ(mh_ticker, "IQ_TOTAL_DEBT_EXCL_OPER_LEASES", , B77), "")</f>
        <v/>
      </c>
      <c r="H77" s="11">
        <f>IFERROR(_xll.ciqfunctions.udf.CIQ(mh_ticker, "IQ_PREF_EQUITY", , B77), "")</f>
        <v/>
      </c>
      <c r="I77" s="11">
        <f>IFERROR(_xll.ciqfunctions.udf.CIQ(mh_ticker, "IQ_MINORITY_INTEREST", , B77), "")</f>
        <v/>
      </c>
      <c r="J77" s="11">
        <f>IFERROR(_xll.ciqfunctions.udf.CIQ(mh_ticker, "IQ_EQUITY_METHOD", , B77), "")</f>
        <v/>
      </c>
      <c r="K77" s="11">
        <f>IFERROR(_xll.ciqfunctions.udf.CIQ(mh_ticker, "IQ_LT_Mark_Securities", , B77), "")</f>
        <v/>
      </c>
      <c r="L77" s="12">
        <f>IFERROR(C77*D77, "")</f>
        <v/>
      </c>
      <c r="M77" s="12">
        <f>IFERROR(L77-E77-F77+G77+H77+I77-J77-K77, "")</f>
        <v/>
      </c>
      <c r="N77" s="11">
        <f>IFERROR(_xll.ciqfunctions.udf.CIQ(mh_ticker, "IQ_EBITDA_EST", IQ_NTM, B77, , , "USD"), "")</f>
        <v/>
      </c>
      <c r="O77" s="13">
        <f>IFERROR(M77/N77, "")</f>
        <v/>
      </c>
    </row>
    <row r="78">
      <c r="B78" s="8" t="n"/>
      <c r="C78" s="9">
        <f>IFERROR(_xll.ciqfunctions.udf.CIQ(mh_ticker, "IQ_LASTSALEPRICE", B78), "")</f>
        <v/>
      </c>
      <c r="D78" s="10">
        <f>IFERROR(_xll.ciqfunctions.udf.CIQ(mh_ticker, "IQ_SHARESOUTSTANDING_OUT", B78), "")</f>
        <v/>
      </c>
      <c r="E78" s="11">
        <f>IFERROR(_xll.ciqfunctions.udf.CIQ(mh_ticker, "IQ_CASH_EQUIV", , B78), "")</f>
        <v/>
      </c>
      <c r="F78" s="11">
        <f>IFERROR(_xll.ciqfunctions.udf.CIQ(mh_ticker, "IQ_ST_INVEST", , B78), "")</f>
        <v/>
      </c>
      <c r="G78" s="11">
        <f>IFERROR(_xll.ciqfunctions.udf.CIQ(mh_ticker, "IQ_TOTAL_DEBT_EXCL_OPER_LEASES", , B78), "")</f>
        <v/>
      </c>
      <c r="H78" s="11">
        <f>IFERROR(_xll.ciqfunctions.udf.CIQ(mh_ticker, "IQ_PREF_EQUITY", , B78), "")</f>
        <v/>
      </c>
      <c r="I78" s="11">
        <f>IFERROR(_xll.ciqfunctions.udf.CIQ(mh_ticker, "IQ_MINORITY_INTEREST", , B78), "")</f>
        <v/>
      </c>
      <c r="J78" s="11">
        <f>IFERROR(_xll.ciqfunctions.udf.CIQ(mh_ticker, "IQ_EQUITY_METHOD", , B78), "")</f>
        <v/>
      </c>
      <c r="K78" s="11">
        <f>IFERROR(_xll.ciqfunctions.udf.CIQ(mh_ticker, "IQ_LT_Mark_Securities", , B78), "")</f>
        <v/>
      </c>
      <c r="L78" s="12">
        <f>IFERROR(C78*D78, "")</f>
        <v/>
      </c>
      <c r="M78" s="12">
        <f>IFERROR(L78-E78-F78+G78+H78+I78-J78-K78, "")</f>
        <v/>
      </c>
      <c r="N78" s="11">
        <f>IFERROR(_xll.ciqfunctions.udf.CIQ(mh_ticker, "IQ_EBITDA_EST", IQ_NTM, B78, , , "USD"), "")</f>
        <v/>
      </c>
      <c r="O78" s="13">
        <f>IFERROR(M78/N78, "")</f>
        <v/>
      </c>
    </row>
    <row r="79">
      <c r="B79" s="8" t="n"/>
      <c r="C79" s="9">
        <f>IFERROR(_xll.ciqfunctions.udf.CIQ(mh_ticker, "IQ_LASTSALEPRICE", B79), "")</f>
        <v/>
      </c>
      <c r="D79" s="10">
        <f>IFERROR(_xll.ciqfunctions.udf.CIQ(mh_ticker, "IQ_SHARESOUTSTANDING_OUT", B79), "")</f>
        <v/>
      </c>
      <c r="E79" s="11">
        <f>IFERROR(_xll.ciqfunctions.udf.CIQ(mh_ticker, "IQ_CASH_EQUIV", , B79), "")</f>
        <v/>
      </c>
      <c r="F79" s="11">
        <f>IFERROR(_xll.ciqfunctions.udf.CIQ(mh_ticker, "IQ_ST_INVEST", , B79), "")</f>
        <v/>
      </c>
      <c r="G79" s="11">
        <f>IFERROR(_xll.ciqfunctions.udf.CIQ(mh_ticker, "IQ_TOTAL_DEBT_EXCL_OPER_LEASES", , B79), "")</f>
        <v/>
      </c>
      <c r="H79" s="11">
        <f>IFERROR(_xll.ciqfunctions.udf.CIQ(mh_ticker, "IQ_PREF_EQUITY", , B79), "")</f>
        <v/>
      </c>
      <c r="I79" s="11">
        <f>IFERROR(_xll.ciqfunctions.udf.CIQ(mh_ticker, "IQ_MINORITY_INTEREST", , B79), "")</f>
        <v/>
      </c>
      <c r="J79" s="11">
        <f>IFERROR(_xll.ciqfunctions.udf.CIQ(mh_ticker, "IQ_EQUITY_METHOD", , B79), "")</f>
        <v/>
      </c>
      <c r="K79" s="11">
        <f>IFERROR(_xll.ciqfunctions.udf.CIQ(mh_ticker, "IQ_LT_Mark_Securities", , B79), "")</f>
        <v/>
      </c>
      <c r="L79" s="12">
        <f>IFERROR(C79*D79, "")</f>
        <v/>
      </c>
      <c r="M79" s="12">
        <f>IFERROR(L79-E79-F79+G79+H79+I79-J79-K79, "")</f>
        <v/>
      </c>
      <c r="N79" s="11">
        <f>IFERROR(_xll.ciqfunctions.udf.CIQ(mh_ticker, "IQ_EBITDA_EST", IQ_NTM, B79, , , "USD"), "")</f>
        <v/>
      </c>
      <c r="O79" s="13">
        <f>IFERROR(M79/N79, "")</f>
        <v/>
      </c>
    </row>
    <row r="80">
      <c r="B80" s="8" t="n"/>
      <c r="C80" s="9">
        <f>IFERROR(_xll.ciqfunctions.udf.CIQ(mh_ticker, "IQ_LASTSALEPRICE", B80), "")</f>
        <v/>
      </c>
      <c r="D80" s="10">
        <f>IFERROR(_xll.ciqfunctions.udf.CIQ(mh_ticker, "IQ_SHARESOUTSTANDING_OUT", B80), "")</f>
        <v/>
      </c>
      <c r="E80" s="11">
        <f>IFERROR(_xll.ciqfunctions.udf.CIQ(mh_ticker, "IQ_CASH_EQUIV", , B80), "")</f>
        <v/>
      </c>
      <c r="F80" s="11">
        <f>IFERROR(_xll.ciqfunctions.udf.CIQ(mh_ticker, "IQ_ST_INVEST", , B80), "")</f>
        <v/>
      </c>
      <c r="G80" s="11">
        <f>IFERROR(_xll.ciqfunctions.udf.CIQ(mh_ticker, "IQ_TOTAL_DEBT_EXCL_OPER_LEASES", , B80), "")</f>
        <v/>
      </c>
      <c r="H80" s="11">
        <f>IFERROR(_xll.ciqfunctions.udf.CIQ(mh_ticker, "IQ_PREF_EQUITY", , B80), "")</f>
        <v/>
      </c>
      <c r="I80" s="11">
        <f>IFERROR(_xll.ciqfunctions.udf.CIQ(mh_ticker, "IQ_MINORITY_INTEREST", , B80), "")</f>
        <v/>
      </c>
      <c r="J80" s="11">
        <f>IFERROR(_xll.ciqfunctions.udf.CIQ(mh_ticker, "IQ_EQUITY_METHOD", , B80), "")</f>
        <v/>
      </c>
      <c r="K80" s="11">
        <f>IFERROR(_xll.ciqfunctions.udf.CIQ(mh_ticker, "IQ_LT_Mark_Securities", , B80), "")</f>
        <v/>
      </c>
      <c r="L80" s="12">
        <f>IFERROR(C80*D80, "")</f>
        <v/>
      </c>
      <c r="M80" s="12">
        <f>IFERROR(L80-E80-F80+G80+H80+I80-J80-K80, "")</f>
        <v/>
      </c>
      <c r="N80" s="11">
        <f>IFERROR(_xll.ciqfunctions.udf.CIQ(mh_ticker, "IQ_EBITDA_EST", IQ_NTM, B80, , , "USD"), "")</f>
        <v/>
      </c>
      <c r="O80" s="13">
        <f>IFERROR(M80/N80, "")</f>
        <v/>
      </c>
    </row>
    <row r="81">
      <c r="B81" s="8" t="n"/>
      <c r="C81" s="9">
        <f>IFERROR(_xll.ciqfunctions.udf.CIQ(mh_ticker, "IQ_LASTSALEPRICE", B81), "")</f>
        <v/>
      </c>
      <c r="D81" s="10">
        <f>IFERROR(_xll.ciqfunctions.udf.CIQ(mh_ticker, "IQ_SHARESOUTSTANDING_OUT", B81), "")</f>
        <v/>
      </c>
      <c r="E81" s="11">
        <f>IFERROR(_xll.ciqfunctions.udf.CIQ(mh_ticker, "IQ_CASH_EQUIV", , B81), "")</f>
        <v/>
      </c>
      <c r="F81" s="11">
        <f>IFERROR(_xll.ciqfunctions.udf.CIQ(mh_ticker, "IQ_ST_INVEST", , B81), "")</f>
        <v/>
      </c>
      <c r="G81" s="11">
        <f>IFERROR(_xll.ciqfunctions.udf.CIQ(mh_ticker, "IQ_TOTAL_DEBT_EXCL_OPER_LEASES", , B81), "")</f>
        <v/>
      </c>
      <c r="H81" s="11">
        <f>IFERROR(_xll.ciqfunctions.udf.CIQ(mh_ticker, "IQ_PREF_EQUITY", , B81), "")</f>
        <v/>
      </c>
      <c r="I81" s="11">
        <f>IFERROR(_xll.ciqfunctions.udf.CIQ(mh_ticker, "IQ_MINORITY_INTEREST", , B81), "")</f>
        <v/>
      </c>
      <c r="J81" s="11">
        <f>IFERROR(_xll.ciqfunctions.udf.CIQ(mh_ticker, "IQ_EQUITY_METHOD", , B81), "")</f>
        <v/>
      </c>
      <c r="K81" s="11">
        <f>IFERROR(_xll.ciqfunctions.udf.CIQ(mh_ticker, "IQ_LT_Mark_Securities", , B81), "")</f>
        <v/>
      </c>
      <c r="L81" s="12">
        <f>IFERROR(C81*D81, "")</f>
        <v/>
      </c>
      <c r="M81" s="12">
        <f>IFERROR(L81-E81-F81+G81+H81+I81-J81-K81, "")</f>
        <v/>
      </c>
      <c r="N81" s="11">
        <f>IFERROR(_xll.ciqfunctions.udf.CIQ(mh_ticker, "IQ_EBITDA_EST", IQ_NTM, B81, , , "USD"), "")</f>
        <v/>
      </c>
      <c r="O81" s="13">
        <f>IFERROR(M81/N81, "")</f>
        <v/>
      </c>
    </row>
    <row r="82">
      <c r="B82" s="8" t="n"/>
      <c r="C82" s="9">
        <f>IFERROR(_xll.ciqfunctions.udf.CIQ(mh_ticker, "IQ_LASTSALEPRICE", B82), "")</f>
        <v/>
      </c>
      <c r="D82" s="10">
        <f>IFERROR(_xll.ciqfunctions.udf.CIQ(mh_ticker, "IQ_SHARESOUTSTANDING_OUT", B82), "")</f>
        <v/>
      </c>
      <c r="E82" s="11">
        <f>IFERROR(_xll.ciqfunctions.udf.CIQ(mh_ticker, "IQ_CASH_EQUIV", , B82), "")</f>
        <v/>
      </c>
      <c r="F82" s="11">
        <f>IFERROR(_xll.ciqfunctions.udf.CIQ(mh_ticker, "IQ_ST_INVEST", , B82), "")</f>
        <v/>
      </c>
      <c r="G82" s="11">
        <f>IFERROR(_xll.ciqfunctions.udf.CIQ(mh_ticker, "IQ_TOTAL_DEBT_EXCL_OPER_LEASES", , B82), "")</f>
        <v/>
      </c>
      <c r="H82" s="11">
        <f>IFERROR(_xll.ciqfunctions.udf.CIQ(mh_ticker, "IQ_PREF_EQUITY", , B82), "")</f>
        <v/>
      </c>
      <c r="I82" s="11">
        <f>IFERROR(_xll.ciqfunctions.udf.CIQ(mh_ticker, "IQ_MINORITY_INTEREST", , B82), "")</f>
        <v/>
      </c>
      <c r="J82" s="11">
        <f>IFERROR(_xll.ciqfunctions.udf.CIQ(mh_ticker, "IQ_EQUITY_METHOD", , B82), "")</f>
        <v/>
      </c>
      <c r="K82" s="11">
        <f>IFERROR(_xll.ciqfunctions.udf.CIQ(mh_ticker, "IQ_LT_Mark_Securities", , B82), "")</f>
        <v/>
      </c>
      <c r="L82" s="12">
        <f>IFERROR(C82*D82, "")</f>
        <v/>
      </c>
      <c r="M82" s="12">
        <f>IFERROR(L82-E82-F82+G82+H82+I82-J82-K82, "")</f>
        <v/>
      </c>
      <c r="N82" s="11">
        <f>IFERROR(_xll.ciqfunctions.udf.CIQ(mh_ticker, "IQ_EBITDA_EST", IQ_NTM, B82, , , "USD"), "")</f>
        <v/>
      </c>
      <c r="O82" s="13">
        <f>IFERROR(M82/N82, "")</f>
        <v/>
      </c>
    </row>
    <row r="83">
      <c r="B83" s="8" t="n"/>
      <c r="C83" s="9">
        <f>IFERROR(_xll.ciqfunctions.udf.CIQ(mh_ticker, "IQ_LASTSALEPRICE", B83), "")</f>
        <v/>
      </c>
      <c r="D83" s="10">
        <f>IFERROR(_xll.ciqfunctions.udf.CIQ(mh_ticker, "IQ_SHARESOUTSTANDING_OUT", B83), "")</f>
        <v/>
      </c>
      <c r="E83" s="11">
        <f>IFERROR(_xll.ciqfunctions.udf.CIQ(mh_ticker, "IQ_CASH_EQUIV", , B83), "")</f>
        <v/>
      </c>
      <c r="F83" s="11">
        <f>IFERROR(_xll.ciqfunctions.udf.CIQ(mh_ticker, "IQ_ST_INVEST", , B83), "")</f>
        <v/>
      </c>
      <c r="G83" s="11">
        <f>IFERROR(_xll.ciqfunctions.udf.CIQ(mh_ticker, "IQ_TOTAL_DEBT_EXCL_OPER_LEASES", , B83), "")</f>
        <v/>
      </c>
      <c r="H83" s="11">
        <f>IFERROR(_xll.ciqfunctions.udf.CIQ(mh_ticker, "IQ_PREF_EQUITY", , B83), "")</f>
        <v/>
      </c>
      <c r="I83" s="11">
        <f>IFERROR(_xll.ciqfunctions.udf.CIQ(mh_ticker, "IQ_MINORITY_INTEREST", , B83), "")</f>
        <v/>
      </c>
      <c r="J83" s="11">
        <f>IFERROR(_xll.ciqfunctions.udf.CIQ(mh_ticker, "IQ_EQUITY_METHOD", , B83), "")</f>
        <v/>
      </c>
      <c r="K83" s="11">
        <f>IFERROR(_xll.ciqfunctions.udf.CIQ(mh_ticker, "IQ_LT_Mark_Securities", , B83), "")</f>
        <v/>
      </c>
      <c r="L83" s="12">
        <f>IFERROR(C83*D83, "")</f>
        <v/>
      </c>
      <c r="M83" s="12">
        <f>IFERROR(L83-E83-F83+G83+H83+I83-J83-K83, "")</f>
        <v/>
      </c>
      <c r="N83" s="11">
        <f>IFERROR(_xll.ciqfunctions.udf.CIQ(mh_ticker, "IQ_EBITDA_EST", IQ_NTM, B83, , , "USD"), "")</f>
        <v/>
      </c>
      <c r="O83" s="13">
        <f>IFERROR(M83/N83, "")</f>
        <v/>
      </c>
    </row>
    <row r="84">
      <c r="B84" s="8" t="n"/>
      <c r="C84" s="9">
        <f>IFERROR(_xll.ciqfunctions.udf.CIQ(mh_ticker, "IQ_LASTSALEPRICE", B84), "")</f>
        <v/>
      </c>
      <c r="D84" s="10">
        <f>IFERROR(_xll.ciqfunctions.udf.CIQ(mh_ticker, "IQ_SHARESOUTSTANDING_OUT", B84), "")</f>
        <v/>
      </c>
      <c r="E84" s="11">
        <f>IFERROR(_xll.ciqfunctions.udf.CIQ(mh_ticker, "IQ_CASH_EQUIV", , B84), "")</f>
        <v/>
      </c>
      <c r="F84" s="11">
        <f>IFERROR(_xll.ciqfunctions.udf.CIQ(mh_ticker, "IQ_ST_INVEST", , B84), "")</f>
        <v/>
      </c>
      <c r="G84" s="11">
        <f>IFERROR(_xll.ciqfunctions.udf.CIQ(mh_ticker, "IQ_TOTAL_DEBT_EXCL_OPER_LEASES", , B84), "")</f>
        <v/>
      </c>
      <c r="H84" s="11">
        <f>IFERROR(_xll.ciqfunctions.udf.CIQ(mh_ticker, "IQ_PREF_EQUITY", , B84), "")</f>
        <v/>
      </c>
      <c r="I84" s="11">
        <f>IFERROR(_xll.ciqfunctions.udf.CIQ(mh_ticker, "IQ_MINORITY_INTEREST", , B84), "")</f>
        <v/>
      </c>
      <c r="J84" s="11">
        <f>IFERROR(_xll.ciqfunctions.udf.CIQ(mh_ticker, "IQ_EQUITY_METHOD", , B84), "")</f>
        <v/>
      </c>
      <c r="K84" s="11">
        <f>IFERROR(_xll.ciqfunctions.udf.CIQ(mh_ticker, "IQ_LT_Mark_Securities", , B84), "")</f>
        <v/>
      </c>
      <c r="L84" s="12">
        <f>IFERROR(C84*D84, "")</f>
        <v/>
      </c>
      <c r="M84" s="12">
        <f>IFERROR(L84-E84-F84+G84+H84+I84-J84-K84, "")</f>
        <v/>
      </c>
      <c r="N84" s="11">
        <f>IFERROR(_xll.ciqfunctions.udf.CIQ(mh_ticker, "IQ_EBITDA_EST", IQ_NTM, B84, , , "USD"), "")</f>
        <v/>
      </c>
      <c r="O84" s="13">
        <f>IFERROR(M84/N84, "")</f>
        <v/>
      </c>
    </row>
    <row r="85">
      <c r="B85" s="8" t="n"/>
      <c r="C85" s="9">
        <f>IFERROR(_xll.ciqfunctions.udf.CIQ(mh_ticker, "IQ_LASTSALEPRICE", B85), "")</f>
        <v/>
      </c>
      <c r="D85" s="10">
        <f>IFERROR(_xll.ciqfunctions.udf.CIQ(mh_ticker, "IQ_SHARESOUTSTANDING_OUT", B85), "")</f>
        <v/>
      </c>
      <c r="E85" s="11">
        <f>IFERROR(_xll.ciqfunctions.udf.CIQ(mh_ticker, "IQ_CASH_EQUIV", , B85), "")</f>
        <v/>
      </c>
      <c r="F85" s="11">
        <f>IFERROR(_xll.ciqfunctions.udf.CIQ(mh_ticker, "IQ_ST_INVEST", , B85), "")</f>
        <v/>
      </c>
      <c r="G85" s="11">
        <f>IFERROR(_xll.ciqfunctions.udf.CIQ(mh_ticker, "IQ_TOTAL_DEBT_EXCL_OPER_LEASES", , B85), "")</f>
        <v/>
      </c>
      <c r="H85" s="11">
        <f>IFERROR(_xll.ciqfunctions.udf.CIQ(mh_ticker, "IQ_PREF_EQUITY", , B85), "")</f>
        <v/>
      </c>
      <c r="I85" s="11">
        <f>IFERROR(_xll.ciqfunctions.udf.CIQ(mh_ticker, "IQ_MINORITY_INTEREST", , B85), "")</f>
        <v/>
      </c>
      <c r="J85" s="11">
        <f>IFERROR(_xll.ciqfunctions.udf.CIQ(mh_ticker, "IQ_EQUITY_METHOD", , B85), "")</f>
        <v/>
      </c>
      <c r="K85" s="11">
        <f>IFERROR(_xll.ciqfunctions.udf.CIQ(mh_ticker, "IQ_LT_Mark_Securities", , B85), "")</f>
        <v/>
      </c>
      <c r="L85" s="12">
        <f>IFERROR(C85*D85, "")</f>
        <v/>
      </c>
      <c r="M85" s="12">
        <f>IFERROR(L85-E85-F85+G85+H85+I85-J85-K85, "")</f>
        <v/>
      </c>
      <c r="N85" s="11">
        <f>IFERROR(_xll.ciqfunctions.udf.CIQ(mh_ticker, "IQ_EBITDA_EST", IQ_NTM, B85, , , "USD"), "")</f>
        <v/>
      </c>
      <c r="O85" s="13">
        <f>IFERROR(M85/N85, "")</f>
        <v/>
      </c>
    </row>
    <row r="86">
      <c r="B86" s="8" t="n"/>
      <c r="C86" s="9">
        <f>IFERROR(_xll.ciqfunctions.udf.CIQ(mh_ticker, "IQ_LASTSALEPRICE", B86), "")</f>
        <v/>
      </c>
      <c r="D86" s="10">
        <f>IFERROR(_xll.ciqfunctions.udf.CIQ(mh_ticker, "IQ_SHARESOUTSTANDING_OUT", B86), "")</f>
        <v/>
      </c>
      <c r="E86" s="11">
        <f>IFERROR(_xll.ciqfunctions.udf.CIQ(mh_ticker, "IQ_CASH_EQUIV", , B86), "")</f>
        <v/>
      </c>
      <c r="F86" s="11">
        <f>IFERROR(_xll.ciqfunctions.udf.CIQ(mh_ticker, "IQ_ST_INVEST", , B86), "")</f>
        <v/>
      </c>
      <c r="G86" s="11">
        <f>IFERROR(_xll.ciqfunctions.udf.CIQ(mh_ticker, "IQ_TOTAL_DEBT_EXCL_OPER_LEASES", , B86), "")</f>
        <v/>
      </c>
      <c r="H86" s="11">
        <f>IFERROR(_xll.ciqfunctions.udf.CIQ(mh_ticker, "IQ_PREF_EQUITY", , B86), "")</f>
        <v/>
      </c>
      <c r="I86" s="11">
        <f>IFERROR(_xll.ciqfunctions.udf.CIQ(mh_ticker, "IQ_MINORITY_INTEREST", , B86), "")</f>
        <v/>
      </c>
      <c r="J86" s="11">
        <f>IFERROR(_xll.ciqfunctions.udf.CIQ(mh_ticker, "IQ_EQUITY_METHOD", , B86), "")</f>
        <v/>
      </c>
      <c r="K86" s="11">
        <f>IFERROR(_xll.ciqfunctions.udf.CIQ(mh_ticker, "IQ_LT_Mark_Securities", , B86), "")</f>
        <v/>
      </c>
      <c r="L86" s="12">
        <f>IFERROR(C86*D86, "")</f>
        <v/>
      </c>
      <c r="M86" s="12">
        <f>IFERROR(L86-E86-F86+G86+H86+I86-J86-K86, "")</f>
        <v/>
      </c>
      <c r="N86" s="11">
        <f>IFERROR(_xll.ciqfunctions.udf.CIQ(mh_ticker, "IQ_EBITDA_EST", IQ_NTM, B86, , , "USD"), "")</f>
        <v/>
      </c>
      <c r="O86" s="13">
        <f>IFERROR(M86/N86, "")</f>
        <v/>
      </c>
    </row>
    <row r="87">
      <c r="B87" s="8" t="n"/>
      <c r="C87" s="9">
        <f>IFERROR(_xll.ciqfunctions.udf.CIQ(mh_ticker, "IQ_LASTSALEPRICE", B87), "")</f>
        <v/>
      </c>
      <c r="D87" s="10">
        <f>IFERROR(_xll.ciqfunctions.udf.CIQ(mh_ticker, "IQ_SHARESOUTSTANDING_OUT", B87), "")</f>
        <v/>
      </c>
      <c r="E87" s="11">
        <f>IFERROR(_xll.ciqfunctions.udf.CIQ(mh_ticker, "IQ_CASH_EQUIV", , B87), "")</f>
        <v/>
      </c>
      <c r="F87" s="11">
        <f>IFERROR(_xll.ciqfunctions.udf.CIQ(mh_ticker, "IQ_ST_INVEST", , B87), "")</f>
        <v/>
      </c>
      <c r="G87" s="11">
        <f>IFERROR(_xll.ciqfunctions.udf.CIQ(mh_ticker, "IQ_TOTAL_DEBT_EXCL_OPER_LEASES", , B87), "")</f>
        <v/>
      </c>
      <c r="H87" s="11">
        <f>IFERROR(_xll.ciqfunctions.udf.CIQ(mh_ticker, "IQ_PREF_EQUITY", , B87), "")</f>
        <v/>
      </c>
      <c r="I87" s="11">
        <f>IFERROR(_xll.ciqfunctions.udf.CIQ(mh_ticker, "IQ_MINORITY_INTEREST", , B87), "")</f>
        <v/>
      </c>
      <c r="J87" s="11">
        <f>IFERROR(_xll.ciqfunctions.udf.CIQ(mh_ticker, "IQ_EQUITY_METHOD", , B87), "")</f>
        <v/>
      </c>
      <c r="K87" s="11">
        <f>IFERROR(_xll.ciqfunctions.udf.CIQ(mh_ticker, "IQ_LT_Mark_Securities", , B87), "")</f>
        <v/>
      </c>
      <c r="L87" s="12">
        <f>IFERROR(C87*D87, "")</f>
        <v/>
      </c>
      <c r="M87" s="12">
        <f>IFERROR(L87-E87-F87+G87+H87+I87-J87-K87, "")</f>
        <v/>
      </c>
      <c r="N87" s="11">
        <f>IFERROR(_xll.ciqfunctions.udf.CIQ(mh_ticker, "IQ_EBITDA_EST", IQ_NTM, B87, , , "USD"), "")</f>
        <v/>
      </c>
      <c r="O87" s="13">
        <f>IFERROR(M87/N87, "")</f>
        <v/>
      </c>
    </row>
    <row r="88">
      <c r="B88" s="8" t="n"/>
      <c r="C88" s="9">
        <f>IFERROR(_xll.ciqfunctions.udf.CIQ(mh_ticker, "IQ_LASTSALEPRICE", B88), "")</f>
        <v/>
      </c>
      <c r="D88" s="10">
        <f>IFERROR(_xll.ciqfunctions.udf.CIQ(mh_ticker, "IQ_SHARESOUTSTANDING_OUT", B88), "")</f>
        <v/>
      </c>
      <c r="E88" s="11">
        <f>IFERROR(_xll.ciqfunctions.udf.CIQ(mh_ticker, "IQ_CASH_EQUIV", , B88), "")</f>
        <v/>
      </c>
      <c r="F88" s="11">
        <f>IFERROR(_xll.ciqfunctions.udf.CIQ(mh_ticker, "IQ_ST_INVEST", , B88), "")</f>
        <v/>
      </c>
      <c r="G88" s="11">
        <f>IFERROR(_xll.ciqfunctions.udf.CIQ(mh_ticker, "IQ_TOTAL_DEBT_EXCL_OPER_LEASES", , B88), "")</f>
        <v/>
      </c>
      <c r="H88" s="11">
        <f>IFERROR(_xll.ciqfunctions.udf.CIQ(mh_ticker, "IQ_PREF_EQUITY", , B88), "")</f>
        <v/>
      </c>
      <c r="I88" s="11">
        <f>IFERROR(_xll.ciqfunctions.udf.CIQ(mh_ticker, "IQ_MINORITY_INTEREST", , B88), "")</f>
        <v/>
      </c>
      <c r="J88" s="11">
        <f>IFERROR(_xll.ciqfunctions.udf.CIQ(mh_ticker, "IQ_EQUITY_METHOD", , B88), "")</f>
        <v/>
      </c>
      <c r="K88" s="11">
        <f>IFERROR(_xll.ciqfunctions.udf.CIQ(mh_ticker, "IQ_LT_Mark_Securities", , B88), "")</f>
        <v/>
      </c>
      <c r="L88" s="12">
        <f>IFERROR(C88*D88, "")</f>
        <v/>
      </c>
      <c r="M88" s="12">
        <f>IFERROR(L88-E88-F88+G88+H88+I88-J88-K88, "")</f>
        <v/>
      </c>
      <c r="N88" s="11">
        <f>IFERROR(_xll.ciqfunctions.udf.CIQ(mh_ticker, "IQ_EBITDA_EST", IQ_NTM, B88, , , "USD"), "")</f>
        <v/>
      </c>
      <c r="O88" s="13">
        <f>IFERROR(M88/N88, "")</f>
        <v/>
      </c>
    </row>
    <row r="89">
      <c r="B89" s="8" t="n"/>
      <c r="C89" s="9">
        <f>IFERROR(_xll.ciqfunctions.udf.CIQ(mh_ticker, "IQ_LASTSALEPRICE", B89), "")</f>
        <v/>
      </c>
      <c r="D89" s="10">
        <f>IFERROR(_xll.ciqfunctions.udf.CIQ(mh_ticker, "IQ_SHARESOUTSTANDING_OUT", B89), "")</f>
        <v/>
      </c>
      <c r="E89" s="11">
        <f>IFERROR(_xll.ciqfunctions.udf.CIQ(mh_ticker, "IQ_CASH_EQUIV", , B89), "")</f>
        <v/>
      </c>
      <c r="F89" s="11">
        <f>IFERROR(_xll.ciqfunctions.udf.CIQ(mh_ticker, "IQ_ST_INVEST", , B89), "")</f>
        <v/>
      </c>
      <c r="G89" s="11">
        <f>IFERROR(_xll.ciqfunctions.udf.CIQ(mh_ticker, "IQ_TOTAL_DEBT_EXCL_OPER_LEASES", , B89), "")</f>
        <v/>
      </c>
      <c r="H89" s="11">
        <f>IFERROR(_xll.ciqfunctions.udf.CIQ(mh_ticker, "IQ_PREF_EQUITY", , B89), "")</f>
        <v/>
      </c>
      <c r="I89" s="11">
        <f>IFERROR(_xll.ciqfunctions.udf.CIQ(mh_ticker, "IQ_MINORITY_INTEREST", , B89), "")</f>
        <v/>
      </c>
      <c r="J89" s="11">
        <f>IFERROR(_xll.ciqfunctions.udf.CIQ(mh_ticker, "IQ_EQUITY_METHOD", , B89), "")</f>
        <v/>
      </c>
      <c r="K89" s="11">
        <f>IFERROR(_xll.ciqfunctions.udf.CIQ(mh_ticker, "IQ_LT_Mark_Securities", , B89), "")</f>
        <v/>
      </c>
      <c r="L89" s="12">
        <f>IFERROR(C89*D89, "")</f>
        <v/>
      </c>
      <c r="M89" s="12">
        <f>IFERROR(L89-E89-F89+G89+H89+I89-J89-K89, "")</f>
        <v/>
      </c>
      <c r="N89" s="11">
        <f>IFERROR(_xll.ciqfunctions.udf.CIQ(mh_ticker, "IQ_EBITDA_EST", IQ_NTM, B89, , , "USD"), "")</f>
        <v/>
      </c>
      <c r="O89" s="13">
        <f>IFERROR(M89/N89, "")</f>
        <v/>
      </c>
    </row>
    <row r="90">
      <c r="B90" s="8" t="n"/>
      <c r="C90" s="9">
        <f>IFERROR(_xll.ciqfunctions.udf.CIQ(mh_ticker, "IQ_LASTSALEPRICE", B90), "")</f>
        <v/>
      </c>
      <c r="D90" s="10">
        <f>IFERROR(_xll.ciqfunctions.udf.CIQ(mh_ticker, "IQ_SHARESOUTSTANDING_OUT", B90), "")</f>
        <v/>
      </c>
      <c r="E90" s="11">
        <f>IFERROR(_xll.ciqfunctions.udf.CIQ(mh_ticker, "IQ_CASH_EQUIV", , B90), "")</f>
        <v/>
      </c>
      <c r="F90" s="11">
        <f>IFERROR(_xll.ciqfunctions.udf.CIQ(mh_ticker, "IQ_ST_INVEST", , B90), "")</f>
        <v/>
      </c>
      <c r="G90" s="11">
        <f>IFERROR(_xll.ciqfunctions.udf.CIQ(mh_ticker, "IQ_TOTAL_DEBT_EXCL_OPER_LEASES", , B90), "")</f>
        <v/>
      </c>
      <c r="H90" s="11">
        <f>IFERROR(_xll.ciqfunctions.udf.CIQ(mh_ticker, "IQ_PREF_EQUITY", , B90), "")</f>
        <v/>
      </c>
      <c r="I90" s="11">
        <f>IFERROR(_xll.ciqfunctions.udf.CIQ(mh_ticker, "IQ_MINORITY_INTEREST", , B90), "")</f>
        <v/>
      </c>
      <c r="J90" s="11">
        <f>IFERROR(_xll.ciqfunctions.udf.CIQ(mh_ticker, "IQ_EQUITY_METHOD", , B90), "")</f>
        <v/>
      </c>
      <c r="K90" s="11">
        <f>IFERROR(_xll.ciqfunctions.udf.CIQ(mh_ticker, "IQ_LT_Mark_Securities", , B90), "")</f>
        <v/>
      </c>
      <c r="L90" s="12">
        <f>IFERROR(C90*D90, "")</f>
        <v/>
      </c>
      <c r="M90" s="12">
        <f>IFERROR(L90-E90-F90+G90+H90+I90-J90-K90, "")</f>
        <v/>
      </c>
      <c r="N90" s="11">
        <f>IFERROR(_xll.ciqfunctions.udf.CIQ(mh_ticker, "IQ_EBITDA_EST", IQ_NTM, B90, , , "USD"), "")</f>
        <v/>
      </c>
      <c r="O90" s="13">
        <f>IFERROR(M90/N90, "")</f>
        <v/>
      </c>
    </row>
    <row r="91">
      <c r="B91" s="8" t="n"/>
      <c r="C91" s="9">
        <f>IFERROR(_xll.ciqfunctions.udf.CIQ(mh_ticker, "IQ_LASTSALEPRICE", B91), "")</f>
        <v/>
      </c>
      <c r="D91" s="10">
        <f>IFERROR(_xll.ciqfunctions.udf.CIQ(mh_ticker, "IQ_SHARESOUTSTANDING_OUT", B91), "")</f>
        <v/>
      </c>
      <c r="E91" s="11">
        <f>IFERROR(_xll.ciqfunctions.udf.CIQ(mh_ticker, "IQ_CASH_EQUIV", , B91), "")</f>
        <v/>
      </c>
      <c r="F91" s="11">
        <f>IFERROR(_xll.ciqfunctions.udf.CIQ(mh_ticker, "IQ_ST_INVEST", , B91), "")</f>
        <v/>
      </c>
      <c r="G91" s="11">
        <f>IFERROR(_xll.ciqfunctions.udf.CIQ(mh_ticker, "IQ_TOTAL_DEBT_EXCL_OPER_LEASES", , B91), "")</f>
        <v/>
      </c>
      <c r="H91" s="11">
        <f>IFERROR(_xll.ciqfunctions.udf.CIQ(mh_ticker, "IQ_PREF_EQUITY", , B91), "")</f>
        <v/>
      </c>
      <c r="I91" s="11">
        <f>IFERROR(_xll.ciqfunctions.udf.CIQ(mh_ticker, "IQ_MINORITY_INTEREST", , B91), "")</f>
        <v/>
      </c>
      <c r="J91" s="11">
        <f>IFERROR(_xll.ciqfunctions.udf.CIQ(mh_ticker, "IQ_EQUITY_METHOD", , B91), "")</f>
        <v/>
      </c>
      <c r="K91" s="11">
        <f>IFERROR(_xll.ciqfunctions.udf.CIQ(mh_ticker, "IQ_LT_Mark_Securities", , B91), "")</f>
        <v/>
      </c>
      <c r="L91" s="12">
        <f>IFERROR(C91*D91, "")</f>
        <v/>
      </c>
      <c r="M91" s="12">
        <f>IFERROR(L91-E91-F91+G91+H91+I91-J91-K91, "")</f>
        <v/>
      </c>
      <c r="N91" s="11">
        <f>IFERROR(_xll.ciqfunctions.udf.CIQ(mh_ticker, "IQ_EBITDA_EST", IQ_NTM, B91, , , "USD"), "")</f>
        <v/>
      </c>
      <c r="O91" s="13">
        <f>IFERROR(M91/N91, "")</f>
        <v/>
      </c>
    </row>
    <row r="92">
      <c r="B92" s="8" t="n"/>
      <c r="C92" s="9">
        <f>IFERROR(_xll.ciqfunctions.udf.CIQ(mh_ticker, "IQ_LASTSALEPRICE", B92), "")</f>
        <v/>
      </c>
      <c r="D92" s="10">
        <f>IFERROR(_xll.ciqfunctions.udf.CIQ(mh_ticker, "IQ_SHARESOUTSTANDING_OUT", B92), "")</f>
        <v/>
      </c>
      <c r="E92" s="11">
        <f>IFERROR(_xll.ciqfunctions.udf.CIQ(mh_ticker, "IQ_CASH_EQUIV", , B92), "")</f>
        <v/>
      </c>
      <c r="F92" s="11">
        <f>IFERROR(_xll.ciqfunctions.udf.CIQ(mh_ticker, "IQ_ST_INVEST", , B92), "")</f>
        <v/>
      </c>
      <c r="G92" s="11">
        <f>IFERROR(_xll.ciqfunctions.udf.CIQ(mh_ticker, "IQ_TOTAL_DEBT_EXCL_OPER_LEASES", , B92), "")</f>
        <v/>
      </c>
      <c r="H92" s="11">
        <f>IFERROR(_xll.ciqfunctions.udf.CIQ(mh_ticker, "IQ_PREF_EQUITY", , B92), "")</f>
        <v/>
      </c>
      <c r="I92" s="11">
        <f>IFERROR(_xll.ciqfunctions.udf.CIQ(mh_ticker, "IQ_MINORITY_INTEREST", , B92), "")</f>
        <v/>
      </c>
      <c r="J92" s="11">
        <f>IFERROR(_xll.ciqfunctions.udf.CIQ(mh_ticker, "IQ_EQUITY_METHOD", , B92), "")</f>
        <v/>
      </c>
      <c r="K92" s="11">
        <f>IFERROR(_xll.ciqfunctions.udf.CIQ(mh_ticker, "IQ_LT_Mark_Securities", , B92), "")</f>
        <v/>
      </c>
      <c r="L92" s="12">
        <f>IFERROR(C92*D92, "")</f>
        <v/>
      </c>
      <c r="M92" s="12">
        <f>IFERROR(L92-E92-F92+G92+H92+I92-J92-K92, "")</f>
        <v/>
      </c>
      <c r="N92" s="11">
        <f>IFERROR(_xll.ciqfunctions.udf.CIQ(mh_ticker, "IQ_EBITDA_EST", IQ_NTM, B92, , , "USD"), "")</f>
        <v/>
      </c>
      <c r="O92" s="13">
        <f>IFERROR(M92/N92, "")</f>
        <v/>
      </c>
    </row>
    <row r="93">
      <c r="B93" s="8" t="n"/>
      <c r="C93" s="9">
        <f>IFERROR(_xll.ciqfunctions.udf.CIQ(mh_ticker, "IQ_LASTSALEPRICE", B93), "")</f>
        <v/>
      </c>
      <c r="D93" s="10">
        <f>IFERROR(_xll.ciqfunctions.udf.CIQ(mh_ticker, "IQ_SHARESOUTSTANDING_OUT", B93), "")</f>
        <v/>
      </c>
      <c r="E93" s="11">
        <f>IFERROR(_xll.ciqfunctions.udf.CIQ(mh_ticker, "IQ_CASH_EQUIV", , B93), "")</f>
        <v/>
      </c>
      <c r="F93" s="11">
        <f>IFERROR(_xll.ciqfunctions.udf.CIQ(mh_ticker, "IQ_ST_INVEST", , B93), "")</f>
        <v/>
      </c>
      <c r="G93" s="11">
        <f>IFERROR(_xll.ciqfunctions.udf.CIQ(mh_ticker, "IQ_TOTAL_DEBT_EXCL_OPER_LEASES", , B93), "")</f>
        <v/>
      </c>
      <c r="H93" s="11">
        <f>IFERROR(_xll.ciqfunctions.udf.CIQ(mh_ticker, "IQ_PREF_EQUITY", , B93), "")</f>
        <v/>
      </c>
      <c r="I93" s="11">
        <f>IFERROR(_xll.ciqfunctions.udf.CIQ(mh_ticker, "IQ_MINORITY_INTEREST", , B93), "")</f>
        <v/>
      </c>
      <c r="J93" s="11">
        <f>IFERROR(_xll.ciqfunctions.udf.CIQ(mh_ticker, "IQ_EQUITY_METHOD", , B93), "")</f>
        <v/>
      </c>
      <c r="K93" s="11">
        <f>IFERROR(_xll.ciqfunctions.udf.CIQ(mh_ticker, "IQ_LT_Mark_Securities", , B93), "")</f>
        <v/>
      </c>
      <c r="L93" s="12">
        <f>IFERROR(C93*D93, "")</f>
        <v/>
      </c>
      <c r="M93" s="12">
        <f>IFERROR(L93-E93-F93+G93+H93+I93-J93-K93, "")</f>
        <v/>
      </c>
      <c r="N93" s="11">
        <f>IFERROR(_xll.ciqfunctions.udf.CIQ(mh_ticker, "IQ_EBITDA_EST", IQ_NTM, B93, , , "USD"), "")</f>
        <v/>
      </c>
      <c r="O93" s="13">
        <f>IFERROR(M93/N93, "")</f>
        <v/>
      </c>
    </row>
    <row r="94">
      <c r="B94" s="8" t="n"/>
      <c r="C94" s="9">
        <f>IFERROR(_xll.ciqfunctions.udf.CIQ(mh_ticker, "IQ_LASTSALEPRICE", B94), "")</f>
        <v/>
      </c>
      <c r="D94" s="10">
        <f>IFERROR(_xll.ciqfunctions.udf.CIQ(mh_ticker, "IQ_SHARESOUTSTANDING_OUT", B94), "")</f>
        <v/>
      </c>
      <c r="E94" s="11">
        <f>IFERROR(_xll.ciqfunctions.udf.CIQ(mh_ticker, "IQ_CASH_EQUIV", , B94), "")</f>
        <v/>
      </c>
      <c r="F94" s="11">
        <f>IFERROR(_xll.ciqfunctions.udf.CIQ(mh_ticker, "IQ_ST_INVEST", , B94), "")</f>
        <v/>
      </c>
      <c r="G94" s="11">
        <f>IFERROR(_xll.ciqfunctions.udf.CIQ(mh_ticker, "IQ_TOTAL_DEBT_EXCL_OPER_LEASES", , B94), "")</f>
        <v/>
      </c>
      <c r="H94" s="11">
        <f>IFERROR(_xll.ciqfunctions.udf.CIQ(mh_ticker, "IQ_PREF_EQUITY", , B94), "")</f>
        <v/>
      </c>
      <c r="I94" s="11">
        <f>IFERROR(_xll.ciqfunctions.udf.CIQ(mh_ticker, "IQ_MINORITY_INTEREST", , B94), "")</f>
        <v/>
      </c>
      <c r="J94" s="11">
        <f>IFERROR(_xll.ciqfunctions.udf.CIQ(mh_ticker, "IQ_EQUITY_METHOD", , B94), "")</f>
        <v/>
      </c>
      <c r="K94" s="11">
        <f>IFERROR(_xll.ciqfunctions.udf.CIQ(mh_ticker, "IQ_LT_Mark_Securities", , B94), "")</f>
        <v/>
      </c>
      <c r="L94" s="12">
        <f>IFERROR(C94*D94, "")</f>
        <v/>
      </c>
      <c r="M94" s="12">
        <f>IFERROR(L94-E94-F94+G94+H94+I94-J94-K94, "")</f>
        <v/>
      </c>
      <c r="N94" s="11">
        <f>IFERROR(_xll.ciqfunctions.udf.CIQ(mh_ticker, "IQ_EBITDA_EST", IQ_NTM, B94, , , "USD"), "")</f>
        <v/>
      </c>
      <c r="O94" s="13">
        <f>IFERROR(M94/N94, "")</f>
        <v/>
      </c>
    </row>
    <row r="95">
      <c r="B95" s="8" t="n"/>
      <c r="C95" s="9">
        <f>IFERROR(_xll.ciqfunctions.udf.CIQ(mh_ticker, "IQ_LASTSALEPRICE", B95), "")</f>
        <v/>
      </c>
      <c r="D95" s="10">
        <f>IFERROR(_xll.ciqfunctions.udf.CIQ(mh_ticker, "IQ_SHARESOUTSTANDING_OUT", B95), "")</f>
        <v/>
      </c>
      <c r="E95" s="11">
        <f>IFERROR(_xll.ciqfunctions.udf.CIQ(mh_ticker, "IQ_CASH_EQUIV", , B95), "")</f>
        <v/>
      </c>
      <c r="F95" s="11">
        <f>IFERROR(_xll.ciqfunctions.udf.CIQ(mh_ticker, "IQ_ST_INVEST", , B95), "")</f>
        <v/>
      </c>
      <c r="G95" s="11">
        <f>IFERROR(_xll.ciqfunctions.udf.CIQ(mh_ticker, "IQ_TOTAL_DEBT_EXCL_OPER_LEASES", , B95), "")</f>
        <v/>
      </c>
      <c r="H95" s="11">
        <f>IFERROR(_xll.ciqfunctions.udf.CIQ(mh_ticker, "IQ_PREF_EQUITY", , B95), "")</f>
        <v/>
      </c>
      <c r="I95" s="11">
        <f>IFERROR(_xll.ciqfunctions.udf.CIQ(mh_ticker, "IQ_MINORITY_INTEREST", , B95), "")</f>
        <v/>
      </c>
      <c r="J95" s="11">
        <f>IFERROR(_xll.ciqfunctions.udf.CIQ(mh_ticker, "IQ_EQUITY_METHOD", , B95), "")</f>
        <v/>
      </c>
      <c r="K95" s="11">
        <f>IFERROR(_xll.ciqfunctions.udf.CIQ(mh_ticker, "IQ_LT_Mark_Securities", , B95), "")</f>
        <v/>
      </c>
      <c r="L95" s="12">
        <f>IFERROR(C95*D95, "")</f>
        <v/>
      </c>
      <c r="M95" s="12">
        <f>IFERROR(L95-E95-F95+G95+H95+I95-J95-K95, "")</f>
        <v/>
      </c>
      <c r="N95" s="11">
        <f>IFERROR(_xll.ciqfunctions.udf.CIQ(mh_ticker, "IQ_EBITDA_EST", IQ_NTM, B95, , , "USD"), "")</f>
        <v/>
      </c>
      <c r="O95" s="13">
        <f>IFERROR(M95/N95, "")</f>
        <v/>
      </c>
    </row>
    <row r="96">
      <c r="B96" s="8" t="n"/>
      <c r="C96" s="9">
        <f>IFERROR(_xll.ciqfunctions.udf.CIQ(mh_ticker, "IQ_LASTSALEPRICE", B96), "")</f>
        <v/>
      </c>
      <c r="D96" s="10">
        <f>IFERROR(_xll.ciqfunctions.udf.CIQ(mh_ticker, "IQ_SHARESOUTSTANDING_OUT", B96), "")</f>
        <v/>
      </c>
      <c r="E96" s="11">
        <f>IFERROR(_xll.ciqfunctions.udf.CIQ(mh_ticker, "IQ_CASH_EQUIV", , B96), "")</f>
        <v/>
      </c>
      <c r="F96" s="11">
        <f>IFERROR(_xll.ciqfunctions.udf.CIQ(mh_ticker, "IQ_ST_INVEST", , B96), "")</f>
        <v/>
      </c>
      <c r="G96" s="11">
        <f>IFERROR(_xll.ciqfunctions.udf.CIQ(mh_ticker, "IQ_TOTAL_DEBT_EXCL_OPER_LEASES", , B96), "")</f>
        <v/>
      </c>
      <c r="H96" s="11">
        <f>IFERROR(_xll.ciqfunctions.udf.CIQ(mh_ticker, "IQ_PREF_EQUITY", , B96), "")</f>
        <v/>
      </c>
      <c r="I96" s="11">
        <f>IFERROR(_xll.ciqfunctions.udf.CIQ(mh_ticker, "IQ_MINORITY_INTEREST", , B96), "")</f>
        <v/>
      </c>
      <c r="J96" s="11">
        <f>IFERROR(_xll.ciqfunctions.udf.CIQ(mh_ticker, "IQ_EQUITY_METHOD", , B96), "")</f>
        <v/>
      </c>
      <c r="K96" s="11">
        <f>IFERROR(_xll.ciqfunctions.udf.CIQ(mh_ticker, "IQ_LT_Mark_Securities", , B96), "")</f>
        <v/>
      </c>
      <c r="L96" s="12">
        <f>IFERROR(C96*D96, "")</f>
        <v/>
      </c>
      <c r="M96" s="12">
        <f>IFERROR(L96-E96-F96+G96+H96+I96-J96-K96, "")</f>
        <v/>
      </c>
      <c r="N96" s="11">
        <f>IFERROR(_xll.ciqfunctions.udf.CIQ(mh_ticker, "IQ_EBITDA_EST", IQ_NTM, B96, , , "USD"), "")</f>
        <v/>
      </c>
      <c r="O96" s="13">
        <f>IFERROR(M96/N96, "")</f>
        <v/>
      </c>
    </row>
    <row r="97">
      <c r="B97" s="8" t="n"/>
      <c r="C97" s="9">
        <f>IFERROR(_xll.ciqfunctions.udf.CIQ(mh_ticker, "IQ_LASTSALEPRICE", B97), "")</f>
        <v/>
      </c>
      <c r="D97" s="10">
        <f>IFERROR(_xll.ciqfunctions.udf.CIQ(mh_ticker, "IQ_SHARESOUTSTANDING_OUT", B97), "")</f>
        <v/>
      </c>
      <c r="E97" s="11">
        <f>IFERROR(_xll.ciqfunctions.udf.CIQ(mh_ticker, "IQ_CASH_EQUIV", , B97), "")</f>
        <v/>
      </c>
      <c r="F97" s="11">
        <f>IFERROR(_xll.ciqfunctions.udf.CIQ(mh_ticker, "IQ_ST_INVEST", , B97), "")</f>
        <v/>
      </c>
      <c r="G97" s="11">
        <f>IFERROR(_xll.ciqfunctions.udf.CIQ(mh_ticker, "IQ_TOTAL_DEBT_EXCL_OPER_LEASES", , B97), "")</f>
        <v/>
      </c>
      <c r="H97" s="11">
        <f>IFERROR(_xll.ciqfunctions.udf.CIQ(mh_ticker, "IQ_PREF_EQUITY", , B97), "")</f>
        <v/>
      </c>
      <c r="I97" s="11">
        <f>IFERROR(_xll.ciqfunctions.udf.CIQ(mh_ticker, "IQ_MINORITY_INTEREST", , B97), "")</f>
        <v/>
      </c>
      <c r="J97" s="11">
        <f>IFERROR(_xll.ciqfunctions.udf.CIQ(mh_ticker, "IQ_EQUITY_METHOD", , B97), "")</f>
        <v/>
      </c>
      <c r="K97" s="11">
        <f>IFERROR(_xll.ciqfunctions.udf.CIQ(mh_ticker, "IQ_LT_Mark_Securities", , B97), "")</f>
        <v/>
      </c>
      <c r="L97" s="12">
        <f>IFERROR(C97*D97, "")</f>
        <v/>
      </c>
      <c r="M97" s="12">
        <f>IFERROR(L97-E97-F97+G97+H97+I97-J97-K97, "")</f>
        <v/>
      </c>
      <c r="N97" s="11">
        <f>IFERROR(_xll.ciqfunctions.udf.CIQ(mh_ticker, "IQ_EBITDA_EST", IQ_NTM, B97, , , "USD"), "")</f>
        <v/>
      </c>
      <c r="O97" s="13">
        <f>IFERROR(M97/N97, "")</f>
        <v/>
      </c>
    </row>
    <row r="98">
      <c r="B98" s="8" t="n"/>
      <c r="C98" s="9">
        <f>IFERROR(_xll.ciqfunctions.udf.CIQ(mh_ticker, "IQ_LASTSALEPRICE", B98), "")</f>
        <v/>
      </c>
      <c r="D98" s="10">
        <f>IFERROR(_xll.ciqfunctions.udf.CIQ(mh_ticker, "IQ_SHARESOUTSTANDING_OUT", B98), "")</f>
        <v/>
      </c>
      <c r="E98" s="11">
        <f>IFERROR(_xll.ciqfunctions.udf.CIQ(mh_ticker, "IQ_CASH_EQUIV", , B98), "")</f>
        <v/>
      </c>
      <c r="F98" s="11">
        <f>IFERROR(_xll.ciqfunctions.udf.CIQ(mh_ticker, "IQ_ST_INVEST", , B98), "")</f>
        <v/>
      </c>
      <c r="G98" s="11">
        <f>IFERROR(_xll.ciqfunctions.udf.CIQ(mh_ticker, "IQ_TOTAL_DEBT_EXCL_OPER_LEASES", , B98), "")</f>
        <v/>
      </c>
      <c r="H98" s="11">
        <f>IFERROR(_xll.ciqfunctions.udf.CIQ(mh_ticker, "IQ_PREF_EQUITY", , B98), "")</f>
        <v/>
      </c>
      <c r="I98" s="11">
        <f>IFERROR(_xll.ciqfunctions.udf.CIQ(mh_ticker, "IQ_MINORITY_INTEREST", , B98), "")</f>
        <v/>
      </c>
      <c r="J98" s="11">
        <f>IFERROR(_xll.ciqfunctions.udf.CIQ(mh_ticker, "IQ_EQUITY_METHOD", , B98), "")</f>
        <v/>
      </c>
      <c r="K98" s="11">
        <f>IFERROR(_xll.ciqfunctions.udf.CIQ(mh_ticker, "IQ_LT_Mark_Securities", , B98), "")</f>
        <v/>
      </c>
      <c r="L98" s="12">
        <f>IFERROR(C98*D98, "")</f>
        <v/>
      </c>
      <c r="M98" s="12">
        <f>IFERROR(L98-E98-F98+G98+H98+I98-J98-K98, "")</f>
        <v/>
      </c>
      <c r="N98" s="11">
        <f>IFERROR(_xll.ciqfunctions.udf.CIQ(mh_ticker, "IQ_EBITDA_EST", IQ_NTM, B98, , , "USD"), "")</f>
        <v/>
      </c>
      <c r="O98" s="13">
        <f>IFERROR(M98/N98, "")</f>
        <v/>
      </c>
    </row>
    <row r="99">
      <c r="B99" s="8" t="n"/>
      <c r="C99" s="9">
        <f>IFERROR(_xll.ciqfunctions.udf.CIQ(mh_ticker, "IQ_LASTSALEPRICE", B99), "")</f>
        <v/>
      </c>
      <c r="D99" s="10">
        <f>IFERROR(_xll.ciqfunctions.udf.CIQ(mh_ticker, "IQ_SHARESOUTSTANDING_OUT", B99), "")</f>
        <v/>
      </c>
      <c r="E99" s="11">
        <f>IFERROR(_xll.ciqfunctions.udf.CIQ(mh_ticker, "IQ_CASH_EQUIV", , B99), "")</f>
        <v/>
      </c>
      <c r="F99" s="11">
        <f>IFERROR(_xll.ciqfunctions.udf.CIQ(mh_ticker, "IQ_ST_INVEST", , B99), "")</f>
        <v/>
      </c>
      <c r="G99" s="11">
        <f>IFERROR(_xll.ciqfunctions.udf.CIQ(mh_ticker, "IQ_TOTAL_DEBT_EXCL_OPER_LEASES", , B99), "")</f>
        <v/>
      </c>
      <c r="H99" s="11">
        <f>IFERROR(_xll.ciqfunctions.udf.CIQ(mh_ticker, "IQ_PREF_EQUITY", , B99), "")</f>
        <v/>
      </c>
      <c r="I99" s="11">
        <f>IFERROR(_xll.ciqfunctions.udf.CIQ(mh_ticker, "IQ_MINORITY_INTEREST", , B99), "")</f>
        <v/>
      </c>
      <c r="J99" s="11">
        <f>IFERROR(_xll.ciqfunctions.udf.CIQ(mh_ticker, "IQ_EQUITY_METHOD", , B99), "")</f>
        <v/>
      </c>
      <c r="K99" s="11">
        <f>IFERROR(_xll.ciqfunctions.udf.CIQ(mh_ticker, "IQ_LT_Mark_Securities", , B99), "")</f>
        <v/>
      </c>
      <c r="L99" s="12">
        <f>IFERROR(C99*D99, "")</f>
        <v/>
      </c>
      <c r="M99" s="12">
        <f>IFERROR(L99-E99-F99+G99+H99+I99-J99-K99, "")</f>
        <v/>
      </c>
      <c r="N99" s="11">
        <f>IFERROR(_xll.ciqfunctions.udf.CIQ(mh_ticker, "IQ_EBITDA_EST", IQ_NTM, B99, , , "USD"), "")</f>
        <v/>
      </c>
      <c r="O99" s="13">
        <f>IFERROR(M99/N99, "")</f>
        <v/>
      </c>
    </row>
    <row r="100">
      <c r="B100" s="8" t="n"/>
      <c r="C100" s="9">
        <f>IFERROR(_xll.ciqfunctions.udf.CIQ(mh_ticker, "IQ_LASTSALEPRICE", B100), "")</f>
        <v/>
      </c>
      <c r="D100" s="10">
        <f>IFERROR(_xll.ciqfunctions.udf.CIQ(mh_ticker, "IQ_SHARESOUTSTANDING_OUT", B100), "")</f>
        <v/>
      </c>
      <c r="E100" s="11">
        <f>IFERROR(_xll.ciqfunctions.udf.CIQ(mh_ticker, "IQ_CASH_EQUIV", , B100), "")</f>
        <v/>
      </c>
      <c r="F100" s="11">
        <f>IFERROR(_xll.ciqfunctions.udf.CIQ(mh_ticker, "IQ_ST_INVEST", , B100), "")</f>
        <v/>
      </c>
      <c r="G100" s="11">
        <f>IFERROR(_xll.ciqfunctions.udf.CIQ(mh_ticker, "IQ_TOTAL_DEBT_EXCL_OPER_LEASES", , B100), "")</f>
        <v/>
      </c>
      <c r="H100" s="11">
        <f>IFERROR(_xll.ciqfunctions.udf.CIQ(mh_ticker, "IQ_PREF_EQUITY", , B100), "")</f>
        <v/>
      </c>
      <c r="I100" s="11">
        <f>IFERROR(_xll.ciqfunctions.udf.CIQ(mh_ticker, "IQ_MINORITY_INTEREST", , B100), "")</f>
        <v/>
      </c>
      <c r="J100" s="11">
        <f>IFERROR(_xll.ciqfunctions.udf.CIQ(mh_ticker, "IQ_EQUITY_METHOD", , B100), "")</f>
        <v/>
      </c>
      <c r="K100" s="11">
        <f>IFERROR(_xll.ciqfunctions.udf.CIQ(mh_ticker, "IQ_LT_Mark_Securities", , B100), "")</f>
        <v/>
      </c>
      <c r="L100" s="12">
        <f>IFERROR(C100*D100, "")</f>
        <v/>
      </c>
      <c r="M100" s="12">
        <f>IFERROR(L100-E100-F100+G100+H100+I100-J100-K100, "")</f>
        <v/>
      </c>
      <c r="N100" s="11">
        <f>IFERROR(_xll.ciqfunctions.udf.CIQ(mh_ticker, "IQ_EBITDA_EST", IQ_NTM, B100, , , "USD"), "")</f>
        <v/>
      </c>
      <c r="O100" s="13">
        <f>IFERROR(M100/N100, "")</f>
        <v/>
      </c>
    </row>
    <row r="101">
      <c r="B101" s="8" t="n"/>
      <c r="C101" s="9">
        <f>IFERROR(_xll.ciqfunctions.udf.CIQ(mh_ticker, "IQ_LASTSALEPRICE", B101), "")</f>
        <v/>
      </c>
      <c r="D101" s="10">
        <f>IFERROR(_xll.ciqfunctions.udf.CIQ(mh_ticker, "IQ_SHARESOUTSTANDING_OUT", B101), "")</f>
        <v/>
      </c>
      <c r="E101" s="11">
        <f>IFERROR(_xll.ciqfunctions.udf.CIQ(mh_ticker, "IQ_CASH_EQUIV", , B101), "")</f>
        <v/>
      </c>
      <c r="F101" s="11">
        <f>IFERROR(_xll.ciqfunctions.udf.CIQ(mh_ticker, "IQ_ST_INVEST", , B101), "")</f>
        <v/>
      </c>
      <c r="G101" s="11">
        <f>IFERROR(_xll.ciqfunctions.udf.CIQ(mh_ticker, "IQ_TOTAL_DEBT_EXCL_OPER_LEASES", , B101), "")</f>
        <v/>
      </c>
      <c r="H101" s="11">
        <f>IFERROR(_xll.ciqfunctions.udf.CIQ(mh_ticker, "IQ_PREF_EQUITY", , B101), "")</f>
        <v/>
      </c>
      <c r="I101" s="11">
        <f>IFERROR(_xll.ciqfunctions.udf.CIQ(mh_ticker, "IQ_MINORITY_INTEREST", , B101), "")</f>
        <v/>
      </c>
      <c r="J101" s="11">
        <f>IFERROR(_xll.ciqfunctions.udf.CIQ(mh_ticker, "IQ_EQUITY_METHOD", , B101), "")</f>
        <v/>
      </c>
      <c r="K101" s="11">
        <f>IFERROR(_xll.ciqfunctions.udf.CIQ(mh_ticker, "IQ_LT_Mark_Securities", , B101), "")</f>
        <v/>
      </c>
      <c r="L101" s="12">
        <f>IFERROR(C101*D101, "")</f>
        <v/>
      </c>
      <c r="M101" s="12">
        <f>IFERROR(L101-E101-F101+G101+H101+I101-J101-K101, "")</f>
        <v/>
      </c>
      <c r="N101" s="11">
        <f>IFERROR(_xll.ciqfunctions.udf.CIQ(mh_ticker, "IQ_EBITDA_EST", IQ_NTM, B101, , , "USD"), "")</f>
        <v/>
      </c>
      <c r="O101" s="13">
        <f>IFERROR(M101/N101, "")</f>
        <v/>
      </c>
    </row>
    <row r="102">
      <c r="B102" s="8" t="n"/>
      <c r="C102" s="9">
        <f>IFERROR(_xll.ciqfunctions.udf.CIQ(mh_ticker, "IQ_LASTSALEPRICE", B102), "")</f>
        <v/>
      </c>
      <c r="D102" s="10">
        <f>IFERROR(_xll.ciqfunctions.udf.CIQ(mh_ticker, "IQ_SHARESOUTSTANDING_OUT", B102), "")</f>
        <v/>
      </c>
      <c r="E102" s="11">
        <f>IFERROR(_xll.ciqfunctions.udf.CIQ(mh_ticker, "IQ_CASH_EQUIV", , B102), "")</f>
        <v/>
      </c>
      <c r="F102" s="11">
        <f>IFERROR(_xll.ciqfunctions.udf.CIQ(mh_ticker, "IQ_ST_INVEST", , B102), "")</f>
        <v/>
      </c>
      <c r="G102" s="11">
        <f>IFERROR(_xll.ciqfunctions.udf.CIQ(mh_ticker, "IQ_TOTAL_DEBT_EXCL_OPER_LEASES", , B102), "")</f>
        <v/>
      </c>
      <c r="H102" s="11">
        <f>IFERROR(_xll.ciqfunctions.udf.CIQ(mh_ticker, "IQ_PREF_EQUITY", , B102), "")</f>
        <v/>
      </c>
      <c r="I102" s="11">
        <f>IFERROR(_xll.ciqfunctions.udf.CIQ(mh_ticker, "IQ_MINORITY_INTEREST", , B102), "")</f>
        <v/>
      </c>
      <c r="J102" s="11">
        <f>IFERROR(_xll.ciqfunctions.udf.CIQ(mh_ticker, "IQ_EQUITY_METHOD", , B102), "")</f>
        <v/>
      </c>
      <c r="K102" s="11">
        <f>IFERROR(_xll.ciqfunctions.udf.CIQ(mh_ticker, "IQ_LT_Mark_Securities", , B102), "")</f>
        <v/>
      </c>
      <c r="L102" s="12">
        <f>IFERROR(C102*D102, "")</f>
        <v/>
      </c>
      <c r="M102" s="12">
        <f>IFERROR(L102-E102-F102+G102+H102+I102-J102-K102, "")</f>
        <v/>
      </c>
      <c r="N102" s="11">
        <f>IFERROR(_xll.ciqfunctions.udf.CIQ(mh_ticker, "IQ_EBITDA_EST", IQ_NTM, B102, , , "USD"), "")</f>
        <v/>
      </c>
      <c r="O102" s="13">
        <f>IFERROR(M102/N102, "")</f>
        <v/>
      </c>
    </row>
    <row r="103">
      <c r="B103" s="8" t="n"/>
      <c r="C103" s="9">
        <f>IFERROR(_xll.ciqfunctions.udf.CIQ(mh_ticker, "IQ_LASTSALEPRICE", B103), "")</f>
        <v/>
      </c>
      <c r="D103" s="10">
        <f>IFERROR(_xll.ciqfunctions.udf.CIQ(mh_ticker, "IQ_SHARESOUTSTANDING_OUT", B103), "")</f>
        <v/>
      </c>
      <c r="E103" s="11">
        <f>IFERROR(_xll.ciqfunctions.udf.CIQ(mh_ticker, "IQ_CASH_EQUIV", , B103), "")</f>
        <v/>
      </c>
      <c r="F103" s="11">
        <f>IFERROR(_xll.ciqfunctions.udf.CIQ(mh_ticker, "IQ_ST_INVEST", , B103), "")</f>
        <v/>
      </c>
      <c r="G103" s="11">
        <f>IFERROR(_xll.ciqfunctions.udf.CIQ(mh_ticker, "IQ_TOTAL_DEBT_EXCL_OPER_LEASES", , B103), "")</f>
        <v/>
      </c>
      <c r="H103" s="11">
        <f>IFERROR(_xll.ciqfunctions.udf.CIQ(mh_ticker, "IQ_PREF_EQUITY", , B103), "")</f>
        <v/>
      </c>
      <c r="I103" s="11">
        <f>IFERROR(_xll.ciqfunctions.udf.CIQ(mh_ticker, "IQ_MINORITY_INTEREST", , B103), "")</f>
        <v/>
      </c>
      <c r="J103" s="11">
        <f>IFERROR(_xll.ciqfunctions.udf.CIQ(mh_ticker, "IQ_EQUITY_METHOD", , B103), "")</f>
        <v/>
      </c>
      <c r="K103" s="11">
        <f>IFERROR(_xll.ciqfunctions.udf.CIQ(mh_ticker, "IQ_LT_Mark_Securities", , B103), "")</f>
        <v/>
      </c>
      <c r="L103" s="12">
        <f>IFERROR(C103*D103, "")</f>
        <v/>
      </c>
      <c r="M103" s="12">
        <f>IFERROR(L103-E103-F103+G103+H103+I103-J103-K103, "")</f>
        <v/>
      </c>
      <c r="N103" s="11">
        <f>IFERROR(_xll.ciqfunctions.udf.CIQ(mh_ticker, "IQ_EBITDA_EST", IQ_NTM, B103, , , "USD"), "")</f>
        <v/>
      </c>
      <c r="O103" s="13">
        <f>IFERROR(M103/N103, "")</f>
        <v/>
      </c>
    </row>
    <row r="104">
      <c r="B104" s="8" t="n"/>
      <c r="C104" s="9">
        <f>IFERROR(_xll.ciqfunctions.udf.CIQ(mh_ticker, "IQ_LASTSALEPRICE", B104), "")</f>
        <v/>
      </c>
      <c r="D104" s="10">
        <f>IFERROR(_xll.ciqfunctions.udf.CIQ(mh_ticker, "IQ_SHARESOUTSTANDING_OUT", B104), "")</f>
        <v/>
      </c>
      <c r="E104" s="11">
        <f>IFERROR(_xll.ciqfunctions.udf.CIQ(mh_ticker, "IQ_CASH_EQUIV", , B104), "")</f>
        <v/>
      </c>
      <c r="F104" s="11">
        <f>IFERROR(_xll.ciqfunctions.udf.CIQ(mh_ticker, "IQ_ST_INVEST", , B104), "")</f>
        <v/>
      </c>
      <c r="G104" s="11">
        <f>IFERROR(_xll.ciqfunctions.udf.CIQ(mh_ticker, "IQ_TOTAL_DEBT_EXCL_OPER_LEASES", , B104), "")</f>
        <v/>
      </c>
      <c r="H104" s="11">
        <f>IFERROR(_xll.ciqfunctions.udf.CIQ(mh_ticker, "IQ_PREF_EQUITY", , B104), "")</f>
        <v/>
      </c>
      <c r="I104" s="11">
        <f>IFERROR(_xll.ciqfunctions.udf.CIQ(mh_ticker, "IQ_MINORITY_INTEREST", , B104), "")</f>
        <v/>
      </c>
      <c r="J104" s="11">
        <f>IFERROR(_xll.ciqfunctions.udf.CIQ(mh_ticker, "IQ_EQUITY_METHOD", , B104), "")</f>
        <v/>
      </c>
      <c r="K104" s="11">
        <f>IFERROR(_xll.ciqfunctions.udf.CIQ(mh_ticker, "IQ_LT_Mark_Securities", , B104), "")</f>
        <v/>
      </c>
      <c r="L104" s="12">
        <f>IFERROR(C104*D104, "")</f>
        <v/>
      </c>
      <c r="M104" s="12">
        <f>IFERROR(L104-E104-F104+G104+H104+I104-J104-K104, "")</f>
        <v/>
      </c>
      <c r="N104" s="11">
        <f>IFERROR(_xll.ciqfunctions.udf.CIQ(mh_ticker, "IQ_EBITDA_EST", IQ_NTM, B104, , , "USD"), "")</f>
        <v/>
      </c>
      <c r="O104" s="13">
        <f>IFERROR(M104/N104, "")</f>
        <v/>
      </c>
    </row>
    <row r="105">
      <c r="B105" s="8" t="n"/>
      <c r="C105" s="9">
        <f>IFERROR(_xll.ciqfunctions.udf.CIQ(mh_ticker, "IQ_LASTSALEPRICE", B105), "")</f>
        <v/>
      </c>
      <c r="D105" s="10">
        <f>IFERROR(_xll.ciqfunctions.udf.CIQ(mh_ticker, "IQ_SHARESOUTSTANDING_OUT", B105), "")</f>
        <v/>
      </c>
      <c r="E105" s="11">
        <f>IFERROR(_xll.ciqfunctions.udf.CIQ(mh_ticker, "IQ_CASH_EQUIV", , B105), "")</f>
        <v/>
      </c>
      <c r="F105" s="11">
        <f>IFERROR(_xll.ciqfunctions.udf.CIQ(mh_ticker, "IQ_ST_INVEST", , B105), "")</f>
        <v/>
      </c>
      <c r="G105" s="11">
        <f>IFERROR(_xll.ciqfunctions.udf.CIQ(mh_ticker, "IQ_TOTAL_DEBT_EXCL_OPER_LEASES", , B105), "")</f>
        <v/>
      </c>
      <c r="H105" s="11">
        <f>IFERROR(_xll.ciqfunctions.udf.CIQ(mh_ticker, "IQ_PREF_EQUITY", , B105), "")</f>
        <v/>
      </c>
      <c r="I105" s="11">
        <f>IFERROR(_xll.ciqfunctions.udf.CIQ(mh_ticker, "IQ_MINORITY_INTEREST", , B105), "")</f>
        <v/>
      </c>
      <c r="J105" s="11">
        <f>IFERROR(_xll.ciqfunctions.udf.CIQ(mh_ticker, "IQ_EQUITY_METHOD", , B105), "")</f>
        <v/>
      </c>
      <c r="K105" s="11">
        <f>IFERROR(_xll.ciqfunctions.udf.CIQ(mh_ticker, "IQ_LT_Mark_Securities", , B105), "")</f>
        <v/>
      </c>
      <c r="L105" s="12">
        <f>IFERROR(C105*D105, "")</f>
        <v/>
      </c>
      <c r="M105" s="12">
        <f>IFERROR(L105-E105-F105+G105+H105+I105-J105-K105, "")</f>
        <v/>
      </c>
      <c r="N105" s="11">
        <f>IFERROR(_xll.ciqfunctions.udf.CIQ(mh_ticker, "IQ_EBITDA_EST", IQ_NTM, B105, , , "USD"), "")</f>
        <v/>
      </c>
      <c r="O105" s="13">
        <f>IFERROR(M105/N105, "")</f>
        <v/>
      </c>
    </row>
    <row r="106">
      <c r="B106" s="8" t="n"/>
      <c r="C106" s="9">
        <f>IFERROR(_xll.ciqfunctions.udf.CIQ(mh_ticker, "IQ_LASTSALEPRICE", B106), "")</f>
        <v/>
      </c>
      <c r="D106" s="10">
        <f>IFERROR(_xll.ciqfunctions.udf.CIQ(mh_ticker, "IQ_SHARESOUTSTANDING_OUT", B106), "")</f>
        <v/>
      </c>
      <c r="E106" s="11">
        <f>IFERROR(_xll.ciqfunctions.udf.CIQ(mh_ticker, "IQ_CASH_EQUIV", , B106), "")</f>
        <v/>
      </c>
      <c r="F106" s="11">
        <f>IFERROR(_xll.ciqfunctions.udf.CIQ(mh_ticker, "IQ_ST_INVEST", , B106), "")</f>
        <v/>
      </c>
      <c r="G106" s="11">
        <f>IFERROR(_xll.ciqfunctions.udf.CIQ(mh_ticker, "IQ_TOTAL_DEBT_EXCL_OPER_LEASES", , B106), "")</f>
        <v/>
      </c>
      <c r="H106" s="11">
        <f>IFERROR(_xll.ciqfunctions.udf.CIQ(mh_ticker, "IQ_PREF_EQUITY", , B106), "")</f>
        <v/>
      </c>
      <c r="I106" s="11">
        <f>IFERROR(_xll.ciqfunctions.udf.CIQ(mh_ticker, "IQ_MINORITY_INTEREST", , B106), "")</f>
        <v/>
      </c>
      <c r="J106" s="11">
        <f>IFERROR(_xll.ciqfunctions.udf.CIQ(mh_ticker, "IQ_EQUITY_METHOD", , B106), "")</f>
        <v/>
      </c>
      <c r="K106" s="11">
        <f>IFERROR(_xll.ciqfunctions.udf.CIQ(mh_ticker, "IQ_LT_Mark_Securities", , B106), "")</f>
        <v/>
      </c>
      <c r="L106" s="12">
        <f>IFERROR(C106*D106, "")</f>
        <v/>
      </c>
      <c r="M106" s="12">
        <f>IFERROR(L106-E106-F106+G106+H106+I106-J106-K106, "")</f>
        <v/>
      </c>
      <c r="N106" s="11">
        <f>IFERROR(_xll.ciqfunctions.udf.CIQ(mh_ticker, "IQ_EBITDA_EST", IQ_NTM, B106, , , "USD"), "")</f>
        <v/>
      </c>
      <c r="O106" s="13">
        <f>IFERROR(M106/N106, "")</f>
        <v/>
      </c>
    </row>
    <row r="107">
      <c r="B107" s="8" t="n"/>
      <c r="C107" s="9">
        <f>IFERROR(_xll.ciqfunctions.udf.CIQ(mh_ticker, "IQ_LASTSALEPRICE", B107), "")</f>
        <v/>
      </c>
      <c r="D107" s="10">
        <f>IFERROR(_xll.ciqfunctions.udf.CIQ(mh_ticker, "IQ_SHARESOUTSTANDING_OUT", B107), "")</f>
        <v/>
      </c>
      <c r="E107" s="11">
        <f>IFERROR(_xll.ciqfunctions.udf.CIQ(mh_ticker, "IQ_CASH_EQUIV", , B107), "")</f>
        <v/>
      </c>
      <c r="F107" s="11">
        <f>IFERROR(_xll.ciqfunctions.udf.CIQ(mh_ticker, "IQ_ST_INVEST", , B107), "")</f>
        <v/>
      </c>
      <c r="G107" s="11">
        <f>IFERROR(_xll.ciqfunctions.udf.CIQ(mh_ticker, "IQ_TOTAL_DEBT_EXCL_OPER_LEASES", , B107), "")</f>
        <v/>
      </c>
      <c r="H107" s="11">
        <f>IFERROR(_xll.ciqfunctions.udf.CIQ(mh_ticker, "IQ_PREF_EQUITY", , B107), "")</f>
        <v/>
      </c>
      <c r="I107" s="11">
        <f>IFERROR(_xll.ciqfunctions.udf.CIQ(mh_ticker, "IQ_MINORITY_INTEREST", , B107), "")</f>
        <v/>
      </c>
      <c r="J107" s="11">
        <f>IFERROR(_xll.ciqfunctions.udf.CIQ(mh_ticker, "IQ_EQUITY_METHOD", , B107), "")</f>
        <v/>
      </c>
      <c r="K107" s="11">
        <f>IFERROR(_xll.ciqfunctions.udf.CIQ(mh_ticker, "IQ_LT_Mark_Securities", , B107), "")</f>
        <v/>
      </c>
      <c r="L107" s="12">
        <f>IFERROR(C107*D107, "")</f>
        <v/>
      </c>
      <c r="M107" s="12">
        <f>IFERROR(L107-E107-F107+G107+H107+I107-J107-K107, "")</f>
        <v/>
      </c>
      <c r="N107" s="11">
        <f>IFERROR(_xll.ciqfunctions.udf.CIQ(mh_ticker, "IQ_EBITDA_EST", IQ_NTM, B107, , , "USD"), "")</f>
        <v/>
      </c>
      <c r="O107" s="13">
        <f>IFERROR(M107/N107, "")</f>
        <v/>
      </c>
    </row>
    <row r="108">
      <c r="B108" s="8" t="n"/>
      <c r="C108" s="9">
        <f>IFERROR(_xll.ciqfunctions.udf.CIQ(mh_ticker, "IQ_LASTSALEPRICE", B108), "")</f>
        <v/>
      </c>
      <c r="D108" s="10">
        <f>IFERROR(_xll.ciqfunctions.udf.CIQ(mh_ticker, "IQ_SHARESOUTSTANDING_OUT", B108), "")</f>
        <v/>
      </c>
      <c r="E108" s="11">
        <f>IFERROR(_xll.ciqfunctions.udf.CIQ(mh_ticker, "IQ_CASH_EQUIV", , B108), "")</f>
        <v/>
      </c>
      <c r="F108" s="11">
        <f>IFERROR(_xll.ciqfunctions.udf.CIQ(mh_ticker, "IQ_ST_INVEST", , B108), "")</f>
        <v/>
      </c>
      <c r="G108" s="11">
        <f>IFERROR(_xll.ciqfunctions.udf.CIQ(mh_ticker, "IQ_TOTAL_DEBT_EXCL_OPER_LEASES", , B108), "")</f>
        <v/>
      </c>
      <c r="H108" s="11">
        <f>IFERROR(_xll.ciqfunctions.udf.CIQ(mh_ticker, "IQ_PREF_EQUITY", , B108), "")</f>
        <v/>
      </c>
      <c r="I108" s="11">
        <f>IFERROR(_xll.ciqfunctions.udf.CIQ(mh_ticker, "IQ_MINORITY_INTEREST", , B108), "")</f>
        <v/>
      </c>
      <c r="J108" s="11">
        <f>IFERROR(_xll.ciqfunctions.udf.CIQ(mh_ticker, "IQ_EQUITY_METHOD", , B108), "")</f>
        <v/>
      </c>
      <c r="K108" s="11">
        <f>IFERROR(_xll.ciqfunctions.udf.CIQ(mh_ticker, "IQ_LT_Mark_Securities", , B108), "")</f>
        <v/>
      </c>
      <c r="L108" s="12">
        <f>IFERROR(C108*D108, "")</f>
        <v/>
      </c>
      <c r="M108" s="12">
        <f>IFERROR(L108-E108-F108+G108+H108+I108-J108-K108, "")</f>
        <v/>
      </c>
      <c r="N108" s="11">
        <f>IFERROR(_xll.ciqfunctions.udf.CIQ(mh_ticker, "IQ_EBITDA_EST", IQ_NTM, B108, , , "USD"), "")</f>
        <v/>
      </c>
      <c r="O108" s="13">
        <f>IFERROR(M108/N108, "")</f>
        <v/>
      </c>
    </row>
    <row r="109">
      <c r="B109" s="8" t="n"/>
      <c r="C109" s="9">
        <f>IFERROR(_xll.ciqfunctions.udf.CIQ(mh_ticker, "IQ_LASTSALEPRICE", B109), "")</f>
        <v/>
      </c>
      <c r="D109" s="10">
        <f>IFERROR(_xll.ciqfunctions.udf.CIQ(mh_ticker, "IQ_SHARESOUTSTANDING_OUT", B109), "")</f>
        <v/>
      </c>
      <c r="E109" s="11">
        <f>IFERROR(_xll.ciqfunctions.udf.CIQ(mh_ticker, "IQ_CASH_EQUIV", , B109), "")</f>
        <v/>
      </c>
      <c r="F109" s="11">
        <f>IFERROR(_xll.ciqfunctions.udf.CIQ(mh_ticker, "IQ_ST_INVEST", , B109), "")</f>
        <v/>
      </c>
      <c r="G109" s="11">
        <f>IFERROR(_xll.ciqfunctions.udf.CIQ(mh_ticker, "IQ_TOTAL_DEBT_EXCL_OPER_LEASES", , B109), "")</f>
        <v/>
      </c>
      <c r="H109" s="11">
        <f>IFERROR(_xll.ciqfunctions.udf.CIQ(mh_ticker, "IQ_PREF_EQUITY", , B109), "")</f>
        <v/>
      </c>
      <c r="I109" s="11">
        <f>IFERROR(_xll.ciqfunctions.udf.CIQ(mh_ticker, "IQ_MINORITY_INTEREST", , B109), "")</f>
        <v/>
      </c>
      <c r="J109" s="11">
        <f>IFERROR(_xll.ciqfunctions.udf.CIQ(mh_ticker, "IQ_EQUITY_METHOD", , B109), "")</f>
        <v/>
      </c>
      <c r="K109" s="11">
        <f>IFERROR(_xll.ciqfunctions.udf.CIQ(mh_ticker, "IQ_LT_Mark_Securities", , B109), "")</f>
        <v/>
      </c>
      <c r="L109" s="12">
        <f>IFERROR(C109*D109, "")</f>
        <v/>
      </c>
      <c r="M109" s="12">
        <f>IFERROR(L109-E109-F109+G109+H109+I109-J109-K109, "")</f>
        <v/>
      </c>
      <c r="N109" s="11">
        <f>IFERROR(_xll.ciqfunctions.udf.CIQ(mh_ticker, "IQ_EBITDA_EST", IQ_NTM, B109, , , "USD"), "")</f>
        <v/>
      </c>
      <c r="O109" s="13">
        <f>IFERROR(M109/N109, "")</f>
        <v/>
      </c>
    </row>
    <row r="110">
      <c r="B110" s="8" t="n"/>
      <c r="C110" s="9">
        <f>IFERROR(_xll.ciqfunctions.udf.CIQ(mh_ticker, "IQ_LASTSALEPRICE", B110), "")</f>
        <v/>
      </c>
      <c r="D110" s="10">
        <f>IFERROR(_xll.ciqfunctions.udf.CIQ(mh_ticker, "IQ_SHARESOUTSTANDING_OUT", B110), "")</f>
        <v/>
      </c>
      <c r="E110" s="11">
        <f>IFERROR(_xll.ciqfunctions.udf.CIQ(mh_ticker, "IQ_CASH_EQUIV", , B110), "")</f>
        <v/>
      </c>
      <c r="F110" s="11">
        <f>IFERROR(_xll.ciqfunctions.udf.CIQ(mh_ticker, "IQ_ST_INVEST", , B110), "")</f>
        <v/>
      </c>
      <c r="G110" s="11">
        <f>IFERROR(_xll.ciqfunctions.udf.CIQ(mh_ticker, "IQ_TOTAL_DEBT_EXCL_OPER_LEASES", , B110), "")</f>
        <v/>
      </c>
      <c r="H110" s="11">
        <f>IFERROR(_xll.ciqfunctions.udf.CIQ(mh_ticker, "IQ_PREF_EQUITY", , B110), "")</f>
        <v/>
      </c>
      <c r="I110" s="11">
        <f>IFERROR(_xll.ciqfunctions.udf.CIQ(mh_ticker, "IQ_MINORITY_INTEREST", , B110), "")</f>
        <v/>
      </c>
      <c r="J110" s="11">
        <f>IFERROR(_xll.ciqfunctions.udf.CIQ(mh_ticker, "IQ_EQUITY_METHOD", , B110), "")</f>
        <v/>
      </c>
      <c r="K110" s="11">
        <f>IFERROR(_xll.ciqfunctions.udf.CIQ(mh_ticker, "IQ_LT_Mark_Securities", , B110), "")</f>
        <v/>
      </c>
      <c r="L110" s="12">
        <f>IFERROR(C110*D110, "")</f>
        <v/>
      </c>
      <c r="M110" s="12">
        <f>IFERROR(L110-E110-F110+G110+H110+I110-J110-K110, "")</f>
        <v/>
      </c>
      <c r="N110" s="11">
        <f>IFERROR(_xll.ciqfunctions.udf.CIQ(mh_ticker, "IQ_EBITDA_EST", IQ_NTM, B110, , , "USD"), "")</f>
        <v/>
      </c>
      <c r="O110" s="13">
        <f>IFERROR(M110/N110, "")</f>
        <v/>
      </c>
    </row>
    <row r="111">
      <c r="B111" s="8" t="n"/>
      <c r="C111" s="9">
        <f>IFERROR(_xll.ciqfunctions.udf.CIQ(mh_ticker, "IQ_LASTSALEPRICE", B111), "")</f>
        <v/>
      </c>
      <c r="D111" s="10">
        <f>IFERROR(_xll.ciqfunctions.udf.CIQ(mh_ticker, "IQ_SHARESOUTSTANDING_OUT", B111), "")</f>
        <v/>
      </c>
      <c r="E111" s="11">
        <f>IFERROR(_xll.ciqfunctions.udf.CIQ(mh_ticker, "IQ_CASH_EQUIV", , B111), "")</f>
        <v/>
      </c>
      <c r="F111" s="11">
        <f>IFERROR(_xll.ciqfunctions.udf.CIQ(mh_ticker, "IQ_ST_INVEST", , B111), "")</f>
        <v/>
      </c>
      <c r="G111" s="11">
        <f>IFERROR(_xll.ciqfunctions.udf.CIQ(mh_ticker, "IQ_TOTAL_DEBT_EXCL_OPER_LEASES", , B111), "")</f>
        <v/>
      </c>
      <c r="H111" s="11">
        <f>IFERROR(_xll.ciqfunctions.udf.CIQ(mh_ticker, "IQ_PREF_EQUITY", , B111), "")</f>
        <v/>
      </c>
      <c r="I111" s="11">
        <f>IFERROR(_xll.ciqfunctions.udf.CIQ(mh_ticker, "IQ_MINORITY_INTEREST", , B111), "")</f>
        <v/>
      </c>
      <c r="J111" s="11">
        <f>IFERROR(_xll.ciqfunctions.udf.CIQ(mh_ticker, "IQ_EQUITY_METHOD", , B111), "")</f>
        <v/>
      </c>
      <c r="K111" s="11">
        <f>IFERROR(_xll.ciqfunctions.udf.CIQ(mh_ticker, "IQ_LT_Mark_Securities", , B111), "")</f>
        <v/>
      </c>
      <c r="L111" s="12">
        <f>IFERROR(C111*D111, "")</f>
        <v/>
      </c>
      <c r="M111" s="12">
        <f>IFERROR(L111-E111-F111+G111+H111+I111-J111-K111, "")</f>
        <v/>
      </c>
      <c r="N111" s="11">
        <f>IFERROR(_xll.ciqfunctions.udf.CIQ(mh_ticker, "IQ_EBITDA_EST", IQ_NTM, B111, , , "USD"), "")</f>
        <v/>
      </c>
      <c r="O111" s="13">
        <f>IFERROR(M111/N111, "")</f>
        <v/>
      </c>
    </row>
    <row r="112">
      <c r="B112" s="8" t="n"/>
      <c r="C112" s="9">
        <f>IFERROR(_xll.ciqfunctions.udf.CIQ(mh_ticker, "IQ_LASTSALEPRICE", B112), "")</f>
        <v/>
      </c>
      <c r="D112" s="10">
        <f>IFERROR(_xll.ciqfunctions.udf.CIQ(mh_ticker, "IQ_SHARESOUTSTANDING_OUT", B112), "")</f>
        <v/>
      </c>
      <c r="E112" s="11">
        <f>IFERROR(_xll.ciqfunctions.udf.CIQ(mh_ticker, "IQ_CASH_EQUIV", , B112), "")</f>
        <v/>
      </c>
      <c r="F112" s="11">
        <f>IFERROR(_xll.ciqfunctions.udf.CIQ(mh_ticker, "IQ_ST_INVEST", , B112), "")</f>
        <v/>
      </c>
      <c r="G112" s="11">
        <f>IFERROR(_xll.ciqfunctions.udf.CIQ(mh_ticker, "IQ_TOTAL_DEBT_EXCL_OPER_LEASES", , B112), "")</f>
        <v/>
      </c>
      <c r="H112" s="11">
        <f>IFERROR(_xll.ciqfunctions.udf.CIQ(mh_ticker, "IQ_PREF_EQUITY", , B112), "")</f>
        <v/>
      </c>
      <c r="I112" s="11">
        <f>IFERROR(_xll.ciqfunctions.udf.CIQ(mh_ticker, "IQ_MINORITY_INTEREST", , B112), "")</f>
        <v/>
      </c>
      <c r="J112" s="11">
        <f>IFERROR(_xll.ciqfunctions.udf.CIQ(mh_ticker, "IQ_EQUITY_METHOD", , B112), "")</f>
        <v/>
      </c>
      <c r="K112" s="11">
        <f>IFERROR(_xll.ciqfunctions.udf.CIQ(mh_ticker, "IQ_LT_Mark_Securities", , B112), "")</f>
        <v/>
      </c>
      <c r="L112" s="12">
        <f>IFERROR(C112*D112, "")</f>
        <v/>
      </c>
      <c r="M112" s="12">
        <f>IFERROR(L112-E112-F112+G112+H112+I112-J112-K112, "")</f>
        <v/>
      </c>
      <c r="N112" s="11">
        <f>IFERROR(_xll.ciqfunctions.udf.CIQ(mh_ticker, "IQ_EBITDA_EST", IQ_NTM, B112, , , "USD"), "")</f>
        <v/>
      </c>
      <c r="O112" s="13">
        <f>IFERROR(M112/N112, "")</f>
        <v/>
      </c>
    </row>
    <row r="113">
      <c r="B113" s="8" t="n"/>
      <c r="C113" s="9">
        <f>IFERROR(_xll.ciqfunctions.udf.CIQ(mh_ticker, "IQ_LASTSALEPRICE", B113), "")</f>
        <v/>
      </c>
      <c r="D113" s="10">
        <f>IFERROR(_xll.ciqfunctions.udf.CIQ(mh_ticker, "IQ_SHARESOUTSTANDING_OUT", B113), "")</f>
        <v/>
      </c>
      <c r="E113" s="11">
        <f>IFERROR(_xll.ciqfunctions.udf.CIQ(mh_ticker, "IQ_CASH_EQUIV", , B113), "")</f>
        <v/>
      </c>
      <c r="F113" s="11">
        <f>IFERROR(_xll.ciqfunctions.udf.CIQ(mh_ticker, "IQ_ST_INVEST", , B113), "")</f>
        <v/>
      </c>
      <c r="G113" s="11">
        <f>IFERROR(_xll.ciqfunctions.udf.CIQ(mh_ticker, "IQ_TOTAL_DEBT_EXCL_OPER_LEASES", , B113), "")</f>
        <v/>
      </c>
      <c r="H113" s="11">
        <f>IFERROR(_xll.ciqfunctions.udf.CIQ(mh_ticker, "IQ_PREF_EQUITY", , B113), "")</f>
        <v/>
      </c>
      <c r="I113" s="11">
        <f>IFERROR(_xll.ciqfunctions.udf.CIQ(mh_ticker, "IQ_MINORITY_INTEREST", , B113), "")</f>
        <v/>
      </c>
      <c r="J113" s="11">
        <f>IFERROR(_xll.ciqfunctions.udf.CIQ(mh_ticker, "IQ_EQUITY_METHOD", , B113), "")</f>
        <v/>
      </c>
      <c r="K113" s="11">
        <f>IFERROR(_xll.ciqfunctions.udf.CIQ(mh_ticker, "IQ_LT_Mark_Securities", , B113), "")</f>
        <v/>
      </c>
      <c r="L113" s="12">
        <f>IFERROR(C113*D113, "")</f>
        <v/>
      </c>
      <c r="M113" s="12">
        <f>IFERROR(L113-E113-F113+G113+H113+I113-J113-K113, "")</f>
        <v/>
      </c>
      <c r="N113" s="11">
        <f>IFERROR(_xll.ciqfunctions.udf.CIQ(mh_ticker, "IQ_EBITDA_EST", IQ_NTM, B113, , , "USD"), "")</f>
        <v/>
      </c>
      <c r="O113" s="13">
        <f>IFERROR(M113/N113, "")</f>
        <v/>
      </c>
    </row>
    <row r="114">
      <c r="B114" s="8" t="n"/>
      <c r="C114" s="9">
        <f>IFERROR(_xll.ciqfunctions.udf.CIQ(mh_ticker, "IQ_LASTSALEPRICE", B114), "")</f>
        <v/>
      </c>
      <c r="D114" s="10">
        <f>IFERROR(_xll.ciqfunctions.udf.CIQ(mh_ticker, "IQ_SHARESOUTSTANDING_OUT", B114), "")</f>
        <v/>
      </c>
      <c r="E114" s="11">
        <f>IFERROR(_xll.ciqfunctions.udf.CIQ(mh_ticker, "IQ_CASH_EQUIV", , B114), "")</f>
        <v/>
      </c>
      <c r="F114" s="11">
        <f>IFERROR(_xll.ciqfunctions.udf.CIQ(mh_ticker, "IQ_ST_INVEST", , B114), "")</f>
        <v/>
      </c>
      <c r="G114" s="11">
        <f>IFERROR(_xll.ciqfunctions.udf.CIQ(mh_ticker, "IQ_TOTAL_DEBT_EXCL_OPER_LEASES", , B114), "")</f>
        <v/>
      </c>
      <c r="H114" s="11">
        <f>IFERROR(_xll.ciqfunctions.udf.CIQ(mh_ticker, "IQ_PREF_EQUITY", , B114), "")</f>
        <v/>
      </c>
      <c r="I114" s="11">
        <f>IFERROR(_xll.ciqfunctions.udf.CIQ(mh_ticker, "IQ_MINORITY_INTEREST", , B114), "")</f>
        <v/>
      </c>
      <c r="J114" s="11">
        <f>IFERROR(_xll.ciqfunctions.udf.CIQ(mh_ticker, "IQ_EQUITY_METHOD", , B114), "")</f>
        <v/>
      </c>
      <c r="K114" s="11">
        <f>IFERROR(_xll.ciqfunctions.udf.CIQ(mh_ticker, "IQ_LT_Mark_Securities", , B114), "")</f>
        <v/>
      </c>
      <c r="L114" s="12">
        <f>IFERROR(C114*D114, "")</f>
        <v/>
      </c>
      <c r="M114" s="12">
        <f>IFERROR(L114-E114-F114+G114+H114+I114-J114-K114, "")</f>
        <v/>
      </c>
      <c r="N114" s="11">
        <f>IFERROR(_xll.ciqfunctions.udf.CIQ(mh_ticker, "IQ_EBITDA_EST", IQ_NTM, B114, , , "USD"), "")</f>
        <v/>
      </c>
      <c r="O114" s="13">
        <f>IFERROR(M114/N114, "")</f>
        <v/>
      </c>
    </row>
    <row r="115">
      <c r="B115" s="8" t="n"/>
      <c r="C115" s="9">
        <f>IFERROR(_xll.ciqfunctions.udf.CIQ(mh_ticker, "IQ_LASTSALEPRICE", B115), "")</f>
        <v/>
      </c>
      <c r="D115" s="10">
        <f>IFERROR(_xll.ciqfunctions.udf.CIQ(mh_ticker, "IQ_SHARESOUTSTANDING_OUT", B115), "")</f>
        <v/>
      </c>
      <c r="E115" s="11">
        <f>IFERROR(_xll.ciqfunctions.udf.CIQ(mh_ticker, "IQ_CASH_EQUIV", , B115), "")</f>
        <v/>
      </c>
      <c r="F115" s="11">
        <f>IFERROR(_xll.ciqfunctions.udf.CIQ(mh_ticker, "IQ_ST_INVEST", , B115), "")</f>
        <v/>
      </c>
      <c r="G115" s="11">
        <f>IFERROR(_xll.ciqfunctions.udf.CIQ(mh_ticker, "IQ_TOTAL_DEBT_EXCL_OPER_LEASES", , B115), "")</f>
        <v/>
      </c>
      <c r="H115" s="11">
        <f>IFERROR(_xll.ciqfunctions.udf.CIQ(mh_ticker, "IQ_PREF_EQUITY", , B115), "")</f>
        <v/>
      </c>
      <c r="I115" s="11">
        <f>IFERROR(_xll.ciqfunctions.udf.CIQ(mh_ticker, "IQ_MINORITY_INTEREST", , B115), "")</f>
        <v/>
      </c>
      <c r="J115" s="11">
        <f>IFERROR(_xll.ciqfunctions.udf.CIQ(mh_ticker, "IQ_EQUITY_METHOD", , B115), "")</f>
        <v/>
      </c>
      <c r="K115" s="11">
        <f>IFERROR(_xll.ciqfunctions.udf.CIQ(mh_ticker, "IQ_LT_Mark_Securities", , B115), "")</f>
        <v/>
      </c>
      <c r="L115" s="12">
        <f>IFERROR(C115*D115, "")</f>
        <v/>
      </c>
      <c r="M115" s="12">
        <f>IFERROR(L115-E115-F115+G115+H115+I115-J115-K115, "")</f>
        <v/>
      </c>
      <c r="N115" s="11">
        <f>IFERROR(_xll.ciqfunctions.udf.CIQ(mh_ticker, "IQ_EBITDA_EST", IQ_NTM, B115, , , "USD"), "")</f>
        <v/>
      </c>
      <c r="O115" s="13">
        <f>IFERROR(M115/N115, "")</f>
        <v/>
      </c>
    </row>
    <row r="116">
      <c r="B116" s="8" t="n"/>
      <c r="C116" s="9">
        <f>IFERROR(_xll.ciqfunctions.udf.CIQ(mh_ticker, "IQ_LASTSALEPRICE", B116), "")</f>
        <v/>
      </c>
      <c r="D116" s="10">
        <f>IFERROR(_xll.ciqfunctions.udf.CIQ(mh_ticker, "IQ_SHARESOUTSTANDING_OUT", B116), "")</f>
        <v/>
      </c>
      <c r="E116" s="11">
        <f>IFERROR(_xll.ciqfunctions.udf.CIQ(mh_ticker, "IQ_CASH_EQUIV", , B116), "")</f>
        <v/>
      </c>
      <c r="F116" s="11">
        <f>IFERROR(_xll.ciqfunctions.udf.CIQ(mh_ticker, "IQ_ST_INVEST", , B116), "")</f>
        <v/>
      </c>
      <c r="G116" s="11">
        <f>IFERROR(_xll.ciqfunctions.udf.CIQ(mh_ticker, "IQ_TOTAL_DEBT_EXCL_OPER_LEASES", , B116), "")</f>
        <v/>
      </c>
      <c r="H116" s="11">
        <f>IFERROR(_xll.ciqfunctions.udf.CIQ(mh_ticker, "IQ_PREF_EQUITY", , B116), "")</f>
        <v/>
      </c>
      <c r="I116" s="11">
        <f>IFERROR(_xll.ciqfunctions.udf.CIQ(mh_ticker, "IQ_MINORITY_INTEREST", , B116), "")</f>
        <v/>
      </c>
      <c r="J116" s="11">
        <f>IFERROR(_xll.ciqfunctions.udf.CIQ(mh_ticker, "IQ_EQUITY_METHOD", , B116), "")</f>
        <v/>
      </c>
      <c r="K116" s="11">
        <f>IFERROR(_xll.ciqfunctions.udf.CIQ(mh_ticker, "IQ_LT_Mark_Securities", , B116), "")</f>
        <v/>
      </c>
      <c r="L116" s="12">
        <f>IFERROR(C116*D116, "")</f>
        <v/>
      </c>
      <c r="M116" s="12">
        <f>IFERROR(L116-E116-F116+G116+H116+I116-J116-K116, "")</f>
        <v/>
      </c>
      <c r="N116" s="11">
        <f>IFERROR(_xll.ciqfunctions.udf.CIQ(mh_ticker, "IQ_EBITDA_EST", IQ_NTM, B116, , , "USD"), "")</f>
        <v/>
      </c>
      <c r="O116" s="13">
        <f>IFERROR(M116/N116, "")</f>
        <v/>
      </c>
    </row>
    <row r="117">
      <c r="B117" s="8" t="n"/>
      <c r="C117" s="9">
        <f>IFERROR(_xll.ciqfunctions.udf.CIQ(mh_ticker, "IQ_LASTSALEPRICE", B117), "")</f>
        <v/>
      </c>
      <c r="D117" s="10">
        <f>IFERROR(_xll.ciqfunctions.udf.CIQ(mh_ticker, "IQ_SHARESOUTSTANDING_OUT", B117), "")</f>
        <v/>
      </c>
      <c r="E117" s="11">
        <f>IFERROR(_xll.ciqfunctions.udf.CIQ(mh_ticker, "IQ_CASH_EQUIV", , B117), "")</f>
        <v/>
      </c>
      <c r="F117" s="11">
        <f>IFERROR(_xll.ciqfunctions.udf.CIQ(mh_ticker, "IQ_ST_INVEST", , B117), "")</f>
        <v/>
      </c>
      <c r="G117" s="11">
        <f>IFERROR(_xll.ciqfunctions.udf.CIQ(mh_ticker, "IQ_TOTAL_DEBT_EXCL_OPER_LEASES", , B117), "")</f>
        <v/>
      </c>
      <c r="H117" s="11">
        <f>IFERROR(_xll.ciqfunctions.udf.CIQ(mh_ticker, "IQ_PREF_EQUITY", , B117), "")</f>
        <v/>
      </c>
      <c r="I117" s="11">
        <f>IFERROR(_xll.ciqfunctions.udf.CIQ(mh_ticker, "IQ_MINORITY_INTEREST", , B117), "")</f>
        <v/>
      </c>
      <c r="J117" s="11">
        <f>IFERROR(_xll.ciqfunctions.udf.CIQ(mh_ticker, "IQ_EQUITY_METHOD", , B117), "")</f>
        <v/>
      </c>
      <c r="K117" s="11">
        <f>IFERROR(_xll.ciqfunctions.udf.CIQ(mh_ticker, "IQ_LT_Mark_Securities", , B117), "")</f>
        <v/>
      </c>
      <c r="L117" s="12">
        <f>IFERROR(C117*D117, "")</f>
        <v/>
      </c>
      <c r="M117" s="12">
        <f>IFERROR(L117-E117-F117+G117+H117+I117-J117-K117, "")</f>
        <v/>
      </c>
      <c r="N117" s="11">
        <f>IFERROR(_xll.ciqfunctions.udf.CIQ(mh_ticker, "IQ_EBITDA_EST", IQ_NTM, B117, , , "USD"), "")</f>
        <v/>
      </c>
      <c r="O117" s="13">
        <f>IFERROR(M117/N117, "")</f>
        <v/>
      </c>
    </row>
    <row r="118">
      <c r="B118" s="8" t="n"/>
      <c r="C118" s="9">
        <f>IFERROR(_xll.ciqfunctions.udf.CIQ(mh_ticker, "IQ_LASTSALEPRICE", B118), "")</f>
        <v/>
      </c>
      <c r="D118" s="10">
        <f>IFERROR(_xll.ciqfunctions.udf.CIQ(mh_ticker, "IQ_SHARESOUTSTANDING_OUT", B118), "")</f>
        <v/>
      </c>
      <c r="E118" s="11">
        <f>IFERROR(_xll.ciqfunctions.udf.CIQ(mh_ticker, "IQ_CASH_EQUIV", , B118), "")</f>
        <v/>
      </c>
      <c r="F118" s="11">
        <f>IFERROR(_xll.ciqfunctions.udf.CIQ(mh_ticker, "IQ_ST_INVEST", , B118), "")</f>
        <v/>
      </c>
      <c r="G118" s="11">
        <f>IFERROR(_xll.ciqfunctions.udf.CIQ(mh_ticker, "IQ_TOTAL_DEBT_EXCL_OPER_LEASES", , B118), "")</f>
        <v/>
      </c>
      <c r="H118" s="11">
        <f>IFERROR(_xll.ciqfunctions.udf.CIQ(mh_ticker, "IQ_PREF_EQUITY", , B118), "")</f>
        <v/>
      </c>
      <c r="I118" s="11">
        <f>IFERROR(_xll.ciqfunctions.udf.CIQ(mh_ticker, "IQ_MINORITY_INTEREST", , B118), "")</f>
        <v/>
      </c>
      <c r="J118" s="11">
        <f>IFERROR(_xll.ciqfunctions.udf.CIQ(mh_ticker, "IQ_EQUITY_METHOD", , B118), "")</f>
        <v/>
      </c>
      <c r="K118" s="11">
        <f>IFERROR(_xll.ciqfunctions.udf.CIQ(mh_ticker, "IQ_LT_Mark_Securities", , B118), "")</f>
        <v/>
      </c>
      <c r="L118" s="12">
        <f>IFERROR(C118*D118, "")</f>
        <v/>
      </c>
      <c r="M118" s="12">
        <f>IFERROR(L118-E118-F118+G118+H118+I118-J118-K118, "")</f>
        <v/>
      </c>
      <c r="N118" s="11">
        <f>IFERROR(_xll.ciqfunctions.udf.CIQ(mh_ticker, "IQ_EBITDA_EST", IQ_NTM, B118, , , "USD"), "")</f>
        <v/>
      </c>
      <c r="O118" s="13">
        <f>IFERROR(M118/N118, "")</f>
        <v/>
      </c>
    </row>
    <row r="119">
      <c r="B119" s="8" t="n"/>
      <c r="C119" s="9">
        <f>IFERROR(_xll.ciqfunctions.udf.CIQ(mh_ticker, "IQ_LASTSALEPRICE", B119), "")</f>
        <v/>
      </c>
      <c r="D119" s="10">
        <f>IFERROR(_xll.ciqfunctions.udf.CIQ(mh_ticker, "IQ_SHARESOUTSTANDING_OUT", B119), "")</f>
        <v/>
      </c>
      <c r="E119" s="11">
        <f>IFERROR(_xll.ciqfunctions.udf.CIQ(mh_ticker, "IQ_CASH_EQUIV", , B119), "")</f>
        <v/>
      </c>
      <c r="F119" s="11">
        <f>IFERROR(_xll.ciqfunctions.udf.CIQ(mh_ticker, "IQ_ST_INVEST", , B119), "")</f>
        <v/>
      </c>
      <c r="G119" s="11">
        <f>IFERROR(_xll.ciqfunctions.udf.CIQ(mh_ticker, "IQ_TOTAL_DEBT_EXCL_OPER_LEASES", , B119), "")</f>
        <v/>
      </c>
      <c r="H119" s="11">
        <f>IFERROR(_xll.ciqfunctions.udf.CIQ(mh_ticker, "IQ_PREF_EQUITY", , B119), "")</f>
        <v/>
      </c>
      <c r="I119" s="11">
        <f>IFERROR(_xll.ciqfunctions.udf.CIQ(mh_ticker, "IQ_MINORITY_INTEREST", , B119), "")</f>
        <v/>
      </c>
      <c r="J119" s="11">
        <f>IFERROR(_xll.ciqfunctions.udf.CIQ(mh_ticker, "IQ_EQUITY_METHOD", , B119), "")</f>
        <v/>
      </c>
      <c r="K119" s="11">
        <f>IFERROR(_xll.ciqfunctions.udf.CIQ(mh_ticker, "IQ_LT_Mark_Securities", , B119), "")</f>
        <v/>
      </c>
      <c r="L119" s="12">
        <f>IFERROR(C119*D119, "")</f>
        <v/>
      </c>
      <c r="M119" s="12">
        <f>IFERROR(L119-E119-F119+G119+H119+I119-J119-K119, "")</f>
        <v/>
      </c>
      <c r="N119" s="11">
        <f>IFERROR(_xll.ciqfunctions.udf.CIQ(mh_ticker, "IQ_EBITDA_EST", IQ_NTM, B119, , , "USD"), "")</f>
        <v/>
      </c>
      <c r="O119" s="13">
        <f>IFERROR(M119/N119, "")</f>
        <v/>
      </c>
    </row>
    <row r="120">
      <c r="B120" s="8" t="n"/>
      <c r="C120" s="9">
        <f>IFERROR(_xll.ciqfunctions.udf.CIQ(mh_ticker, "IQ_LASTSALEPRICE", B120), "")</f>
        <v/>
      </c>
      <c r="D120" s="10">
        <f>IFERROR(_xll.ciqfunctions.udf.CIQ(mh_ticker, "IQ_SHARESOUTSTANDING_OUT", B120), "")</f>
        <v/>
      </c>
      <c r="E120" s="11">
        <f>IFERROR(_xll.ciqfunctions.udf.CIQ(mh_ticker, "IQ_CASH_EQUIV", , B120), "")</f>
        <v/>
      </c>
      <c r="F120" s="11">
        <f>IFERROR(_xll.ciqfunctions.udf.CIQ(mh_ticker, "IQ_ST_INVEST", , B120), "")</f>
        <v/>
      </c>
      <c r="G120" s="11">
        <f>IFERROR(_xll.ciqfunctions.udf.CIQ(mh_ticker, "IQ_TOTAL_DEBT_EXCL_OPER_LEASES", , B120), "")</f>
        <v/>
      </c>
      <c r="H120" s="11">
        <f>IFERROR(_xll.ciqfunctions.udf.CIQ(mh_ticker, "IQ_PREF_EQUITY", , B120), "")</f>
        <v/>
      </c>
      <c r="I120" s="11">
        <f>IFERROR(_xll.ciqfunctions.udf.CIQ(mh_ticker, "IQ_MINORITY_INTEREST", , B120), "")</f>
        <v/>
      </c>
      <c r="J120" s="11">
        <f>IFERROR(_xll.ciqfunctions.udf.CIQ(mh_ticker, "IQ_EQUITY_METHOD", , B120), "")</f>
        <v/>
      </c>
      <c r="K120" s="11">
        <f>IFERROR(_xll.ciqfunctions.udf.CIQ(mh_ticker, "IQ_LT_Mark_Securities", , B120), "")</f>
        <v/>
      </c>
      <c r="L120" s="12">
        <f>IFERROR(C120*D120, "")</f>
        <v/>
      </c>
      <c r="M120" s="12">
        <f>IFERROR(L120-E120-F120+G120+H120+I120-J120-K120, "")</f>
        <v/>
      </c>
      <c r="N120" s="11">
        <f>IFERROR(_xll.ciqfunctions.udf.CIQ(mh_ticker, "IQ_EBITDA_EST", IQ_NTM, B120, , , "USD"), "")</f>
        <v/>
      </c>
      <c r="O120" s="13">
        <f>IFERROR(M120/N120, "")</f>
        <v/>
      </c>
    </row>
    <row r="121">
      <c r="B121" s="8" t="n"/>
      <c r="C121" s="9">
        <f>IFERROR(_xll.ciqfunctions.udf.CIQ(mh_ticker, "IQ_LASTSALEPRICE", B121), "")</f>
        <v/>
      </c>
      <c r="D121" s="10">
        <f>IFERROR(_xll.ciqfunctions.udf.CIQ(mh_ticker, "IQ_SHARESOUTSTANDING_OUT", B121), "")</f>
        <v/>
      </c>
      <c r="E121" s="11">
        <f>IFERROR(_xll.ciqfunctions.udf.CIQ(mh_ticker, "IQ_CASH_EQUIV", , B121), "")</f>
        <v/>
      </c>
      <c r="F121" s="11">
        <f>IFERROR(_xll.ciqfunctions.udf.CIQ(mh_ticker, "IQ_ST_INVEST", , B121), "")</f>
        <v/>
      </c>
      <c r="G121" s="11">
        <f>IFERROR(_xll.ciqfunctions.udf.CIQ(mh_ticker, "IQ_TOTAL_DEBT_EXCL_OPER_LEASES", , B121), "")</f>
        <v/>
      </c>
      <c r="H121" s="11">
        <f>IFERROR(_xll.ciqfunctions.udf.CIQ(mh_ticker, "IQ_PREF_EQUITY", , B121), "")</f>
        <v/>
      </c>
      <c r="I121" s="11">
        <f>IFERROR(_xll.ciqfunctions.udf.CIQ(mh_ticker, "IQ_MINORITY_INTEREST", , B121), "")</f>
        <v/>
      </c>
      <c r="J121" s="11">
        <f>IFERROR(_xll.ciqfunctions.udf.CIQ(mh_ticker, "IQ_EQUITY_METHOD", , B121), "")</f>
        <v/>
      </c>
      <c r="K121" s="11">
        <f>IFERROR(_xll.ciqfunctions.udf.CIQ(mh_ticker, "IQ_LT_Mark_Securities", , B121), "")</f>
        <v/>
      </c>
      <c r="L121" s="12">
        <f>IFERROR(C121*D121, "")</f>
        <v/>
      </c>
      <c r="M121" s="12">
        <f>IFERROR(L121-E121-F121+G121+H121+I121-J121-K121, "")</f>
        <v/>
      </c>
      <c r="N121" s="11">
        <f>IFERROR(_xll.ciqfunctions.udf.CIQ(mh_ticker, "IQ_EBITDA_EST", IQ_NTM, B121, , , "USD"), "")</f>
        <v/>
      </c>
      <c r="O121" s="13">
        <f>IFERROR(M121/N121, "")</f>
        <v/>
      </c>
    </row>
    <row r="122">
      <c r="B122" s="8" t="n"/>
      <c r="C122" s="9">
        <f>IFERROR(_xll.ciqfunctions.udf.CIQ(mh_ticker, "IQ_LASTSALEPRICE", B122), "")</f>
        <v/>
      </c>
      <c r="D122" s="10">
        <f>IFERROR(_xll.ciqfunctions.udf.CIQ(mh_ticker, "IQ_SHARESOUTSTANDING_OUT", B122), "")</f>
        <v/>
      </c>
      <c r="E122" s="11">
        <f>IFERROR(_xll.ciqfunctions.udf.CIQ(mh_ticker, "IQ_CASH_EQUIV", , B122), "")</f>
        <v/>
      </c>
      <c r="F122" s="11">
        <f>IFERROR(_xll.ciqfunctions.udf.CIQ(mh_ticker, "IQ_ST_INVEST", , B122), "")</f>
        <v/>
      </c>
      <c r="G122" s="11">
        <f>IFERROR(_xll.ciqfunctions.udf.CIQ(mh_ticker, "IQ_TOTAL_DEBT_EXCL_OPER_LEASES", , B122), "")</f>
        <v/>
      </c>
      <c r="H122" s="11">
        <f>IFERROR(_xll.ciqfunctions.udf.CIQ(mh_ticker, "IQ_PREF_EQUITY", , B122), "")</f>
        <v/>
      </c>
      <c r="I122" s="11">
        <f>IFERROR(_xll.ciqfunctions.udf.CIQ(mh_ticker, "IQ_MINORITY_INTEREST", , B122), "")</f>
        <v/>
      </c>
      <c r="J122" s="11">
        <f>IFERROR(_xll.ciqfunctions.udf.CIQ(mh_ticker, "IQ_EQUITY_METHOD", , B122), "")</f>
        <v/>
      </c>
      <c r="K122" s="11">
        <f>IFERROR(_xll.ciqfunctions.udf.CIQ(mh_ticker, "IQ_LT_Mark_Securities", , B122), "")</f>
        <v/>
      </c>
      <c r="L122" s="12">
        <f>IFERROR(C122*D122, "")</f>
        <v/>
      </c>
      <c r="M122" s="12">
        <f>IFERROR(L122-E122-F122+G122+H122+I122-J122-K122, "")</f>
        <v/>
      </c>
      <c r="N122" s="11">
        <f>IFERROR(_xll.ciqfunctions.udf.CIQ(mh_ticker, "IQ_EBITDA_EST", IQ_NTM, B122, , , "USD"), "")</f>
        <v/>
      </c>
      <c r="O122" s="13">
        <f>IFERROR(M122/N122, "")</f>
        <v/>
      </c>
    </row>
    <row r="123">
      <c r="B123" s="8" t="n"/>
      <c r="C123" s="9">
        <f>IFERROR(_xll.ciqfunctions.udf.CIQ(mh_ticker, "IQ_LASTSALEPRICE", B123), "")</f>
        <v/>
      </c>
      <c r="D123" s="10">
        <f>IFERROR(_xll.ciqfunctions.udf.CIQ(mh_ticker, "IQ_SHARESOUTSTANDING_OUT", B123), "")</f>
        <v/>
      </c>
      <c r="E123" s="11">
        <f>IFERROR(_xll.ciqfunctions.udf.CIQ(mh_ticker, "IQ_CASH_EQUIV", , B123), "")</f>
        <v/>
      </c>
      <c r="F123" s="11">
        <f>IFERROR(_xll.ciqfunctions.udf.CIQ(mh_ticker, "IQ_ST_INVEST", , B123), "")</f>
        <v/>
      </c>
      <c r="G123" s="11">
        <f>IFERROR(_xll.ciqfunctions.udf.CIQ(mh_ticker, "IQ_TOTAL_DEBT_EXCL_OPER_LEASES", , B123), "")</f>
        <v/>
      </c>
      <c r="H123" s="11">
        <f>IFERROR(_xll.ciqfunctions.udf.CIQ(mh_ticker, "IQ_PREF_EQUITY", , B123), "")</f>
        <v/>
      </c>
      <c r="I123" s="11">
        <f>IFERROR(_xll.ciqfunctions.udf.CIQ(mh_ticker, "IQ_MINORITY_INTEREST", , B123), "")</f>
        <v/>
      </c>
      <c r="J123" s="11">
        <f>IFERROR(_xll.ciqfunctions.udf.CIQ(mh_ticker, "IQ_EQUITY_METHOD", , B123), "")</f>
        <v/>
      </c>
      <c r="K123" s="11">
        <f>IFERROR(_xll.ciqfunctions.udf.CIQ(mh_ticker, "IQ_LT_Mark_Securities", , B123), "")</f>
        <v/>
      </c>
      <c r="L123" s="12">
        <f>IFERROR(C123*D123, "")</f>
        <v/>
      </c>
      <c r="M123" s="12">
        <f>IFERROR(L123-E123-F123+G123+H123+I123-J123-K123, "")</f>
        <v/>
      </c>
      <c r="N123" s="11">
        <f>IFERROR(_xll.ciqfunctions.udf.CIQ(mh_ticker, "IQ_EBITDA_EST", IQ_NTM, B123, , , "USD"), "")</f>
        <v/>
      </c>
      <c r="O123" s="13">
        <f>IFERROR(M123/N123, "")</f>
        <v/>
      </c>
    </row>
    <row r="124">
      <c r="B124" s="8" t="n"/>
      <c r="C124" s="9">
        <f>IFERROR(_xll.ciqfunctions.udf.CIQ(mh_ticker, "IQ_LASTSALEPRICE", B124), "")</f>
        <v/>
      </c>
      <c r="D124" s="10">
        <f>IFERROR(_xll.ciqfunctions.udf.CIQ(mh_ticker, "IQ_SHARESOUTSTANDING_OUT", B124), "")</f>
        <v/>
      </c>
      <c r="E124" s="11">
        <f>IFERROR(_xll.ciqfunctions.udf.CIQ(mh_ticker, "IQ_CASH_EQUIV", , B124), "")</f>
        <v/>
      </c>
      <c r="F124" s="11">
        <f>IFERROR(_xll.ciqfunctions.udf.CIQ(mh_ticker, "IQ_ST_INVEST", , B124), "")</f>
        <v/>
      </c>
      <c r="G124" s="11">
        <f>IFERROR(_xll.ciqfunctions.udf.CIQ(mh_ticker, "IQ_TOTAL_DEBT_EXCL_OPER_LEASES", , B124), "")</f>
        <v/>
      </c>
      <c r="H124" s="11">
        <f>IFERROR(_xll.ciqfunctions.udf.CIQ(mh_ticker, "IQ_PREF_EQUITY", , B124), "")</f>
        <v/>
      </c>
      <c r="I124" s="11">
        <f>IFERROR(_xll.ciqfunctions.udf.CIQ(mh_ticker, "IQ_MINORITY_INTEREST", , B124), "")</f>
        <v/>
      </c>
      <c r="J124" s="11">
        <f>IFERROR(_xll.ciqfunctions.udf.CIQ(mh_ticker, "IQ_EQUITY_METHOD", , B124), "")</f>
        <v/>
      </c>
      <c r="K124" s="11">
        <f>IFERROR(_xll.ciqfunctions.udf.CIQ(mh_ticker, "IQ_LT_Mark_Securities", , B124), "")</f>
        <v/>
      </c>
      <c r="L124" s="12">
        <f>IFERROR(C124*D124, "")</f>
        <v/>
      </c>
      <c r="M124" s="12">
        <f>IFERROR(L124-E124-F124+G124+H124+I124-J124-K124, "")</f>
        <v/>
      </c>
      <c r="N124" s="11">
        <f>IFERROR(_xll.ciqfunctions.udf.CIQ(mh_ticker, "IQ_EBITDA_EST", IQ_NTM, B124, , , "USD"), "")</f>
        <v/>
      </c>
      <c r="O124" s="13">
        <f>IFERROR(M124/N124, "")</f>
        <v/>
      </c>
    </row>
    <row r="125">
      <c r="B125" s="8" t="n"/>
      <c r="C125" s="9">
        <f>IFERROR(_xll.ciqfunctions.udf.CIQ(mh_ticker, "IQ_LASTSALEPRICE", B125), "")</f>
        <v/>
      </c>
      <c r="D125" s="10">
        <f>IFERROR(_xll.ciqfunctions.udf.CIQ(mh_ticker, "IQ_SHARESOUTSTANDING_OUT", B125), "")</f>
        <v/>
      </c>
      <c r="E125" s="11">
        <f>IFERROR(_xll.ciqfunctions.udf.CIQ(mh_ticker, "IQ_CASH_EQUIV", , B125), "")</f>
        <v/>
      </c>
      <c r="F125" s="11">
        <f>IFERROR(_xll.ciqfunctions.udf.CIQ(mh_ticker, "IQ_ST_INVEST", , B125), "")</f>
        <v/>
      </c>
      <c r="G125" s="11">
        <f>IFERROR(_xll.ciqfunctions.udf.CIQ(mh_ticker, "IQ_TOTAL_DEBT_EXCL_OPER_LEASES", , B125), "")</f>
        <v/>
      </c>
      <c r="H125" s="11">
        <f>IFERROR(_xll.ciqfunctions.udf.CIQ(mh_ticker, "IQ_PREF_EQUITY", , B125), "")</f>
        <v/>
      </c>
      <c r="I125" s="11">
        <f>IFERROR(_xll.ciqfunctions.udf.CIQ(mh_ticker, "IQ_MINORITY_INTEREST", , B125), "")</f>
        <v/>
      </c>
      <c r="J125" s="11">
        <f>IFERROR(_xll.ciqfunctions.udf.CIQ(mh_ticker, "IQ_EQUITY_METHOD", , B125), "")</f>
        <v/>
      </c>
      <c r="K125" s="11">
        <f>IFERROR(_xll.ciqfunctions.udf.CIQ(mh_ticker, "IQ_LT_Mark_Securities", , B125), "")</f>
        <v/>
      </c>
      <c r="L125" s="12">
        <f>IFERROR(C125*D125, "")</f>
        <v/>
      </c>
      <c r="M125" s="12">
        <f>IFERROR(L125-E125-F125+G125+H125+I125-J125-K125, "")</f>
        <v/>
      </c>
      <c r="N125" s="11">
        <f>IFERROR(_xll.ciqfunctions.udf.CIQ(mh_ticker, "IQ_EBITDA_EST", IQ_NTM, B125, , , "USD"), "")</f>
        <v/>
      </c>
      <c r="O125" s="13">
        <f>IFERROR(M125/N125, "")</f>
        <v/>
      </c>
    </row>
    <row r="126">
      <c r="B126" s="8" t="n"/>
      <c r="C126" s="9">
        <f>IFERROR(_xll.ciqfunctions.udf.CIQ(mh_ticker, "IQ_LASTSALEPRICE", B126), "")</f>
        <v/>
      </c>
      <c r="D126" s="10">
        <f>IFERROR(_xll.ciqfunctions.udf.CIQ(mh_ticker, "IQ_SHARESOUTSTANDING_OUT", B126), "")</f>
        <v/>
      </c>
      <c r="E126" s="11">
        <f>IFERROR(_xll.ciqfunctions.udf.CIQ(mh_ticker, "IQ_CASH_EQUIV", , B126), "")</f>
        <v/>
      </c>
      <c r="F126" s="11">
        <f>IFERROR(_xll.ciqfunctions.udf.CIQ(mh_ticker, "IQ_ST_INVEST", , B126), "")</f>
        <v/>
      </c>
      <c r="G126" s="11">
        <f>IFERROR(_xll.ciqfunctions.udf.CIQ(mh_ticker, "IQ_TOTAL_DEBT_EXCL_OPER_LEASES", , B126), "")</f>
        <v/>
      </c>
      <c r="H126" s="11">
        <f>IFERROR(_xll.ciqfunctions.udf.CIQ(mh_ticker, "IQ_PREF_EQUITY", , B126), "")</f>
        <v/>
      </c>
      <c r="I126" s="11">
        <f>IFERROR(_xll.ciqfunctions.udf.CIQ(mh_ticker, "IQ_MINORITY_INTEREST", , B126), "")</f>
        <v/>
      </c>
      <c r="J126" s="11">
        <f>IFERROR(_xll.ciqfunctions.udf.CIQ(mh_ticker, "IQ_EQUITY_METHOD", , B126), "")</f>
        <v/>
      </c>
      <c r="K126" s="11">
        <f>IFERROR(_xll.ciqfunctions.udf.CIQ(mh_ticker, "IQ_LT_Mark_Securities", , B126), "")</f>
        <v/>
      </c>
      <c r="L126" s="12">
        <f>IFERROR(C126*D126, "")</f>
        <v/>
      </c>
      <c r="M126" s="12">
        <f>IFERROR(L126-E126-F126+G126+H126+I126-J126-K126, "")</f>
        <v/>
      </c>
      <c r="N126" s="11">
        <f>IFERROR(_xll.ciqfunctions.udf.CIQ(mh_ticker, "IQ_EBITDA_EST", IQ_NTM, B126, , , "USD"), "")</f>
        <v/>
      </c>
      <c r="O126" s="13">
        <f>IFERROR(M126/N126, "")</f>
        <v/>
      </c>
    </row>
    <row r="127">
      <c r="B127" s="8" t="n"/>
      <c r="C127" s="9">
        <f>IFERROR(_xll.ciqfunctions.udf.CIQ(mh_ticker, "IQ_LASTSALEPRICE", B127), "")</f>
        <v/>
      </c>
      <c r="D127" s="10">
        <f>IFERROR(_xll.ciqfunctions.udf.CIQ(mh_ticker, "IQ_SHARESOUTSTANDING_OUT", B127), "")</f>
        <v/>
      </c>
      <c r="E127" s="11">
        <f>IFERROR(_xll.ciqfunctions.udf.CIQ(mh_ticker, "IQ_CASH_EQUIV", , B127), "")</f>
        <v/>
      </c>
      <c r="F127" s="11">
        <f>IFERROR(_xll.ciqfunctions.udf.CIQ(mh_ticker, "IQ_ST_INVEST", , B127), "")</f>
        <v/>
      </c>
      <c r="G127" s="11">
        <f>IFERROR(_xll.ciqfunctions.udf.CIQ(mh_ticker, "IQ_TOTAL_DEBT_EXCL_OPER_LEASES", , B127), "")</f>
        <v/>
      </c>
      <c r="H127" s="11">
        <f>IFERROR(_xll.ciqfunctions.udf.CIQ(mh_ticker, "IQ_PREF_EQUITY", , B127), "")</f>
        <v/>
      </c>
      <c r="I127" s="11">
        <f>IFERROR(_xll.ciqfunctions.udf.CIQ(mh_ticker, "IQ_MINORITY_INTEREST", , B127), "")</f>
        <v/>
      </c>
      <c r="J127" s="11">
        <f>IFERROR(_xll.ciqfunctions.udf.CIQ(mh_ticker, "IQ_EQUITY_METHOD", , B127), "")</f>
        <v/>
      </c>
      <c r="K127" s="11">
        <f>IFERROR(_xll.ciqfunctions.udf.CIQ(mh_ticker, "IQ_LT_Mark_Securities", , B127), "")</f>
        <v/>
      </c>
      <c r="L127" s="12">
        <f>IFERROR(C127*D127, "")</f>
        <v/>
      </c>
      <c r="M127" s="12">
        <f>IFERROR(L127-E127-F127+G127+H127+I127-J127-K127, "")</f>
        <v/>
      </c>
      <c r="N127" s="11">
        <f>IFERROR(_xll.ciqfunctions.udf.CIQ(mh_ticker, "IQ_EBITDA_EST", IQ_NTM, B127, , , "USD"), "")</f>
        <v/>
      </c>
      <c r="O127" s="13">
        <f>IFERROR(M127/N127, "")</f>
        <v/>
      </c>
    </row>
    <row r="128">
      <c r="B128" s="8" t="n"/>
      <c r="C128" s="9">
        <f>IFERROR(_xll.ciqfunctions.udf.CIQ(mh_ticker, "IQ_LASTSALEPRICE", B128), "")</f>
        <v/>
      </c>
      <c r="D128" s="10">
        <f>IFERROR(_xll.ciqfunctions.udf.CIQ(mh_ticker, "IQ_SHARESOUTSTANDING_OUT", B128), "")</f>
        <v/>
      </c>
      <c r="E128" s="11">
        <f>IFERROR(_xll.ciqfunctions.udf.CIQ(mh_ticker, "IQ_CASH_EQUIV", , B128), "")</f>
        <v/>
      </c>
      <c r="F128" s="11">
        <f>IFERROR(_xll.ciqfunctions.udf.CIQ(mh_ticker, "IQ_ST_INVEST", , B128), "")</f>
        <v/>
      </c>
      <c r="G128" s="11">
        <f>IFERROR(_xll.ciqfunctions.udf.CIQ(mh_ticker, "IQ_TOTAL_DEBT_EXCL_OPER_LEASES", , B128), "")</f>
        <v/>
      </c>
      <c r="H128" s="11">
        <f>IFERROR(_xll.ciqfunctions.udf.CIQ(mh_ticker, "IQ_PREF_EQUITY", , B128), "")</f>
        <v/>
      </c>
      <c r="I128" s="11">
        <f>IFERROR(_xll.ciqfunctions.udf.CIQ(mh_ticker, "IQ_MINORITY_INTEREST", , B128), "")</f>
        <v/>
      </c>
      <c r="J128" s="11">
        <f>IFERROR(_xll.ciqfunctions.udf.CIQ(mh_ticker, "IQ_EQUITY_METHOD", , B128), "")</f>
        <v/>
      </c>
      <c r="K128" s="11">
        <f>IFERROR(_xll.ciqfunctions.udf.CIQ(mh_ticker, "IQ_LT_Mark_Securities", , B128), "")</f>
        <v/>
      </c>
      <c r="L128" s="12">
        <f>IFERROR(C128*D128, "")</f>
        <v/>
      </c>
      <c r="M128" s="12">
        <f>IFERROR(L128-E128-F128+G128+H128+I128-J128-K128, "")</f>
        <v/>
      </c>
      <c r="N128" s="11">
        <f>IFERROR(_xll.ciqfunctions.udf.CIQ(mh_ticker, "IQ_EBITDA_EST", IQ_NTM, B128, , , "USD"), "")</f>
        <v/>
      </c>
      <c r="O128" s="13">
        <f>IFERROR(M128/N128, "")</f>
        <v/>
      </c>
    </row>
    <row r="129">
      <c r="B129" s="8" t="n"/>
      <c r="C129" s="9">
        <f>IFERROR(_xll.ciqfunctions.udf.CIQ(mh_ticker, "IQ_LASTSALEPRICE", B129), "")</f>
        <v/>
      </c>
      <c r="D129" s="10">
        <f>IFERROR(_xll.ciqfunctions.udf.CIQ(mh_ticker, "IQ_SHARESOUTSTANDING_OUT", B129), "")</f>
        <v/>
      </c>
      <c r="E129" s="11">
        <f>IFERROR(_xll.ciqfunctions.udf.CIQ(mh_ticker, "IQ_CASH_EQUIV", , B129), "")</f>
        <v/>
      </c>
      <c r="F129" s="11">
        <f>IFERROR(_xll.ciqfunctions.udf.CIQ(mh_ticker, "IQ_ST_INVEST", , B129), "")</f>
        <v/>
      </c>
      <c r="G129" s="11">
        <f>IFERROR(_xll.ciqfunctions.udf.CIQ(mh_ticker, "IQ_TOTAL_DEBT_EXCL_OPER_LEASES", , B129), "")</f>
        <v/>
      </c>
      <c r="H129" s="11">
        <f>IFERROR(_xll.ciqfunctions.udf.CIQ(mh_ticker, "IQ_PREF_EQUITY", , B129), "")</f>
        <v/>
      </c>
      <c r="I129" s="11">
        <f>IFERROR(_xll.ciqfunctions.udf.CIQ(mh_ticker, "IQ_MINORITY_INTEREST", , B129), "")</f>
        <v/>
      </c>
      <c r="J129" s="11">
        <f>IFERROR(_xll.ciqfunctions.udf.CIQ(mh_ticker, "IQ_EQUITY_METHOD", , B129), "")</f>
        <v/>
      </c>
      <c r="K129" s="11">
        <f>IFERROR(_xll.ciqfunctions.udf.CIQ(mh_ticker, "IQ_LT_Mark_Securities", , B129), "")</f>
        <v/>
      </c>
      <c r="L129" s="12">
        <f>IFERROR(C129*D129, "")</f>
        <v/>
      </c>
      <c r="M129" s="12">
        <f>IFERROR(L129-E129-F129+G129+H129+I129-J129-K129, "")</f>
        <v/>
      </c>
      <c r="N129" s="11">
        <f>IFERROR(_xll.ciqfunctions.udf.CIQ(mh_ticker, "IQ_EBITDA_EST", IQ_NTM, B129, , , "USD"), "")</f>
        <v/>
      </c>
      <c r="O129" s="13">
        <f>IFERROR(M129/N129, "")</f>
        <v/>
      </c>
    </row>
    <row r="130">
      <c r="B130" s="8" t="n"/>
      <c r="C130" s="9">
        <f>IFERROR(_xll.ciqfunctions.udf.CIQ(mh_ticker, "IQ_LASTSALEPRICE", B130), "")</f>
        <v/>
      </c>
      <c r="D130" s="10">
        <f>IFERROR(_xll.ciqfunctions.udf.CIQ(mh_ticker, "IQ_SHARESOUTSTANDING_OUT", B130), "")</f>
        <v/>
      </c>
      <c r="E130" s="11">
        <f>IFERROR(_xll.ciqfunctions.udf.CIQ(mh_ticker, "IQ_CASH_EQUIV", , B130), "")</f>
        <v/>
      </c>
      <c r="F130" s="11">
        <f>IFERROR(_xll.ciqfunctions.udf.CIQ(mh_ticker, "IQ_ST_INVEST", , B130), "")</f>
        <v/>
      </c>
      <c r="G130" s="11">
        <f>IFERROR(_xll.ciqfunctions.udf.CIQ(mh_ticker, "IQ_TOTAL_DEBT_EXCL_OPER_LEASES", , B130), "")</f>
        <v/>
      </c>
      <c r="H130" s="11">
        <f>IFERROR(_xll.ciqfunctions.udf.CIQ(mh_ticker, "IQ_PREF_EQUITY", , B130), "")</f>
        <v/>
      </c>
      <c r="I130" s="11">
        <f>IFERROR(_xll.ciqfunctions.udf.CIQ(mh_ticker, "IQ_MINORITY_INTEREST", , B130), "")</f>
        <v/>
      </c>
      <c r="J130" s="11">
        <f>IFERROR(_xll.ciqfunctions.udf.CIQ(mh_ticker, "IQ_EQUITY_METHOD", , B130), "")</f>
        <v/>
      </c>
      <c r="K130" s="11">
        <f>IFERROR(_xll.ciqfunctions.udf.CIQ(mh_ticker, "IQ_LT_Mark_Securities", , B130), "")</f>
        <v/>
      </c>
      <c r="L130" s="12">
        <f>IFERROR(C130*D130, "")</f>
        <v/>
      </c>
      <c r="M130" s="12">
        <f>IFERROR(L130-E130-F130+G130+H130+I130-J130-K130, "")</f>
        <v/>
      </c>
      <c r="N130" s="11">
        <f>IFERROR(_xll.ciqfunctions.udf.CIQ(mh_ticker, "IQ_EBITDA_EST", IQ_NTM, B130, , , "USD"), "")</f>
        <v/>
      </c>
      <c r="O130" s="13">
        <f>IFERROR(M130/N130, "")</f>
        <v/>
      </c>
    </row>
    <row r="131">
      <c r="B131" s="8" t="n"/>
      <c r="C131" s="9">
        <f>IFERROR(_xll.ciqfunctions.udf.CIQ(mh_ticker, "IQ_LASTSALEPRICE", B131), "")</f>
        <v/>
      </c>
      <c r="D131" s="10">
        <f>IFERROR(_xll.ciqfunctions.udf.CIQ(mh_ticker, "IQ_SHARESOUTSTANDING_OUT", B131), "")</f>
        <v/>
      </c>
      <c r="E131" s="11">
        <f>IFERROR(_xll.ciqfunctions.udf.CIQ(mh_ticker, "IQ_CASH_EQUIV", , B131), "")</f>
        <v/>
      </c>
      <c r="F131" s="11">
        <f>IFERROR(_xll.ciqfunctions.udf.CIQ(mh_ticker, "IQ_ST_INVEST", , B131), "")</f>
        <v/>
      </c>
      <c r="G131" s="11">
        <f>IFERROR(_xll.ciqfunctions.udf.CIQ(mh_ticker, "IQ_TOTAL_DEBT_EXCL_OPER_LEASES", , B131), "")</f>
        <v/>
      </c>
      <c r="H131" s="11">
        <f>IFERROR(_xll.ciqfunctions.udf.CIQ(mh_ticker, "IQ_PREF_EQUITY", , B131), "")</f>
        <v/>
      </c>
      <c r="I131" s="11">
        <f>IFERROR(_xll.ciqfunctions.udf.CIQ(mh_ticker, "IQ_MINORITY_INTEREST", , B131), "")</f>
        <v/>
      </c>
      <c r="J131" s="11">
        <f>IFERROR(_xll.ciqfunctions.udf.CIQ(mh_ticker, "IQ_EQUITY_METHOD", , B131), "")</f>
        <v/>
      </c>
      <c r="K131" s="11">
        <f>IFERROR(_xll.ciqfunctions.udf.CIQ(mh_ticker, "IQ_LT_Mark_Securities", , B131), "")</f>
        <v/>
      </c>
      <c r="L131" s="12">
        <f>IFERROR(C131*D131, "")</f>
        <v/>
      </c>
      <c r="M131" s="12">
        <f>IFERROR(L131-E131-F131+G131+H131+I131-J131-K131, "")</f>
        <v/>
      </c>
      <c r="N131" s="11">
        <f>IFERROR(_xll.ciqfunctions.udf.CIQ(mh_ticker, "IQ_EBITDA_EST", IQ_NTM, B131, , , "USD"), "")</f>
        <v/>
      </c>
      <c r="O131" s="13">
        <f>IFERROR(M131/N131, "")</f>
        <v/>
      </c>
    </row>
    <row r="132">
      <c r="B132" s="8" t="n"/>
      <c r="C132" s="9">
        <f>IFERROR(_xll.ciqfunctions.udf.CIQ(mh_ticker, "IQ_LASTSALEPRICE", B132), "")</f>
        <v/>
      </c>
      <c r="D132" s="10">
        <f>IFERROR(_xll.ciqfunctions.udf.CIQ(mh_ticker, "IQ_SHARESOUTSTANDING_OUT", B132), "")</f>
        <v/>
      </c>
      <c r="E132" s="11">
        <f>IFERROR(_xll.ciqfunctions.udf.CIQ(mh_ticker, "IQ_CASH_EQUIV", , B132), "")</f>
        <v/>
      </c>
      <c r="F132" s="11">
        <f>IFERROR(_xll.ciqfunctions.udf.CIQ(mh_ticker, "IQ_ST_INVEST", , B132), "")</f>
        <v/>
      </c>
      <c r="G132" s="11">
        <f>IFERROR(_xll.ciqfunctions.udf.CIQ(mh_ticker, "IQ_TOTAL_DEBT_EXCL_OPER_LEASES", , B132), "")</f>
        <v/>
      </c>
      <c r="H132" s="11">
        <f>IFERROR(_xll.ciqfunctions.udf.CIQ(mh_ticker, "IQ_PREF_EQUITY", , B132), "")</f>
        <v/>
      </c>
      <c r="I132" s="11">
        <f>IFERROR(_xll.ciqfunctions.udf.CIQ(mh_ticker, "IQ_MINORITY_INTEREST", , B132), "")</f>
        <v/>
      </c>
      <c r="J132" s="11">
        <f>IFERROR(_xll.ciqfunctions.udf.CIQ(mh_ticker, "IQ_EQUITY_METHOD", , B132), "")</f>
        <v/>
      </c>
      <c r="K132" s="11">
        <f>IFERROR(_xll.ciqfunctions.udf.CIQ(mh_ticker, "IQ_LT_Mark_Securities", , B132), "")</f>
        <v/>
      </c>
      <c r="L132" s="12">
        <f>IFERROR(C132*D132, "")</f>
        <v/>
      </c>
      <c r="M132" s="12">
        <f>IFERROR(L132-E132-F132+G132+H132+I132-J132-K132, "")</f>
        <v/>
      </c>
      <c r="N132" s="11">
        <f>IFERROR(_xll.ciqfunctions.udf.CIQ(mh_ticker, "IQ_EBITDA_EST", IQ_NTM, B132, , , "USD"), "")</f>
        <v/>
      </c>
      <c r="O132" s="13">
        <f>IFERROR(M132/N132, "")</f>
        <v/>
      </c>
    </row>
    <row r="133">
      <c r="B133" s="8" t="n"/>
      <c r="C133" s="9">
        <f>IFERROR(_xll.ciqfunctions.udf.CIQ(mh_ticker, "IQ_LASTSALEPRICE", B133), "")</f>
        <v/>
      </c>
      <c r="D133" s="10">
        <f>IFERROR(_xll.ciqfunctions.udf.CIQ(mh_ticker, "IQ_SHARESOUTSTANDING_OUT", B133), "")</f>
        <v/>
      </c>
      <c r="E133" s="11">
        <f>IFERROR(_xll.ciqfunctions.udf.CIQ(mh_ticker, "IQ_CASH_EQUIV", , B133), "")</f>
        <v/>
      </c>
      <c r="F133" s="11">
        <f>IFERROR(_xll.ciqfunctions.udf.CIQ(mh_ticker, "IQ_ST_INVEST", , B133), "")</f>
        <v/>
      </c>
      <c r="G133" s="11">
        <f>IFERROR(_xll.ciqfunctions.udf.CIQ(mh_ticker, "IQ_TOTAL_DEBT_EXCL_OPER_LEASES", , B133), "")</f>
        <v/>
      </c>
      <c r="H133" s="11">
        <f>IFERROR(_xll.ciqfunctions.udf.CIQ(mh_ticker, "IQ_PREF_EQUITY", , B133), "")</f>
        <v/>
      </c>
      <c r="I133" s="11">
        <f>IFERROR(_xll.ciqfunctions.udf.CIQ(mh_ticker, "IQ_MINORITY_INTEREST", , B133), "")</f>
        <v/>
      </c>
      <c r="J133" s="11">
        <f>IFERROR(_xll.ciqfunctions.udf.CIQ(mh_ticker, "IQ_EQUITY_METHOD", , B133), "")</f>
        <v/>
      </c>
      <c r="K133" s="11">
        <f>IFERROR(_xll.ciqfunctions.udf.CIQ(mh_ticker, "IQ_LT_Mark_Securities", , B133), "")</f>
        <v/>
      </c>
      <c r="L133" s="12">
        <f>IFERROR(C133*D133, "")</f>
        <v/>
      </c>
      <c r="M133" s="12">
        <f>IFERROR(L133-E133-F133+G133+H133+I133-J133-K133, "")</f>
        <v/>
      </c>
      <c r="N133" s="11">
        <f>IFERROR(_xll.ciqfunctions.udf.CIQ(mh_ticker, "IQ_EBITDA_EST", IQ_NTM, B133, , , "USD"), "")</f>
        <v/>
      </c>
      <c r="O133" s="13">
        <f>IFERROR(M133/N133, "")</f>
        <v/>
      </c>
    </row>
    <row r="134">
      <c r="B134" s="8" t="n"/>
      <c r="C134" s="9">
        <f>IFERROR(_xll.ciqfunctions.udf.CIQ(mh_ticker, "IQ_LASTSALEPRICE", B134), "")</f>
        <v/>
      </c>
      <c r="D134" s="10">
        <f>IFERROR(_xll.ciqfunctions.udf.CIQ(mh_ticker, "IQ_SHARESOUTSTANDING_OUT", B134), "")</f>
        <v/>
      </c>
      <c r="E134" s="11">
        <f>IFERROR(_xll.ciqfunctions.udf.CIQ(mh_ticker, "IQ_CASH_EQUIV", , B134), "")</f>
        <v/>
      </c>
      <c r="F134" s="11">
        <f>IFERROR(_xll.ciqfunctions.udf.CIQ(mh_ticker, "IQ_ST_INVEST", , B134), "")</f>
        <v/>
      </c>
      <c r="G134" s="11">
        <f>IFERROR(_xll.ciqfunctions.udf.CIQ(mh_ticker, "IQ_TOTAL_DEBT_EXCL_OPER_LEASES", , B134), "")</f>
        <v/>
      </c>
      <c r="H134" s="11">
        <f>IFERROR(_xll.ciqfunctions.udf.CIQ(mh_ticker, "IQ_PREF_EQUITY", , B134), "")</f>
        <v/>
      </c>
      <c r="I134" s="11">
        <f>IFERROR(_xll.ciqfunctions.udf.CIQ(mh_ticker, "IQ_MINORITY_INTEREST", , B134), "")</f>
        <v/>
      </c>
      <c r="J134" s="11">
        <f>IFERROR(_xll.ciqfunctions.udf.CIQ(mh_ticker, "IQ_EQUITY_METHOD", , B134), "")</f>
        <v/>
      </c>
      <c r="K134" s="11">
        <f>IFERROR(_xll.ciqfunctions.udf.CIQ(mh_ticker, "IQ_LT_Mark_Securities", , B134), "")</f>
        <v/>
      </c>
      <c r="L134" s="12">
        <f>IFERROR(C134*D134, "")</f>
        <v/>
      </c>
      <c r="M134" s="12">
        <f>IFERROR(L134-E134-F134+G134+H134+I134-J134-K134, "")</f>
        <v/>
      </c>
      <c r="N134" s="11">
        <f>IFERROR(_xll.ciqfunctions.udf.CIQ(mh_ticker, "IQ_EBITDA_EST", IQ_NTM, B134, , , "USD"), "")</f>
        <v/>
      </c>
      <c r="O134" s="13">
        <f>IFERROR(M134/N134, "")</f>
        <v/>
      </c>
    </row>
    <row r="135">
      <c r="B135" s="8" t="n"/>
      <c r="C135" s="9">
        <f>IFERROR(_xll.ciqfunctions.udf.CIQ(mh_ticker, "IQ_LASTSALEPRICE", B135), "")</f>
        <v/>
      </c>
      <c r="D135" s="10">
        <f>IFERROR(_xll.ciqfunctions.udf.CIQ(mh_ticker, "IQ_SHARESOUTSTANDING_OUT", B135), "")</f>
        <v/>
      </c>
      <c r="E135" s="11">
        <f>IFERROR(_xll.ciqfunctions.udf.CIQ(mh_ticker, "IQ_CASH_EQUIV", , B135), "")</f>
        <v/>
      </c>
      <c r="F135" s="11">
        <f>IFERROR(_xll.ciqfunctions.udf.CIQ(mh_ticker, "IQ_ST_INVEST", , B135), "")</f>
        <v/>
      </c>
      <c r="G135" s="11">
        <f>IFERROR(_xll.ciqfunctions.udf.CIQ(mh_ticker, "IQ_TOTAL_DEBT_EXCL_OPER_LEASES", , B135), "")</f>
        <v/>
      </c>
      <c r="H135" s="11">
        <f>IFERROR(_xll.ciqfunctions.udf.CIQ(mh_ticker, "IQ_PREF_EQUITY", , B135), "")</f>
        <v/>
      </c>
      <c r="I135" s="11">
        <f>IFERROR(_xll.ciqfunctions.udf.CIQ(mh_ticker, "IQ_MINORITY_INTEREST", , B135), "")</f>
        <v/>
      </c>
      <c r="J135" s="11">
        <f>IFERROR(_xll.ciqfunctions.udf.CIQ(mh_ticker, "IQ_EQUITY_METHOD", , B135), "")</f>
        <v/>
      </c>
      <c r="K135" s="11">
        <f>IFERROR(_xll.ciqfunctions.udf.CIQ(mh_ticker, "IQ_LT_Mark_Securities", , B135), "")</f>
        <v/>
      </c>
      <c r="L135" s="12">
        <f>IFERROR(C135*D135, "")</f>
        <v/>
      </c>
      <c r="M135" s="12">
        <f>IFERROR(L135-E135-F135+G135+H135+I135-J135-K135, "")</f>
        <v/>
      </c>
      <c r="N135" s="11">
        <f>IFERROR(_xll.ciqfunctions.udf.CIQ(mh_ticker, "IQ_EBITDA_EST", IQ_NTM, B135, , , "USD"), "")</f>
        <v/>
      </c>
      <c r="O135" s="13">
        <f>IFERROR(M135/N135, "")</f>
        <v/>
      </c>
    </row>
    <row r="136">
      <c r="B136" s="8" t="n"/>
      <c r="C136" s="9">
        <f>IFERROR(_xll.ciqfunctions.udf.CIQ(mh_ticker, "IQ_LASTSALEPRICE", B136), "")</f>
        <v/>
      </c>
      <c r="D136" s="10">
        <f>IFERROR(_xll.ciqfunctions.udf.CIQ(mh_ticker, "IQ_SHARESOUTSTANDING_OUT", B136), "")</f>
        <v/>
      </c>
      <c r="E136" s="11">
        <f>IFERROR(_xll.ciqfunctions.udf.CIQ(mh_ticker, "IQ_CASH_EQUIV", , B136), "")</f>
        <v/>
      </c>
      <c r="F136" s="11">
        <f>IFERROR(_xll.ciqfunctions.udf.CIQ(mh_ticker, "IQ_ST_INVEST", , B136), "")</f>
        <v/>
      </c>
      <c r="G136" s="11">
        <f>IFERROR(_xll.ciqfunctions.udf.CIQ(mh_ticker, "IQ_TOTAL_DEBT_EXCL_OPER_LEASES", , B136), "")</f>
        <v/>
      </c>
      <c r="H136" s="11">
        <f>IFERROR(_xll.ciqfunctions.udf.CIQ(mh_ticker, "IQ_PREF_EQUITY", , B136), "")</f>
        <v/>
      </c>
      <c r="I136" s="11">
        <f>IFERROR(_xll.ciqfunctions.udf.CIQ(mh_ticker, "IQ_MINORITY_INTEREST", , B136), "")</f>
        <v/>
      </c>
      <c r="J136" s="11">
        <f>IFERROR(_xll.ciqfunctions.udf.CIQ(mh_ticker, "IQ_EQUITY_METHOD", , B136), "")</f>
        <v/>
      </c>
      <c r="K136" s="11">
        <f>IFERROR(_xll.ciqfunctions.udf.CIQ(mh_ticker, "IQ_LT_Mark_Securities", , B136), "")</f>
        <v/>
      </c>
      <c r="L136" s="12">
        <f>IFERROR(C136*D136, "")</f>
        <v/>
      </c>
      <c r="M136" s="12">
        <f>IFERROR(L136-E136-F136+G136+H136+I136-J136-K136, "")</f>
        <v/>
      </c>
      <c r="N136" s="11">
        <f>IFERROR(_xll.ciqfunctions.udf.CIQ(mh_ticker, "IQ_EBITDA_EST", IQ_NTM, B136, , , "USD"), "")</f>
        <v/>
      </c>
      <c r="O136" s="13">
        <f>IFERROR(M136/N136, "")</f>
        <v/>
      </c>
    </row>
    <row r="137">
      <c r="B137" s="8" t="n"/>
      <c r="C137" s="9">
        <f>IFERROR(_xll.ciqfunctions.udf.CIQ(mh_ticker, "IQ_LASTSALEPRICE", B137), "")</f>
        <v/>
      </c>
      <c r="D137" s="10">
        <f>IFERROR(_xll.ciqfunctions.udf.CIQ(mh_ticker, "IQ_SHARESOUTSTANDING_OUT", B137), "")</f>
        <v/>
      </c>
      <c r="E137" s="11">
        <f>IFERROR(_xll.ciqfunctions.udf.CIQ(mh_ticker, "IQ_CASH_EQUIV", , B137), "")</f>
        <v/>
      </c>
      <c r="F137" s="11">
        <f>IFERROR(_xll.ciqfunctions.udf.CIQ(mh_ticker, "IQ_ST_INVEST", , B137), "")</f>
        <v/>
      </c>
      <c r="G137" s="11">
        <f>IFERROR(_xll.ciqfunctions.udf.CIQ(mh_ticker, "IQ_TOTAL_DEBT_EXCL_OPER_LEASES", , B137), "")</f>
        <v/>
      </c>
      <c r="H137" s="11">
        <f>IFERROR(_xll.ciqfunctions.udf.CIQ(mh_ticker, "IQ_PREF_EQUITY", , B137), "")</f>
        <v/>
      </c>
      <c r="I137" s="11">
        <f>IFERROR(_xll.ciqfunctions.udf.CIQ(mh_ticker, "IQ_MINORITY_INTEREST", , B137), "")</f>
        <v/>
      </c>
      <c r="J137" s="11">
        <f>IFERROR(_xll.ciqfunctions.udf.CIQ(mh_ticker, "IQ_EQUITY_METHOD", , B137), "")</f>
        <v/>
      </c>
      <c r="K137" s="11">
        <f>IFERROR(_xll.ciqfunctions.udf.CIQ(mh_ticker, "IQ_LT_Mark_Securities", , B137), "")</f>
        <v/>
      </c>
      <c r="L137" s="12">
        <f>IFERROR(C137*D137, "")</f>
        <v/>
      </c>
      <c r="M137" s="12">
        <f>IFERROR(L137-E137-F137+G137+H137+I137-J137-K137, "")</f>
        <v/>
      </c>
      <c r="N137" s="11">
        <f>IFERROR(_xll.ciqfunctions.udf.CIQ(mh_ticker, "IQ_EBITDA_EST", IQ_NTM, B137, , , "USD"), "")</f>
        <v/>
      </c>
      <c r="O137" s="13">
        <f>IFERROR(M137/N137, "")</f>
        <v/>
      </c>
    </row>
    <row r="138">
      <c r="B138" s="8" t="n"/>
      <c r="C138" s="9">
        <f>IFERROR(_xll.ciqfunctions.udf.CIQ(mh_ticker, "IQ_LASTSALEPRICE", B138), "")</f>
        <v/>
      </c>
      <c r="D138" s="10">
        <f>IFERROR(_xll.ciqfunctions.udf.CIQ(mh_ticker, "IQ_SHARESOUTSTANDING_OUT", B138), "")</f>
        <v/>
      </c>
      <c r="E138" s="11">
        <f>IFERROR(_xll.ciqfunctions.udf.CIQ(mh_ticker, "IQ_CASH_EQUIV", , B138), "")</f>
        <v/>
      </c>
      <c r="F138" s="11">
        <f>IFERROR(_xll.ciqfunctions.udf.CIQ(mh_ticker, "IQ_ST_INVEST", , B138), "")</f>
        <v/>
      </c>
      <c r="G138" s="11">
        <f>IFERROR(_xll.ciqfunctions.udf.CIQ(mh_ticker, "IQ_TOTAL_DEBT_EXCL_OPER_LEASES", , B138), "")</f>
        <v/>
      </c>
      <c r="H138" s="11">
        <f>IFERROR(_xll.ciqfunctions.udf.CIQ(mh_ticker, "IQ_PREF_EQUITY", , B138), "")</f>
        <v/>
      </c>
      <c r="I138" s="11">
        <f>IFERROR(_xll.ciqfunctions.udf.CIQ(mh_ticker, "IQ_MINORITY_INTEREST", , B138), "")</f>
        <v/>
      </c>
      <c r="J138" s="11">
        <f>IFERROR(_xll.ciqfunctions.udf.CIQ(mh_ticker, "IQ_EQUITY_METHOD", , B138), "")</f>
        <v/>
      </c>
      <c r="K138" s="11">
        <f>IFERROR(_xll.ciqfunctions.udf.CIQ(mh_ticker, "IQ_LT_Mark_Securities", , B138), "")</f>
        <v/>
      </c>
      <c r="L138" s="12">
        <f>IFERROR(C138*D138, "")</f>
        <v/>
      </c>
      <c r="M138" s="12">
        <f>IFERROR(L138-E138-F138+G138+H138+I138-J138-K138, "")</f>
        <v/>
      </c>
      <c r="N138" s="11">
        <f>IFERROR(_xll.ciqfunctions.udf.CIQ(mh_ticker, "IQ_EBITDA_EST", IQ_NTM, B138, , , "USD"), "")</f>
        <v/>
      </c>
      <c r="O138" s="13">
        <f>IFERROR(M138/N138, "")</f>
        <v/>
      </c>
    </row>
    <row r="139">
      <c r="B139" s="8" t="n"/>
      <c r="C139" s="9">
        <f>IFERROR(_xll.ciqfunctions.udf.CIQ(mh_ticker, "IQ_LASTSALEPRICE", B139), "")</f>
        <v/>
      </c>
      <c r="D139" s="10">
        <f>IFERROR(_xll.ciqfunctions.udf.CIQ(mh_ticker, "IQ_SHARESOUTSTANDING_OUT", B139), "")</f>
        <v/>
      </c>
      <c r="E139" s="11">
        <f>IFERROR(_xll.ciqfunctions.udf.CIQ(mh_ticker, "IQ_CASH_EQUIV", , B139), "")</f>
        <v/>
      </c>
      <c r="F139" s="11">
        <f>IFERROR(_xll.ciqfunctions.udf.CIQ(mh_ticker, "IQ_ST_INVEST", , B139), "")</f>
        <v/>
      </c>
      <c r="G139" s="11">
        <f>IFERROR(_xll.ciqfunctions.udf.CIQ(mh_ticker, "IQ_TOTAL_DEBT_EXCL_OPER_LEASES", , B139), "")</f>
        <v/>
      </c>
      <c r="H139" s="11">
        <f>IFERROR(_xll.ciqfunctions.udf.CIQ(mh_ticker, "IQ_PREF_EQUITY", , B139), "")</f>
        <v/>
      </c>
      <c r="I139" s="11">
        <f>IFERROR(_xll.ciqfunctions.udf.CIQ(mh_ticker, "IQ_MINORITY_INTEREST", , B139), "")</f>
        <v/>
      </c>
      <c r="J139" s="11">
        <f>IFERROR(_xll.ciqfunctions.udf.CIQ(mh_ticker, "IQ_EQUITY_METHOD", , B139), "")</f>
        <v/>
      </c>
      <c r="K139" s="11">
        <f>IFERROR(_xll.ciqfunctions.udf.CIQ(mh_ticker, "IQ_LT_Mark_Securities", , B139), "")</f>
        <v/>
      </c>
      <c r="L139" s="12">
        <f>IFERROR(C139*D139, "")</f>
        <v/>
      </c>
      <c r="M139" s="12">
        <f>IFERROR(L139-E139-F139+G139+H139+I139-J139-K139, "")</f>
        <v/>
      </c>
      <c r="N139" s="11">
        <f>IFERROR(_xll.ciqfunctions.udf.CIQ(mh_ticker, "IQ_EBITDA_EST", IQ_NTM, B139, , , "USD"), "")</f>
        <v/>
      </c>
      <c r="O139" s="13">
        <f>IFERROR(M139/N139, "")</f>
        <v/>
      </c>
    </row>
    <row r="140">
      <c r="B140" s="8" t="n"/>
      <c r="C140" s="9">
        <f>IFERROR(_xll.ciqfunctions.udf.CIQ(mh_ticker, "IQ_LASTSALEPRICE", B140), "")</f>
        <v/>
      </c>
      <c r="D140" s="10">
        <f>IFERROR(_xll.ciqfunctions.udf.CIQ(mh_ticker, "IQ_SHARESOUTSTANDING_OUT", B140), "")</f>
        <v/>
      </c>
      <c r="E140" s="11">
        <f>IFERROR(_xll.ciqfunctions.udf.CIQ(mh_ticker, "IQ_CASH_EQUIV", , B140), "")</f>
        <v/>
      </c>
      <c r="F140" s="11">
        <f>IFERROR(_xll.ciqfunctions.udf.CIQ(mh_ticker, "IQ_ST_INVEST", , B140), "")</f>
        <v/>
      </c>
      <c r="G140" s="11">
        <f>IFERROR(_xll.ciqfunctions.udf.CIQ(mh_ticker, "IQ_TOTAL_DEBT_EXCL_OPER_LEASES", , B140), "")</f>
        <v/>
      </c>
      <c r="H140" s="11">
        <f>IFERROR(_xll.ciqfunctions.udf.CIQ(mh_ticker, "IQ_PREF_EQUITY", , B140), "")</f>
        <v/>
      </c>
      <c r="I140" s="11">
        <f>IFERROR(_xll.ciqfunctions.udf.CIQ(mh_ticker, "IQ_MINORITY_INTEREST", , B140), "")</f>
        <v/>
      </c>
      <c r="J140" s="11">
        <f>IFERROR(_xll.ciqfunctions.udf.CIQ(mh_ticker, "IQ_EQUITY_METHOD", , B140), "")</f>
        <v/>
      </c>
      <c r="K140" s="11">
        <f>IFERROR(_xll.ciqfunctions.udf.CIQ(mh_ticker, "IQ_LT_Mark_Securities", , B140), "")</f>
        <v/>
      </c>
      <c r="L140" s="12">
        <f>IFERROR(C140*D140, "")</f>
        <v/>
      </c>
      <c r="M140" s="12">
        <f>IFERROR(L140-E140-F140+G140+H140+I140-J140-K140, "")</f>
        <v/>
      </c>
      <c r="N140" s="11">
        <f>IFERROR(_xll.ciqfunctions.udf.CIQ(mh_ticker, "IQ_EBITDA_EST", IQ_NTM, B140, , , "USD"), "")</f>
        <v/>
      </c>
      <c r="O140" s="13">
        <f>IFERROR(M140/N140, "")</f>
        <v/>
      </c>
    </row>
    <row r="141">
      <c r="B141" s="8" t="n"/>
      <c r="C141" s="9">
        <f>IFERROR(_xll.ciqfunctions.udf.CIQ(mh_ticker, "IQ_LASTSALEPRICE", B141), "")</f>
        <v/>
      </c>
      <c r="D141" s="10">
        <f>IFERROR(_xll.ciqfunctions.udf.CIQ(mh_ticker, "IQ_SHARESOUTSTANDING_OUT", B141), "")</f>
        <v/>
      </c>
      <c r="E141" s="11">
        <f>IFERROR(_xll.ciqfunctions.udf.CIQ(mh_ticker, "IQ_CASH_EQUIV", , B141), "")</f>
        <v/>
      </c>
      <c r="F141" s="11">
        <f>IFERROR(_xll.ciqfunctions.udf.CIQ(mh_ticker, "IQ_ST_INVEST", , B141), "")</f>
        <v/>
      </c>
      <c r="G141" s="11">
        <f>IFERROR(_xll.ciqfunctions.udf.CIQ(mh_ticker, "IQ_TOTAL_DEBT_EXCL_OPER_LEASES", , B141), "")</f>
        <v/>
      </c>
      <c r="H141" s="11">
        <f>IFERROR(_xll.ciqfunctions.udf.CIQ(mh_ticker, "IQ_PREF_EQUITY", , B141), "")</f>
        <v/>
      </c>
      <c r="I141" s="11">
        <f>IFERROR(_xll.ciqfunctions.udf.CIQ(mh_ticker, "IQ_MINORITY_INTEREST", , B141), "")</f>
        <v/>
      </c>
      <c r="J141" s="11">
        <f>IFERROR(_xll.ciqfunctions.udf.CIQ(mh_ticker, "IQ_EQUITY_METHOD", , B141), "")</f>
        <v/>
      </c>
      <c r="K141" s="11">
        <f>IFERROR(_xll.ciqfunctions.udf.CIQ(mh_ticker, "IQ_LT_Mark_Securities", , B141), "")</f>
        <v/>
      </c>
      <c r="L141" s="12">
        <f>IFERROR(C141*D141, "")</f>
        <v/>
      </c>
      <c r="M141" s="12">
        <f>IFERROR(L141-E141-F141+G141+H141+I141-J141-K141, "")</f>
        <v/>
      </c>
      <c r="N141" s="11">
        <f>IFERROR(_xll.ciqfunctions.udf.CIQ(mh_ticker, "IQ_EBITDA_EST", IQ_NTM, B141, , , "USD"), "")</f>
        <v/>
      </c>
      <c r="O141" s="13">
        <f>IFERROR(M141/N141, "")</f>
        <v/>
      </c>
    </row>
    <row r="142">
      <c r="B142" s="8" t="n"/>
      <c r="C142" s="9">
        <f>IFERROR(_xll.ciqfunctions.udf.CIQ(mh_ticker, "IQ_LASTSALEPRICE", B142), "")</f>
        <v/>
      </c>
      <c r="D142" s="10">
        <f>IFERROR(_xll.ciqfunctions.udf.CIQ(mh_ticker, "IQ_SHARESOUTSTANDING_OUT", B142), "")</f>
        <v/>
      </c>
      <c r="E142" s="11">
        <f>IFERROR(_xll.ciqfunctions.udf.CIQ(mh_ticker, "IQ_CASH_EQUIV", , B142), "")</f>
        <v/>
      </c>
      <c r="F142" s="11">
        <f>IFERROR(_xll.ciqfunctions.udf.CIQ(mh_ticker, "IQ_ST_INVEST", , B142), "")</f>
        <v/>
      </c>
      <c r="G142" s="11">
        <f>IFERROR(_xll.ciqfunctions.udf.CIQ(mh_ticker, "IQ_TOTAL_DEBT_EXCL_OPER_LEASES", , B142), "")</f>
        <v/>
      </c>
      <c r="H142" s="11">
        <f>IFERROR(_xll.ciqfunctions.udf.CIQ(mh_ticker, "IQ_PREF_EQUITY", , B142), "")</f>
        <v/>
      </c>
      <c r="I142" s="11">
        <f>IFERROR(_xll.ciqfunctions.udf.CIQ(mh_ticker, "IQ_MINORITY_INTEREST", , B142), "")</f>
        <v/>
      </c>
      <c r="J142" s="11">
        <f>IFERROR(_xll.ciqfunctions.udf.CIQ(mh_ticker, "IQ_EQUITY_METHOD", , B142), "")</f>
        <v/>
      </c>
      <c r="K142" s="11">
        <f>IFERROR(_xll.ciqfunctions.udf.CIQ(mh_ticker, "IQ_LT_Mark_Securities", , B142), "")</f>
        <v/>
      </c>
      <c r="L142" s="12">
        <f>IFERROR(C142*D142, "")</f>
        <v/>
      </c>
      <c r="M142" s="12">
        <f>IFERROR(L142-E142-F142+G142+H142+I142-J142-K142, "")</f>
        <v/>
      </c>
      <c r="N142" s="11">
        <f>IFERROR(_xll.ciqfunctions.udf.CIQ(mh_ticker, "IQ_EBITDA_EST", IQ_NTM, B142, , , "USD"), "")</f>
        <v/>
      </c>
      <c r="O142" s="13">
        <f>IFERROR(M142/N142, "")</f>
        <v/>
      </c>
    </row>
    <row r="143">
      <c r="B143" s="8" t="n"/>
      <c r="C143" s="9">
        <f>IFERROR(_xll.ciqfunctions.udf.CIQ(mh_ticker, "IQ_LASTSALEPRICE", B143), "")</f>
        <v/>
      </c>
      <c r="D143" s="10">
        <f>IFERROR(_xll.ciqfunctions.udf.CIQ(mh_ticker, "IQ_SHARESOUTSTANDING_OUT", B143), "")</f>
        <v/>
      </c>
      <c r="E143" s="11">
        <f>IFERROR(_xll.ciqfunctions.udf.CIQ(mh_ticker, "IQ_CASH_EQUIV", , B143), "")</f>
        <v/>
      </c>
      <c r="F143" s="11">
        <f>IFERROR(_xll.ciqfunctions.udf.CIQ(mh_ticker, "IQ_ST_INVEST", , B143), "")</f>
        <v/>
      </c>
      <c r="G143" s="11">
        <f>IFERROR(_xll.ciqfunctions.udf.CIQ(mh_ticker, "IQ_TOTAL_DEBT_EXCL_OPER_LEASES", , B143), "")</f>
        <v/>
      </c>
      <c r="H143" s="11">
        <f>IFERROR(_xll.ciqfunctions.udf.CIQ(mh_ticker, "IQ_PREF_EQUITY", , B143), "")</f>
        <v/>
      </c>
      <c r="I143" s="11">
        <f>IFERROR(_xll.ciqfunctions.udf.CIQ(mh_ticker, "IQ_MINORITY_INTEREST", , B143), "")</f>
        <v/>
      </c>
      <c r="J143" s="11">
        <f>IFERROR(_xll.ciqfunctions.udf.CIQ(mh_ticker, "IQ_EQUITY_METHOD", , B143), "")</f>
        <v/>
      </c>
      <c r="K143" s="11">
        <f>IFERROR(_xll.ciqfunctions.udf.CIQ(mh_ticker, "IQ_LT_Mark_Securities", , B143), "")</f>
        <v/>
      </c>
      <c r="L143" s="12">
        <f>IFERROR(C143*D143, "")</f>
        <v/>
      </c>
      <c r="M143" s="12">
        <f>IFERROR(L143-E143-F143+G143+H143+I143-J143-K143, "")</f>
        <v/>
      </c>
      <c r="N143" s="11">
        <f>IFERROR(_xll.ciqfunctions.udf.CIQ(mh_ticker, "IQ_EBITDA_EST", IQ_NTM, B143, , , "USD"), "")</f>
        <v/>
      </c>
      <c r="O143" s="13">
        <f>IFERROR(M143/N143, "")</f>
        <v/>
      </c>
    </row>
    <row r="144">
      <c r="B144" s="8" t="n"/>
      <c r="C144" s="9">
        <f>IFERROR(_xll.ciqfunctions.udf.CIQ(mh_ticker, "IQ_LASTSALEPRICE", B144), "")</f>
        <v/>
      </c>
      <c r="D144" s="10">
        <f>IFERROR(_xll.ciqfunctions.udf.CIQ(mh_ticker, "IQ_SHARESOUTSTANDING_OUT", B144), "")</f>
        <v/>
      </c>
      <c r="E144" s="11">
        <f>IFERROR(_xll.ciqfunctions.udf.CIQ(mh_ticker, "IQ_CASH_EQUIV", , B144), "")</f>
        <v/>
      </c>
      <c r="F144" s="11">
        <f>IFERROR(_xll.ciqfunctions.udf.CIQ(mh_ticker, "IQ_ST_INVEST", , B144), "")</f>
        <v/>
      </c>
      <c r="G144" s="11">
        <f>IFERROR(_xll.ciqfunctions.udf.CIQ(mh_ticker, "IQ_TOTAL_DEBT_EXCL_OPER_LEASES", , B144), "")</f>
        <v/>
      </c>
      <c r="H144" s="11">
        <f>IFERROR(_xll.ciqfunctions.udf.CIQ(mh_ticker, "IQ_PREF_EQUITY", , B144), "")</f>
        <v/>
      </c>
      <c r="I144" s="11">
        <f>IFERROR(_xll.ciqfunctions.udf.CIQ(mh_ticker, "IQ_MINORITY_INTEREST", , B144), "")</f>
        <v/>
      </c>
      <c r="J144" s="11">
        <f>IFERROR(_xll.ciqfunctions.udf.CIQ(mh_ticker, "IQ_EQUITY_METHOD", , B144), "")</f>
        <v/>
      </c>
      <c r="K144" s="11">
        <f>IFERROR(_xll.ciqfunctions.udf.CIQ(mh_ticker, "IQ_LT_Mark_Securities", , B144), "")</f>
        <v/>
      </c>
      <c r="L144" s="12">
        <f>IFERROR(C144*D144, "")</f>
        <v/>
      </c>
      <c r="M144" s="12">
        <f>IFERROR(L144-E144-F144+G144+H144+I144-J144-K144, "")</f>
        <v/>
      </c>
      <c r="N144" s="11">
        <f>IFERROR(_xll.ciqfunctions.udf.CIQ(mh_ticker, "IQ_EBITDA_EST", IQ_NTM, B144, , , "USD"), "")</f>
        <v/>
      </c>
      <c r="O144" s="13">
        <f>IFERROR(M144/N144, "")</f>
        <v/>
      </c>
    </row>
    <row r="145">
      <c r="B145" s="8" t="n"/>
      <c r="C145" s="9">
        <f>IFERROR(_xll.ciqfunctions.udf.CIQ(mh_ticker, "IQ_LASTSALEPRICE", B145), "")</f>
        <v/>
      </c>
      <c r="D145" s="10">
        <f>IFERROR(_xll.ciqfunctions.udf.CIQ(mh_ticker, "IQ_SHARESOUTSTANDING_OUT", B145), "")</f>
        <v/>
      </c>
      <c r="E145" s="11">
        <f>IFERROR(_xll.ciqfunctions.udf.CIQ(mh_ticker, "IQ_CASH_EQUIV", , B145), "")</f>
        <v/>
      </c>
      <c r="F145" s="11">
        <f>IFERROR(_xll.ciqfunctions.udf.CIQ(mh_ticker, "IQ_ST_INVEST", , B145), "")</f>
        <v/>
      </c>
      <c r="G145" s="11">
        <f>IFERROR(_xll.ciqfunctions.udf.CIQ(mh_ticker, "IQ_TOTAL_DEBT_EXCL_OPER_LEASES", , B145), "")</f>
        <v/>
      </c>
      <c r="H145" s="11">
        <f>IFERROR(_xll.ciqfunctions.udf.CIQ(mh_ticker, "IQ_PREF_EQUITY", , B145), "")</f>
        <v/>
      </c>
      <c r="I145" s="11">
        <f>IFERROR(_xll.ciqfunctions.udf.CIQ(mh_ticker, "IQ_MINORITY_INTEREST", , B145), "")</f>
        <v/>
      </c>
      <c r="J145" s="11">
        <f>IFERROR(_xll.ciqfunctions.udf.CIQ(mh_ticker, "IQ_EQUITY_METHOD", , B145), "")</f>
        <v/>
      </c>
      <c r="K145" s="11">
        <f>IFERROR(_xll.ciqfunctions.udf.CIQ(mh_ticker, "IQ_LT_Mark_Securities", , B145), "")</f>
        <v/>
      </c>
      <c r="L145" s="12">
        <f>IFERROR(C145*D145, "")</f>
        <v/>
      </c>
      <c r="M145" s="12">
        <f>IFERROR(L145-E145-F145+G145+H145+I145-J145-K145, "")</f>
        <v/>
      </c>
      <c r="N145" s="11">
        <f>IFERROR(_xll.ciqfunctions.udf.CIQ(mh_ticker, "IQ_EBITDA_EST", IQ_NTM, B145, , , "USD"), "")</f>
        <v/>
      </c>
      <c r="O145" s="13">
        <f>IFERROR(M145/N145, "")</f>
        <v/>
      </c>
    </row>
    <row r="146">
      <c r="B146" s="8" t="n"/>
      <c r="C146" s="9">
        <f>IFERROR(_xll.ciqfunctions.udf.CIQ(mh_ticker, "IQ_LASTSALEPRICE", B146), "")</f>
        <v/>
      </c>
      <c r="D146" s="10">
        <f>IFERROR(_xll.ciqfunctions.udf.CIQ(mh_ticker, "IQ_SHARESOUTSTANDING_OUT", B146), "")</f>
        <v/>
      </c>
      <c r="E146" s="11">
        <f>IFERROR(_xll.ciqfunctions.udf.CIQ(mh_ticker, "IQ_CASH_EQUIV", , B146), "")</f>
        <v/>
      </c>
      <c r="F146" s="11">
        <f>IFERROR(_xll.ciqfunctions.udf.CIQ(mh_ticker, "IQ_ST_INVEST", , B146), "")</f>
        <v/>
      </c>
      <c r="G146" s="11">
        <f>IFERROR(_xll.ciqfunctions.udf.CIQ(mh_ticker, "IQ_TOTAL_DEBT_EXCL_OPER_LEASES", , B146), "")</f>
        <v/>
      </c>
      <c r="H146" s="11">
        <f>IFERROR(_xll.ciqfunctions.udf.CIQ(mh_ticker, "IQ_PREF_EQUITY", , B146), "")</f>
        <v/>
      </c>
      <c r="I146" s="11">
        <f>IFERROR(_xll.ciqfunctions.udf.CIQ(mh_ticker, "IQ_MINORITY_INTEREST", , B146), "")</f>
        <v/>
      </c>
      <c r="J146" s="11">
        <f>IFERROR(_xll.ciqfunctions.udf.CIQ(mh_ticker, "IQ_EQUITY_METHOD", , B146), "")</f>
        <v/>
      </c>
      <c r="K146" s="11">
        <f>IFERROR(_xll.ciqfunctions.udf.CIQ(mh_ticker, "IQ_LT_Mark_Securities", , B146), "")</f>
        <v/>
      </c>
      <c r="L146" s="12">
        <f>IFERROR(C146*D146, "")</f>
        <v/>
      </c>
      <c r="M146" s="12">
        <f>IFERROR(L146-E146-F146+G146+H146+I146-J146-K146, "")</f>
        <v/>
      </c>
      <c r="N146" s="11">
        <f>IFERROR(_xll.ciqfunctions.udf.CIQ(mh_ticker, "IQ_EBITDA_EST", IQ_NTM, B146, , , "USD"), "")</f>
        <v/>
      </c>
      <c r="O146" s="13">
        <f>IFERROR(M146/N146, "")</f>
        <v/>
      </c>
    </row>
    <row r="147">
      <c r="B147" s="8" t="n"/>
      <c r="C147" s="9">
        <f>IFERROR(_xll.ciqfunctions.udf.CIQ(mh_ticker, "IQ_LASTSALEPRICE", B147), "")</f>
        <v/>
      </c>
      <c r="D147" s="10">
        <f>IFERROR(_xll.ciqfunctions.udf.CIQ(mh_ticker, "IQ_SHARESOUTSTANDING_OUT", B147), "")</f>
        <v/>
      </c>
      <c r="E147" s="11">
        <f>IFERROR(_xll.ciqfunctions.udf.CIQ(mh_ticker, "IQ_CASH_EQUIV", , B147), "")</f>
        <v/>
      </c>
      <c r="F147" s="11">
        <f>IFERROR(_xll.ciqfunctions.udf.CIQ(mh_ticker, "IQ_ST_INVEST", , B147), "")</f>
        <v/>
      </c>
      <c r="G147" s="11">
        <f>IFERROR(_xll.ciqfunctions.udf.CIQ(mh_ticker, "IQ_TOTAL_DEBT_EXCL_OPER_LEASES", , B147), "")</f>
        <v/>
      </c>
      <c r="H147" s="11">
        <f>IFERROR(_xll.ciqfunctions.udf.CIQ(mh_ticker, "IQ_PREF_EQUITY", , B147), "")</f>
        <v/>
      </c>
      <c r="I147" s="11">
        <f>IFERROR(_xll.ciqfunctions.udf.CIQ(mh_ticker, "IQ_MINORITY_INTEREST", , B147), "")</f>
        <v/>
      </c>
      <c r="J147" s="11">
        <f>IFERROR(_xll.ciqfunctions.udf.CIQ(mh_ticker, "IQ_EQUITY_METHOD", , B147), "")</f>
        <v/>
      </c>
      <c r="K147" s="11">
        <f>IFERROR(_xll.ciqfunctions.udf.CIQ(mh_ticker, "IQ_LT_Mark_Securities", , B147), "")</f>
        <v/>
      </c>
      <c r="L147" s="12">
        <f>IFERROR(C147*D147, "")</f>
        <v/>
      </c>
      <c r="M147" s="12">
        <f>IFERROR(L147-E147-F147+G147+H147+I147-J147-K147, "")</f>
        <v/>
      </c>
      <c r="N147" s="11">
        <f>IFERROR(_xll.ciqfunctions.udf.CIQ(mh_ticker, "IQ_EBITDA_EST", IQ_NTM, B147, , , "USD"), "")</f>
        <v/>
      </c>
      <c r="O147" s="13">
        <f>IFERROR(M147/N147, "")</f>
        <v/>
      </c>
    </row>
    <row r="148">
      <c r="B148" s="8" t="n"/>
      <c r="C148" s="9">
        <f>IFERROR(_xll.ciqfunctions.udf.CIQ(mh_ticker, "IQ_LASTSALEPRICE", B148), "")</f>
        <v/>
      </c>
      <c r="D148" s="10">
        <f>IFERROR(_xll.ciqfunctions.udf.CIQ(mh_ticker, "IQ_SHARESOUTSTANDING_OUT", B148), "")</f>
        <v/>
      </c>
      <c r="E148" s="11">
        <f>IFERROR(_xll.ciqfunctions.udf.CIQ(mh_ticker, "IQ_CASH_EQUIV", , B148), "")</f>
        <v/>
      </c>
      <c r="F148" s="11">
        <f>IFERROR(_xll.ciqfunctions.udf.CIQ(mh_ticker, "IQ_ST_INVEST", , B148), "")</f>
        <v/>
      </c>
      <c r="G148" s="11">
        <f>IFERROR(_xll.ciqfunctions.udf.CIQ(mh_ticker, "IQ_TOTAL_DEBT_EXCL_OPER_LEASES", , B148), "")</f>
        <v/>
      </c>
      <c r="H148" s="11">
        <f>IFERROR(_xll.ciqfunctions.udf.CIQ(mh_ticker, "IQ_PREF_EQUITY", , B148), "")</f>
        <v/>
      </c>
      <c r="I148" s="11">
        <f>IFERROR(_xll.ciqfunctions.udf.CIQ(mh_ticker, "IQ_MINORITY_INTEREST", , B148), "")</f>
        <v/>
      </c>
      <c r="J148" s="11">
        <f>IFERROR(_xll.ciqfunctions.udf.CIQ(mh_ticker, "IQ_EQUITY_METHOD", , B148), "")</f>
        <v/>
      </c>
      <c r="K148" s="11">
        <f>IFERROR(_xll.ciqfunctions.udf.CIQ(mh_ticker, "IQ_LT_Mark_Securities", , B148), "")</f>
        <v/>
      </c>
      <c r="L148" s="12">
        <f>IFERROR(C148*D148, "")</f>
        <v/>
      </c>
      <c r="M148" s="12">
        <f>IFERROR(L148-E148-F148+G148+H148+I148-J148-K148, "")</f>
        <v/>
      </c>
      <c r="N148" s="11">
        <f>IFERROR(_xll.ciqfunctions.udf.CIQ(mh_ticker, "IQ_EBITDA_EST", IQ_NTM, B148, , , "USD"), "")</f>
        <v/>
      </c>
      <c r="O148" s="13">
        <f>IFERROR(M148/N148, "")</f>
        <v/>
      </c>
    </row>
    <row r="149">
      <c r="B149" s="8" t="n"/>
      <c r="C149" s="9">
        <f>IFERROR(_xll.ciqfunctions.udf.CIQ(mh_ticker, "IQ_LASTSALEPRICE", B149), "")</f>
        <v/>
      </c>
      <c r="D149" s="10">
        <f>IFERROR(_xll.ciqfunctions.udf.CIQ(mh_ticker, "IQ_SHARESOUTSTANDING_OUT", B149), "")</f>
        <v/>
      </c>
      <c r="E149" s="11">
        <f>IFERROR(_xll.ciqfunctions.udf.CIQ(mh_ticker, "IQ_CASH_EQUIV", , B149), "")</f>
        <v/>
      </c>
      <c r="F149" s="11">
        <f>IFERROR(_xll.ciqfunctions.udf.CIQ(mh_ticker, "IQ_ST_INVEST", , B149), "")</f>
        <v/>
      </c>
      <c r="G149" s="11">
        <f>IFERROR(_xll.ciqfunctions.udf.CIQ(mh_ticker, "IQ_TOTAL_DEBT_EXCL_OPER_LEASES", , B149), "")</f>
        <v/>
      </c>
      <c r="H149" s="11">
        <f>IFERROR(_xll.ciqfunctions.udf.CIQ(mh_ticker, "IQ_PREF_EQUITY", , B149), "")</f>
        <v/>
      </c>
      <c r="I149" s="11">
        <f>IFERROR(_xll.ciqfunctions.udf.CIQ(mh_ticker, "IQ_MINORITY_INTEREST", , B149), "")</f>
        <v/>
      </c>
      <c r="J149" s="11">
        <f>IFERROR(_xll.ciqfunctions.udf.CIQ(mh_ticker, "IQ_EQUITY_METHOD", , B149), "")</f>
        <v/>
      </c>
      <c r="K149" s="11">
        <f>IFERROR(_xll.ciqfunctions.udf.CIQ(mh_ticker, "IQ_LT_Mark_Securities", , B149), "")</f>
        <v/>
      </c>
      <c r="L149" s="12">
        <f>IFERROR(C149*D149, "")</f>
        <v/>
      </c>
      <c r="M149" s="12">
        <f>IFERROR(L149-E149-F149+G149+H149+I149-J149-K149, "")</f>
        <v/>
      </c>
      <c r="N149" s="11">
        <f>IFERROR(_xll.ciqfunctions.udf.CIQ(mh_ticker, "IQ_EBITDA_EST", IQ_NTM, B149, , , "USD"), "")</f>
        <v/>
      </c>
      <c r="O149" s="13">
        <f>IFERROR(M149/N149, "")</f>
        <v/>
      </c>
    </row>
    <row r="150">
      <c r="B150" s="8" t="n"/>
      <c r="C150" s="9">
        <f>IFERROR(_xll.ciqfunctions.udf.CIQ(mh_ticker, "IQ_LASTSALEPRICE", B150), "")</f>
        <v/>
      </c>
      <c r="D150" s="10">
        <f>IFERROR(_xll.ciqfunctions.udf.CIQ(mh_ticker, "IQ_SHARESOUTSTANDING_OUT", B150), "")</f>
        <v/>
      </c>
      <c r="E150" s="11">
        <f>IFERROR(_xll.ciqfunctions.udf.CIQ(mh_ticker, "IQ_CASH_EQUIV", , B150), "")</f>
        <v/>
      </c>
      <c r="F150" s="11">
        <f>IFERROR(_xll.ciqfunctions.udf.CIQ(mh_ticker, "IQ_ST_INVEST", , B150), "")</f>
        <v/>
      </c>
      <c r="G150" s="11">
        <f>IFERROR(_xll.ciqfunctions.udf.CIQ(mh_ticker, "IQ_TOTAL_DEBT_EXCL_OPER_LEASES", , B150), "")</f>
        <v/>
      </c>
      <c r="H150" s="11">
        <f>IFERROR(_xll.ciqfunctions.udf.CIQ(mh_ticker, "IQ_PREF_EQUITY", , B150), "")</f>
        <v/>
      </c>
      <c r="I150" s="11">
        <f>IFERROR(_xll.ciqfunctions.udf.CIQ(mh_ticker, "IQ_MINORITY_INTEREST", , B150), "")</f>
        <v/>
      </c>
      <c r="J150" s="11">
        <f>IFERROR(_xll.ciqfunctions.udf.CIQ(mh_ticker, "IQ_EQUITY_METHOD", , B150), "")</f>
        <v/>
      </c>
      <c r="K150" s="11">
        <f>IFERROR(_xll.ciqfunctions.udf.CIQ(mh_ticker, "IQ_LT_Mark_Securities", , B150), "")</f>
        <v/>
      </c>
      <c r="L150" s="12">
        <f>IFERROR(C150*D150, "")</f>
        <v/>
      </c>
      <c r="M150" s="12">
        <f>IFERROR(L150-E150-F150+G150+H150+I150-J150-K150, "")</f>
        <v/>
      </c>
      <c r="N150" s="11">
        <f>IFERROR(_xll.ciqfunctions.udf.CIQ(mh_ticker, "IQ_EBITDA_EST", IQ_NTM, B150, , , "USD"), "")</f>
        <v/>
      </c>
      <c r="O150" s="13">
        <f>IFERROR(M150/N150, "")</f>
        <v/>
      </c>
    </row>
    <row r="151">
      <c r="B151" s="8" t="n"/>
      <c r="C151" s="9">
        <f>IFERROR(_xll.ciqfunctions.udf.CIQ(mh_ticker, "IQ_LASTSALEPRICE", B151), "")</f>
        <v/>
      </c>
      <c r="D151" s="10">
        <f>IFERROR(_xll.ciqfunctions.udf.CIQ(mh_ticker, "IQ_SHARESOUTSTANDING_OUT", B151), "")</f>
        <v/>
      </c>
      <c r="E151" s="11">
        <f>IFERROR(_xll.ciqfunctions.udf.CIQ(mh_ticker, "IQ_CASH_EQUIV", , B151), "")</f>
        <v/>
      </c>
      <c r="F151" s="11">
        <f>IFERROR(_xll.ciqfunctions.udf.CIQ(mh_ticker, "IQ_ST_INVEST", , B151), "")</f>
        <v/>
      </c>
      <c r="G151" s="11">
        <f>IFERROR(_xll.ciqfunctions.udf.CIQ(mh_ticker, "IQ_TOTAL_DEBT_EXCL_OPER_LEASES", , B151), "")</f>
        <v/>
      </c>
      <c r="H151" s="11">
        <f>IFERROR(_xll.ciqfunctions.udf.CIQ(mh_ticker, "IQ_PREF_EQUITY", , B151), "")</f>
        <v/>
      </c>
      <c r="I151" s="11">
        <f>IFERROR(_xll.ciqfunctions.udf.CIQ(mh_ticker, "IQ_MINORITY_INTEREST", , B151), "")</f>
        <v/>
      </c>
      <c r="J151" s="11">
        <f>IFERROR(_xll.ciqfunctions.udf.CIQ(mh_ticker, "IQ_EQUITY_METHOD", , B151), "")</f>
        <v/>
      </c>
      <c r="K151" s="11">
        <f>IFERROR(_xll.ciqfunctions.udf.CIQ(mh_ticker, "IQ_LT_Mark_Securities", , B151), "")</f>
        <v/>
      </c>
      <c r="L151" s="12">
        <f>IFERROR(C151*D151, "")</f>
        <v/>
      </c>
      <c r="M151" s="12">
        <f>IFERROR(L151-E151-F151+G151+H151+I151-J151-K151, "")</f>
        <v/>
      </c>
      <c r="N151" s="11">
        <f>IFERROR(_xll.ciqfunctions.udf.CIQ(mh_ticker, "IQ_EBITDA_EST", IQ_NTM, B151, , , "USD"), "")</f>
        <v/>
      </c>
      <c r="O151" s="13">
        <f>IFERROR(M151/N151, "")</f>
        <v/>
      </c>
    </row>
    <row r="152">
      <c r="B152" s="8" t="n"/>
      <c r="C152" s="9">
        <f>IFERROR(_xll.ciqfunctions.udf.CIQ(mh_ticker, "IQ_LASTSALEPRICE", B152), "")</f>
        <v/>
      </c>
      <c r="D152" s="10">
        <f>IFERROR(_xll.ciqfunctions.udf.CIQ(mh_ticker, "IQ_SHARESOUTSTANDING_OUT", B152), "")</f>
        <v/>
      </c>
      <c r="E152" s="11">
        <f>IFERROR(_xll.ciqfunctions.udf.CIQ(mh_ticker, "IQ_CASH_EQUIV", , B152), "")</f>
        <v/>
      </c>
      <c r="F152" s="11">
        <f>IFERROR(_xll.ciqfunctions.udf.CIQ(mh_ticker, "IQ_ST_INVEST", , B152), "")</f>
        <v/>
      </c>
      <c r="G152" s="11">
        <f>IFERROR(_xll.ciqfunctions.udf.CIQ(mh_ticker, "IQ_TOTAL_DEBT_EXCL_OPER_LEASES", , B152), "")</f>
        <v/>
      </c>
      <c r="H152" s="11">
        <f>IFERROR(_xll.ciqfunctions.udf.CIQ(mh_ticker, "IQ_PREF_EQUITY", , B152), "")</f>
        <v/>
      </c>
      <c r="I152" s="11">
        <f>IFERROR(_xll.ciqfunctions.udf.CIQ(mh_ticker, "IQ_MINORITY_INTEREST", , B152), "")</f>
        <v/>
      </c>
      <c r="J152" s="11">
        <f>IFERROR(_xll.ciqfunctions.udf.CIQ(mh_ticker, "IQ_EQUITY_METHOD", , B152), "")</f>
        <v/>
      </c>
      <c r="K152" s="11">
        <f>IFERROR(_xll.ciqfunctions.udf.CIQ(mh_ticker, "IQ_LT_Mark_Securities", , B152), "")</f>
        <v/>
      </c>
      <c r="L152" s="12">
        <f>IFERROR(C152*D152, "")</f>
        <v/>
      </c>
      <c r="M152" s="12">
        <f>IFERROR(L152-E152-F152+G152+H152+I152-J152-K152, "")</f>
        <v/>
      </c>
      <c r="N152" s="11">
        <f>IFERROR(_xll.ciqfunctions.udf.CIQ(mh_ticker, "IQ_EBITDA_EST", IQ_NTM, B152, , , "USD"), "")</f>
        <v/>
      </c>
      <c r="O152" s="13">
        <f>IFERROR(M152/N152, "")</f>
        <v/>
      </c>
    </row>
    <row r="153">
      <c r="B153" s="8" t="n"/>
      <c r="C153" s="9">
        <f>IFERROR(_xll.ciqfunctions.udf.CIQ(mh_ticker, "IQ_LASTSALEPRICE", B153), "")</f>
        <v/>
      </c>
      <c r="D153" s="10">
        <f>IFERROR(_xll.ciqfunctions.udf.CIQ(mh_ticker, "IQ_SHARESOUTSTANDING_OUT", B153), "")</f>
        <v/>
      </c>
      <c r="E153" s="11">
        <f>IFERROR(_xll.ciqfunctions.udf.CIQ(mh_ticker, "IQ_CASH_EQUIV", , B153), "")</f>
        <v/>
      </c>
      <c r="F153" s="11">
        <f>IFERROR(_xll.ciqfunctions.udf.CIQ(mh_ticker, "IQ_ST_INVEST", , B153), "")</f>
        <v/>
      </c>
      <c r="G153" s="11">
        <f>IFERROR(_xll.ciqfunctions.udf.CIQ(mh_ticker, "IQ_TOTAL_DEBT_EXCL_OPER_LEASES", , B153), "")</f>
        <v/>
      </c>
      <c r="H153" s="11">
        <f>IFERROR(_xll.ciqfunctions.udf.CIQ(mh_ticker, "IQ_PREF_EQUITY", , B153), "")</f>
        <v/>
      </c>
      <c r="I153" s="11">
        <f>IFERROR(_xll.ciqfunctions.udf.CIQ(mh_ticker, "IQ_MINORITY_INTEREST", , B153), "")</f>
        <v/>
      </c>
      <c r="J153" s="11">
        <f>IFERROR(_xll.ciqfunctions.udf.CIQ(mh_ticker, "IQ_EQUITY_METHOD", , B153), "")</f>
        <v/>
      </c>
      <c r="K153" s="11">
        <f>IFERROR(_xll.ciqfunctions.udf.CIQ(mh_ticker, "IQ_LT_Mark_Securities", , B153), "")</f>
        <v/>
      </c>
      <c r="L153" s="12">
        <f>IFERROR(C153*D153, "")</f>
        <v/>
      </c>
      <c r="M153" s="12">
        <f>IFERROR(L153-E153-F153+G153+H153+I153-J153-K153, "")</f>
        <v/>
      </c>
      <c r="N153" s="11">
        <f>IFERROR(_xll.ciqfunctions.udf.CIQ(mh_ticker, "IQ_EBITDA_EST", IQ_NTM, B153, , , "USD"), "")</f>
        <v/>
      </c>
      <c r="O153" s="13">
        <f>IFERROR(M153/N153, "")</f>
        <v/>
      </c>
    </row>
    <row r="154">
      <c r="B154" s="8" t="n"/>
      <c r="C154" s="9">
        <f>IFERROR(_xll.ciqfunctions.udf.CIQ(mh_ticker, "IQ_LASTSALEPRICE", B154), "")</f>
        <v/>
      </c>
      <c r="D154" s="10">
        <f>IFERROR(_xll.ciqfunctions.udf.CIQ(mh_ticker, "IQ_SHARESOUTSTANDING_OUT", B154), "")</f>
        <v/>
      </c>
      <c r="E154" s="11">
        <f>IFERROR(_xll.ciqfunctions.udf.CIQ(mh_ticker, "IQ_CASH_EQUIV", , B154), "")</f>
        <v/>
      </c>
      <c r="F154" s="11">
        <f>IFERROR(_xll.ciqfunctions.udf.CIQ(mh_ticker, "IQ_ST_INVEST", , B154), "")</f>
        <v/>
      </c>
      <c r="G154" s="11">
        <f>IFERROR(_xll.ciqfunctions.udf.CIQ(mh_ticker, "IQ_TOTAL_DEBT_EXCL_OPER_LEASES", , B154), "")</f>
        <v/>
      </c>
      <c r="H154" s="11">
        <f>IFERROR(_xll.ciqfunctions.udf.CIQ(mh_ticker, "IQ_PREF_EQUITY", , B154), "")</f>
        <v/>
      </c>
      <c r="I154" s="11">
        <f>IFERROR(_xll.ciqfunctions.udf.CIQ(mh_ticker, "IQ_MINORITY_INTEREST", , B154), "")</f>
        <v/>
      </c>
      <c r="J154" s="11">
        <f>IFERROR(_xll.ciqfunctions.udf.CIQ(mh_ticker, "IQ_EQUITY_METHOD", , B154), "")</f>
        <v/>
      </c>
      <c r="K154" s="11">
        <f>IFERROR(_xll.ciqfunctions.udf.CIQ(mh_ticker, "IQ_LT_Mark_Securities", , B154), "")</f>
        <v/>
      </c>
      <c r="L154" s="12">
        <f>IFERROR(C154*D154, "")</f>
        <v/>
      </c>
      <c r="M154" s="12">
        <f>IFERROR(L154-E154-F154+G154+H154+I154-J154-K154, "")</f>
        <v/>
      </c>
      <c r="N154" s="11">
        <f>IFERROR(_xll.ciqfunctions.udf.CIQ(mh_ticker, "IQ_EBITDA_EST", IQ_NTM, B154, , , "USD"), "")</f>
        <v/>
      </c>
      <c r="O154" s="13">
        <f>IFERROR(M154/N154, "")</f>
        <v/>
      </c>
    </row>
    <row r="155">
      <c r="B155" s="8" t="n"/>
      <c r="C155" s="9">
        <f>IFERROR(_xll.ciqfunctions.udf.CIQ(mh_ticker, "IQ_LASTSALEPRICE", B155), "")</f>
        <v/>
      </c>
      <c r="D155" s="10">
        <f>IFERROR(_xll.ciqfunctions.udf.CIQ(mh_ticker, "IQ_SHARESOUTSTANDING_OUT", B155), "")</f>
        <v/>
      </c>
      <c r="E155" s="11">
        <f>IFERROR(_xll.ciqfunctions.udf.CIQ(mh_ticker, "IQ_CASH_EQUIV", , B155), "")</f>
        <v/>
      </c>
      <c r="F155" s="11">
        <f>IFERROR(_xll.ciqfunctions.udf.CIQ(mh_ticker, "IQ_ST_INVEST", , B155), "")</f>
        <v/>
      </c>
      <c r="G155" s="11">
        <f>IFERROR(_xll.ciqfunctions.udf.CIQ(mh_ticker, "IQ_TOTAL_DEBT_EXCL_OPER_LEASES", , B155), "")</f>
        <v/>
      </c>
      <c r="H155" s="11">
        <f>IFERROR(_xll.ciqfunctions.udf.CIQ(mh_ticker, "IQ_PREF_EQUITY", , B155), "")</f>
        <v/>
      </c>
      <c r="I155" s="11">
        <f>IFERROR(_xll.ciqfunctions.udf.CIQ(mh_ticker, "IQ_MINORITY_INTEREST", , B155), "")</f>
        <v/>
      </c>
      <c r="J155" s="11">
        <f>IFERROR(_xll.ciqfunctions.udf.CIQ(mh_ticker, "IQ_EQUITY_METHOD", , B155), "")</f>
        <v/>
      </c>
      <c r="K155" s="11">
        <f>IFERROR(_xll.ciqfunctions.udf.CIQ(mh_ticker, "IQ_LT_Mark_Securities", , B155), "")</f>
        <v/>
      </c>
      <c r="L155" s="12">
        <f>IFERROR(C155*D155, "")</f>
        <v/>
      </c>
      <c r="M155" s="12">
        <f>IFERROR(L155-E155-F155+G155+H155+I155-J155-K155, "")</f>
        <v/>
      </c>
      <c r="N155" s="11">
        <f>IFERROR(_xll.ciqfunctions.udf.CIQ(mh_ticker, "IQ_EBITDA_EST", IQ_NTM, B155, , , "USD"), "")</f>
        <v/>
      </c>
      <c r="O155" s="13">
        <f>IFERROR(M155/N155, "")</f>
        <v/>
      </c>
    </row>
    <row r="156">
      <c r="B156" s="8" t="n"/>
      <c r="C156" s="9">
        <f>IFERROR(_xll.ciqfunctions.udf.CIQ(mh_ticker, "IQ_LASTSALEPRICE", B156), "")</f>
        <v/>
      </c>
      <c r="D156" s="10">
        <f>IFERROR(_xll.ciqfunctions.udf.CIQ(mh_ticker, "IQ_SHARESOUTSTANDING_OUT", B156), "")</f>
        <v/>
      </c>
      <c r="E156" s="11">
        <f>IFERROR(_xll.ciqfunctions.udf.CIQ(mh_ticker, "IQ_CASH_EQUIV", , B156), "")</f>
        <v/>
      </c>
      <c r="F156" s="11">
        <f>IFERROR(_xll.ciqfunctions.udf.CIQ(mh_ticker, "IQ_ST_INVEST", , B156), "")</f>
        <v/>
      </c>
      <c r="G156" s="11">
        <f>IFERROR(_xll.ciqfunctions.udf.CIQ(mh_ticker, "IQ_TOTAL_DEBT_EXCL_OPER_LEASES", , B156), "")</f>
        <v/>
      </c>
      <c r="H156" s="11">
        <f>IFERROR(_xll.ciqfunctions.udf.CIQ(mh_ticker, "IQ_PREF_EQUITY", , B156), "")</f>
        <v/>
      </c>
      <c r="I156" s="11">
        <f>IFERROR(_xll.ciqfunctions.udf.CIQ(mh_ticker, "IQ_MINORITY_INTEREST", , B156), "")</f>
        <v/>
      </c>
      <c r="J156" s="11">
        <f>IFERROR(_xll.ciqfunctions.udf.CIQ(mh_ticker, "IQ_EQUITY_METHOD", , B156), "")</f>
        <v/>
      </c>
      <c r="K156" s="11">
        <f>IFERROR(_xll.ciqfunctions.udf.CIQ(mh_ticker, "IQ_LT_Mark_Securities", , B156), "")</f>
        <v/>
      </c>
      <c r="L156" s="12">
        <f>IFERROR(C156*D156, "")</f>
        <v/>
      </c>
      <c r="M156" s="12">
        <f>IFERROR(L156-E156-F156+G156+H156+I156-J156-K156, "")</f>
        <v/>
      </c>
      <c r="N156" s="11">
        <f>IFERROR(_xll.ciqfunctions.udf.CIQ(mh_ticker, "IQ_EBITDA_EST", IQ_NTM, B156, , , "USD"), "")</f>
        <v/>
      </c>
      <c r="O156" s="13">
        <f>IFERROR(M156/N156, "")</f>
        <v/>
      </c>
    </row>
    <row r="157">
      <c r="B157" s="8" t="n"/>
      <c r="C157" s="9">
        <f>IFERROR(_xll.ciqfunctions.udf.CIQ(mh_ticker, "IQ_LASTSALEPRICE", B157), "")</f>
        <v/>
      </c>
      <c r="D157" s="10">
        <f>IFERROR(_xll.ciqfunctions.udf.CIQ(mh_ticker, "IQ_SHARESOUTSTANDING_OUT", B157), "")</f>
        <v/>
      </c>
      <c r="E157" s="11">
        <f>IFERROR(_xll.ciqfunctions.udf.CIQ(mh_ticker, "IQ_CASH_EQUIV", , B157), "")</f>
        <v/>
      </c>
      <c r="F157" s="11">
        <f>IFERROR(_xll.ciqfunctions.udf.CIQ(mh_ticker, "IQ_ST_INVEST", , B157), "")</f>
        <v/>
      </c>
      <c r="G157" s="11">
        <f>IFERROR(_xll.ciqfunctions.udf.CIQ(mh_ticker, "IQ_TOTAL_DEBT_EXCL_OPER_LEASES", , B157), "")</f>
        <v/>
      </c>
      <c r="H157" s="11">
        <f>IFERROR(_xll.ciqfunctions.udf.CIQ(mh_ticker, "IQ_PREF_EQUITY", , B157), "")</f>
        <v/>
      </c>
      <c r="I157" s="11">
        <f>IFERROR(_xll.ciqfunctions.udf.CIQ(mh_ticker, "IQ_MINORITY_INTEREST", , B157), "")</f>
        <v/>
      </c>
      <c r="J157" s="11">
        <f>IFERROR(_xll.ciqfunctions.udf.CIQ(mh_ticker, "IQ_EQUITY_METHOD", , B157), "")</f>
        <v/>
      </c>
      <c r="K157" s="11">
        <f>IFERROR(_xll.ciqfunctions.udf.CIQ(mh_ticker, "IQ_LT_Mark_Securities", , B157), "")</f>
        <v/>
      </c>
      <c r="L157" s="12">
        <f>IFERROR(C157*D157, "")</f>
        <v/>
      </c>
      <c r="M157" s="12">
        <f>IFERROR(L157-E157-F157+G157+H157+I157-J157-K157, "")</f>
        <v/>
      </c>
      <c r="N157" s="11">
        <f>IFERROR(_xll.ciqfunctions.udf.CIQ(mh_ticker, "IQ_EBITDA_EST", IQ_NTM, B157, , , "USD"), "")</f>
        <v/>
      </c>
      <c r="O157" s="13">
        <f>IFERROR(M157/N157, "")</f>
        <v/>
      </c>
    </row>
    <row r="158">
      <c r="B158" s="8" t="n"/>
      <c r="C158" s="9">
        <f>IFERROR(_xll.ciqfunctions.udf.CIQ(mh_ticker, "IQ_LASTSALEPRICE", B158), "")</f>
        <v/>
      </c>
      <c r="D158" s="10">
        <f>IFERROR(_xll.ciqfunctions.udf.CIQ(mh_ticker, "IQ_SHARESOUTSTANDING_OUT", B158), "")</f>
        <v/>
      </c>
      <c r="E158" s="11">
        <f>IFERROR(_xll.ciqfunctions.udf.CIQ(mh_ticker, "IQ_CASH_EQUIV", , B158), "")</f>
        <v/>
      </c>
      <c r="F158" s="11">
        <f>IFERROR(_xll.ciqfunctions.udf.CIQ(mh_ticker, "IQ_ST_INVEST", , B158), "")</f>
        <v/>
      </c>
      <c r="G158" s="11">
        <f>IFERROR(_xll.ciqfunctions.udf.CIQ(mh_ticker, "IQ_TOTAL_DEBT_EXCL_OPER_LEASES", , B158), "")</f>
        <v/>
      </c>
      <c r="H158" s="11">
        <f>IFERROR(_xll.ciqfunctions.udf.CIQ(mh_ticker, "IQ_PREF_EQUITY", , B158), "")</f>
        <v/>
      </c>
      <c r="I158" s="11">
        <f>IFERROR(_xll.ciqfunctions.udf.CIQ(mh_ticker, "IQ_MINORITY_INTEREST", , B158), "")</f>
        <v/>
      </c>
      <c r="J158" s="11">
        <f>IFERROR(_xll.ciqfunctions.udf.CIQ(mh_ticker, "IQ_EQUITY_METHOD", , B158), "")</f>
        <v/>
      </c>
      <c r="K158" s="11">
        <f>IFERROR(_xll.ciqfunctions.udf.CIQ(mh_ticker, "IQ_LT_Mark_Securities", , B158), "")</f>
        <v/>
      </c>
      <c r="L158" s="12">
        <f>IFERROR(C158*D158, "")</f>
        <v/>
      </c>
      <c r="M158" s="12">
        <f>IFERROR(L158-E158-F158+G158+H158+I158-J158-K158, "")</f>
        <v/>
      </c>
      <c r="N158" s="11">
        <f>IFERROR(_xll.ciqfunctions.udf.CIQ(mh_ticker, "IQ_EBITDA_EST", IQ_NTM, B158, , , "USD"), "")</f>
        <v/>
      </c>
      <c r="O158" s="13">
        <f>IFERROR(M158/N158, "")</f>
        <v/>
      </c>
    </row>
    <row r="159">
      <c r="B159" s="8" t="n"/>
      <c r="C159" s="9">
        <f>IFERROR(_xll.ciqfunctions.udf.CIQ(mh_ticker, "IQ_LASTSALEPRICE", B159), "")</f>
        <v/>
      </c>
      <c r="D159" s="10">
        <f>IFERROR(_xll.ciqfunctions.udf.CIQ(mh_ticker, "IQ_SHARESOUTSTANDING_OUT", B159), "")</f>
        <v/>
      </c>
      <c r="E159" s="11">
        <f>IFERROR(_xll.ciqfunctions.udf.CIQ(mh_ticker, "IQ_CASH_EQUIV", , B159), "")</f>
        <v/>
      </c>
      <c r="F159" s="11">
        <f>IFERROR(_xll.ciqfunctions.udf.CIQ(mh_ticker, "IQ_ST_INVEST", , B159), "")</f>
        <v/>
      </c>
      <c r="G159" s="11">
        <f>IFERROR(_xll.ciqfunctions.udf.CIQ(mh_ticker, "IQ_TOTAL_DEBT_EXCL_OPER_LEASES", , B159), "")</f>
        <v/>
      </c>
      <c r="H159" s="11">
        <f>IFERROR(_xll.ciqfunctions.udf.CIQ(mh_ticker, "IQ_PREF_EQUITY", , B159), "")</f>
        <v/>
      </c>
      <c r="I159" s="11">
        <f>IFERROR(_xll.ciqfunctions.udf.CIQ(mh_ticker, "IQ_MINORITY_INTEREST", , B159), "")</f>
        <v/>
      </c>
      <c r="J159" s="11">
        <f>IFERROR(_xll.ciqfunctions.udf.CIQ(mh_ticker, "IQ_EQUITY_METHOD", , B159), "")</f>
        <v/>
      </c>
      <c r="K159" s="11">
        <f>IFERROR(_xll.ciqfunctions.udf.CIQ(mh_ticker, "IQ_LT_Mark_Securities", , B159), "")</f>
        <v/>
      </c>
      <c r="L159" s="12">
        <f>IFERROR(C159*D159, "")</f>
        <v/>
      </c>
      <c r="M159" s="12">
        <f>IFERROR(L159-E159-F159+G159+H159+I159-J159-K159, "")</f>
        <v/>
      </c>
      <c r="N159" s="11">
        <f>IFERROR(_xll.ciqfunctions.udf.CIQ(mh_ticker, "IQ_EBITDA_EST", IQ_NTM, B159, , , "USD"), "")</f>
        <v/>
      </c>
      <c r="O159" s="13">
        <f>IFERROR(M159/N159, "")</f>
        <v/>
      </c>
    </row>
    <row r="160">
      <c r="B160" s="8" t="n"/>
      <c r="C160" s="9">
        <f>IFERROR(_xll.ciqfunctions.udf.CIQ(mh_ticker, "IQ_LASTSALEPRICE", B160), "")</f>
        <v/>
      </c>
      <c r="D160" s="10">
        <f>IFERROR(_xll.ciqfunctions.udf.CIQ(mh_ticker, "IQ_SHARESOUTSTANDING_OUT", B160), "")</f>
        <v/>
      </c>
      <c r="E160" s="11">
        <f>IFERROR(_xll.ciqfunctions.udf.CIQ(mh_ticker, "IQ_CASH_EQUIV", , B160), "")</f>
        <v/>
      </c>
      <c r="F160" s="11">
        <f>IFERROR(_xll.ciqfunctions.udf.CIQ(mh_ticker, "IQ_ST_INVEST", , B160), "")</f>
        <v/>
      </c>
      <c r="G160" s="11">
        <f>IFERROR(_xll.ciqfunctions.udf.CIQ(mh_ticker, "IQ_TOTAL_DEBT_EXCL_OPER_LEASES", , B160), "")</f>
        <v/>
      </c>
      <c r="H160" s="11">
        <f>IFERROR(_xll.ciqfunctions.udf.CIQ(mh_ticker, "IQ_PREF_EQUITY", , B160), "")</f>
        <v/>
      </c>
      <c r="I160" s="11">
        <f>IFERROR(_xll.ciqfunctions.udf.CIQ(mh_ticker, "IQ_MINORITY_INTEREST", , B160), "")</f>
        <v/>
      </c>
      <c r="J160" s="11">
        <f>IFERROR(_xll.ciqfunctions.udf.CIQ(mh_ticker, "IQ_EQUITY_METHOD", , B160), "")</f>
        <v/>
      </c>
      <c r="K160" s="11">
        <f>IFERROR(_xll.ciqfunctions.udf.CIQ(mh_ticker, "IQ_LT_Mark_Securities", , B160), "")</f>
        <v/>
      </c>
      <c r="L160" s="12">
        <f>IFERROR(C160*D160, "")</f>
        <v/>
      </c>
      <c r="M160" s="12">
        <f>IFERROR(L160-E160-F160+G160+H160+I160-J160-K160, "")</f>
        <v/>
      </c>
      <c r="N160" s="11">
        <f>IFERROR(_xll.ciqfunctions.udf.CIQ(mh_ticker, "IQ_EBITDA_EST", IQ_NTM, B160, , , "USD"), "")</f>
        <v/>
      </c>
      <c r="O160" s="13">
        <f>IFERROR(M160/N160, "")</f>
        <v/>
      </c>
    </row>
    <row r="161">
      <c r="B161" s="8" t="n"/>
      <c r="C161" s="9">
        <f>IFERROR(_xll.ciqfunctions.udf.CIQ(mh_ticker, "IQ_LASTSALEPRICE", B161), "")</f>
        <v/>
      </c>
      <c r="D161" s="10">
        <f>IFERROR(_xll.ciqfunctions.udf.CIQ(mh_ticker, "IQ_SHARESOUTSTANDING_OUT", B161), "")</f>
        <v/>
      </c>
      <c r="E161" s="11">
        <f>IFERROR(_xll.ciqfunctions.udf.CIQ(mh_ticker, "IQ_CASH_EQUIV", , B161), "")</f>
        <v/>
      </c>
      <c r="F161" s="11">
        <f>IFERROR(_xll.ciqfunctions.udf.CIQ(mh_ticker, "IQ_ST_INVEST", , B161), "")</f>
        <v/>
      </c>
      <c r="G161" s="11">
        <f>IFERROR(_xll.ciqfunctions.udf.CIQ(mh_ticker, "IQ_TOTAL_DEBT_EXCL_OPER_LEASES", , B161), "")</f>
        <v/>
      </c>
      <c r="H161" s="11">
        <f>IFERROR(_xll.ciqfunctions.udf.CIQ(mh_ticker, "IQ_PREF_EQUITY", , B161), "")</f>
        <v/>
      </c>
      <c r="I161" s="11">
        <f>IFERROR(_xll.ciqfunctions.udf.CIQ(mh_ticker, "IQ_MINORITY_INTEREST", , B161), "")</f>
        <v/>
      </c>
      <c r="J161" s="11">
        <f>IFERROR(_xll.ciqfunctions.udf.CIQ(mh_ticker, "IQ_EQUITY_METHOD", , B161), "")</f>
        <v/>
      </c>
      <c r="K161" s="11">
        <f>IFERROR(_xll.ciqfunctions.udf.CIQ(mh_ticker, "IQ_LT_Mark_Securities", , B161), "")</f>
        <v/>
      </c>
      <c r="L161" s="12">
        <f>IFERROR(C161*D161, "")</f>
        <v/>
      </c>
      <c r="M161" s="12">
        <f>IFERROR(L161-E161-F161+G161+H161+I161-J161-K161, "")</f>
        <v/>
      </c>
      <c r="N161" s="11">
        <f>IFERROR(_xll.ciqfunctions.udf.CIQ(mh_ticker, "IQ_EBITDA_EST", IQ_NTM, B161, , , "USD"), "")</f>
        <v/>
      </c>
      <c r="O161" s="13">
        <f>IFERROR(M161/N161, "")</f>
        <v/>
      </c>
    </row>
    <row r="162">
      <c r="B162" s="8" t="n"/>
      <c r="C162" s="9">
        <f>IFERROR(_xll.ciqfunctions.udf.CIQ(mh_ticker, "IQ_LASTSALEPRICE", B162), "")</f>
        <v/>
      </c>
      <c r="D162" s="10">
        <f>IFERROR(_xll.ciqfunctions.udf.CIQ(mh_ticker, "IQ_SHARESOUTSTANDING_OUT", B162), "")</f>
        <v/>
      </c>
      <c r="E162" s="11">
        <f>IFERROR(_xll.ciqfunctions.udf.CIQ(mh_ticker, "IQ_CASH_EQUIV", , B162), "")</f>
        <v/>
      </c>
      <c r="F162" s="11">
        <f>IFERROR(_xll.ciqfunctions.udf.CIQ(mh_ticker, "IQ_ST_INVEST", , B162), "")</f>
        <v/>
      </c>
      <c r="G162" s="11">
        <f>IFERROR(_xll.ciqfunctions.udf.CIQ(mh_ticker, "IQ_TOTAL_DEBT_EXCL_OPER_LEASES", , B162), "")</f>
        <v/>
      </c>
      <c r="H162" s="11">
        <f>IFERROR(_xll.ciqfunctions.udf.CIQ(mh_ticker, "IQ_PREF_EQUITY", , B162), "")</f>
        <v/>
      </c>
      <c r="I162" s="11">
        <f>IFERROR(_xll.ciqfunctions.udf.CIQ(mh_ticker, "IQ_MINORITY_INTEREST", , B162), "")</f>
        <v/>
      </c>
      <c r="J162" s="11">
        <f>IFERROR(_xll.ciqfunctions.udf.CIQ(mh_ticker, "IQ_EQUITY_METHOD", , B162), "")</f>
        <v/>
      </c>
      <c r="K162" s="11">
        <f>IFERROR(_xll.ciqfunctions.udf.CIQ(mh_ticker, "IQ_LT_Mark_Securities", , B162), "")</f>
        <v/>
      </c>
      <c r="L162" s="12">
        <f>IFERROR(C162*D162, "")</f>
        <v/>
      </c>
      <c r="M162" s="12">
        <f>IFERROR(L162-E162-F162+G162+H162+I162-J162-K162, "")</f>
        <v/>
      </c>
      <c r="N162" s="11">
        <f>IFERROR(_xll.ciqfunctions.udf.CIQ(mh_ticker, "IQ_EBITDA_EST", IQ_NTM, B162, , , "USD"), "")</f>
        <v/>
      </c>
      <c r="O162" s="13">
        <f>IFERROR(M162/N162, "")</f>
        <v/>
      </c>
    </row>
    <row r="163">
      <c r="B163" s="8" t="n"/>
      <c r="C163" s="9">
        <f>IFERROR(_xll.ciqfunctions.udf.CIQ(mh_ticker, "IQ_LASTSALEPRICE", B163), "")</f>
        <v/>
      </c>
      <c r="D163" s="10">
        <f>IFERROR(_xll.ciqfunctions.udf.CIQ(mh_ticker, "IQ_SHARESOUTSTANDING_OUT", B163), "")</f>
        <v/>
      </c>
      <c r="E163" s="11">
        <f>IFERROR(_xll.ciqfunctions.udf.CIQ(mh_ticker, "IQ_CASH_EQUIV", , B163), "")</f>
        <v/>
      </c>
      <c r="F163" s="11">
        <f>IFERROR(_xll.ciqfunctions.udf.CIQ(mh_ticker, "IQ_ST_INVEST", , B163), "")</f>
        <v/>
      </c>
      <c r="G163" s="11">
        <f>IFERROR(_xll.ciqfunctions.udf.CIQ(mh_ticker, "IQ_TOTAL_DEBT_EXCL_OPER_LEASES", , B163), "")</f>
        <v/>
      </c>
      <c r="H163" s="11">
        <f>IFERROR(_xll.ciqfunctions.udf.CIQ(mh_ticker, "IQ_PREF_EQUITY", , B163), "")</f>
        <v/>
      </c>
      <c r="I163" s="11">
        <f>IFERROR(_xll.ciqfunctions.udf.CIQ(mh_ticker, "IQ_MINORITY_INTEREST", , B163), "")</f>
        <v/>
      </c>
      <c r="J163" s="11">
        <f>IFERROR(_xll.ciqfunctions.udf.CIQ(mh_ticker, "IQ_EQUITY_METHOD", , B163), "")</f>
        <v/>
      </c>
      <c r="K163" s="11">
        <f>IFERROR(_xll.ciqfunctions.udf.CIQ(mh_ticker, "IQ_LT_Mark_Securities", , B163), "")</f>
        <v/>
      </c>
      <c r="L163" s="12">
        <f>IFERROR(C163*D163, "")</f>
        <v/>
      </c>
      <c r="M163" s="12">
        <f>IFERROR(L163-E163-F163+G163+H163+I163-J163-K163, "")</f>
        <v/>
      </c>
      <c r="N163" s="11">
        <f>IFERROR(_xll.ciqfunctions.udf.CIQ(mh_ticker, "IQ_EBITDA_EST", IQ_NTM, B163, , , "USD"), "")</f>
        <v/>
      </c>
      <c r="O163" s="13">
        <f>IFERROR(M163/N163, "")</f>
        <v/>
      </c>
    </row>
    <row r="164">
      <c r="B164" s="8" t="n"/>
      <c r="C164" s="9">
        <f>IFERROR(_xll.ciqfunctions.udf.CIQ(mh_ticker, "IQ_LASTSALEPRICE", B164), "")</f>
        <v/>
      </c>
      <c r="D164" s="10">
        <f>IFERROR(_xll.ciqfunctions.udf.CIQ(mh_ticker, "IQ_SHARESOUTSTANDING_OUT", B164), "")</f>
        <v/>
      </c>
      <c r="E164" s="11">
        <f>IFERROR(_xll.ciqfunctions.udf.CIQ(mh_ticker, "IQ_CASH_EQUIV", , B164), "")</f>
        <v/>
      </c>
      <c r="F164" s="11">
        <f>IFERROR(_xll.ciqfunctions.udf.CIQ(mh_ticker, "IQ_ST_INVEST", , B164), "")</f>
        <v/>
      </c>
      <c r="G164" s="11">
        <f>IFERROR(_xll.ciqfunctions.udf.CIQ(mh_ticker, "IQ_TOTAL_DEBT_EXCL_OPER_LEASES", , B164), "")</f>
        <v/>
      </c>
      <c r="H164" s="11">
        <f>IFERROR(_xll.ciqfunctions.udf.CIQ(mh_ticker, "IQ_PREF_EQUITY", , B164), "")</f>
        <v/>
      </c>
      <c r="I164" s="11">
        <f>IFERROR(_xll.ciqfunctions.udf.CIQ(mh_ticker, "IQ_MINORITY_INTEREST", , B164), "")</f>
        <v/>
      </c>
      <c r="J164" s="11">
        <f>IFERROR(_xll.ciqfunctions.udf.CIQ(mh_ticker, "IQ_EQUITY_METHOD", , B164), "")</f>
        <v/>
      </c>
      <c r="K164" s="11">
        <f>IFERROR(_xll.ciqfunctions.udf.CIQ(mh_ticker, "IQ_LT_Mark_Securities", , B164), "")</f>
        <v/>
      </c>
      <c r="L164" s="12">
        <f>IFERROR(C164*D164, "")</f>
        <v/>
      </c>
      <c r="M164" s="12">
        <f>IFERROR(L164-E164-F164+G164+H164+I164-J164-K164, "")</f>
        <v/>
      </c>
      <c r="N164" s="11">
        <f>IFERROR(_xll.ciqfunctions.udf.CIQ(mh_ticker, "IQ_EBITDA_EST", IQ_NTM, B164, , , "USD"), "")</f>
        <v/>
      </c>
      <c r="O164" s="13">
        <f>IFERROR(M164/N164, "")</f>
        <v/>
      </c>
    </row>
    <row r="165">
      <c r="B165" s="8" t="n"/>
      <c r="C165" s="9">
        <f>IFERROR(_xll.ciqfunctions.udf.CIQ(mh_ticker, "IQ_LASTSALEPRICE", B165), "")</f>
        <v/>
      </c>
      <c r="D165" s="10">
        <f>IFERROR(_xll.ciqfunctions.udf.CIQ(mh_ticker, "IQ_SHARESOUTSTANDING_OUT", B165), "")</f>
        <v/>
      </c>
      <c r="E165" s="11">
        <f>IFERROR(_xll.ciqfunctions.udf.CIQ(mh_ticker, "IQ_CASH_EQUIV", , B165), "")</f>
        <v/>
      </c>
      <c r="F165" s="11">
        <f>IFERROR(_xll.ciqfunctions.udf.CIQ(mh_ticker, "IQ_ST_INVEST", , B165), "")</f>
        <v/>
      </c>
      <c r="G165" s="11">
        <f>IFERROR(_xll.ciqfunctions.udf.CIQ(mh_ticker, "IQ_TOTAL_DEBT_EXCL_OPER_LEASES", , B165), "")</f>
        <v/>
      </c>
      <c r="H165" s="11">
        <f>IFERROR(_xll.ciqfunctions.udf.CIQ(mh_ticker, "IQ_PREF_EQUITY", , B165), "")</f>
        <v/>
      </c>
      <c r="I165" s="11">
        <f>IFERROR(_xll.ciqfunctions.udf.CIQ(mh_ticker, "IQ_MINORITY_INTEREST", , B165), "")</f>
        <v/>
      </c>
      <c r="J165" s="11">
        <f>IFERROR(_xll.ciqfunctions.udf.CIQ(mh_ticker, "IQ_EQUITY_METHOD", , B165), "")</f>
        <v/>
      </c>
      <c r="K165" s="11">
        <f>IFERROR(_xll.ciqfunctions.udf.CIQ(mh_ticker, "IQ_LT_Mark_Securities", , B165), "")</f>
        <v/>
      </c>
      <c r="L165" s="12">
        <f>IFERROR(C165*D165, "")</f>
        <v/>
      </c>
      <c r="M165" s="12">
        <f>IFERROR(L165-E165-F165+G165+H165+I165-J165-K165, "")</f>
        <v/>
      </c>
      <c r="N165" s="11">
        <f>IFERROR(_xll.ciqfunctions.udf.CIQ(mh_ticker, "IQ_EBITDA_EST", IQ_NTM, B165, , , "USD"), "")</f>
        <v/>
      </c>
      <c r="O165" s="13">
        <f>IFERROR(M165/N165, "")</f>
        <v/>
      </c>
    </row>
    <row r="166">
      <c r="B166" s="8" t="n"/>
      <c r="C166" s="9">
        <f>IFERROR(_xll.ciqfunctions.udf.CIQ(mh_ticker, "IQ_LASTSALEPRICE", B166), "")</f>
        <v/>
      </c>
      <c r="D166" s="10">
        <f>IFERROR(_xll.ciqfunctions.udf.CIQ(mh_ticker, "IQ_SHARESOUTSTANDING_OUT", B166), "")</f>
        <v/>
      </c>
      <c r="E166" s="11">
        <f>IFERROR(_xll.ciqfunctions.udf.CIQ(mh_ticker, "IQ_CASH_EQUIV", , B166), "")</f>
        <v/>
      </c>
      <c r="F166" s="11">
        <f>IFERROR(_xll.ciqfunctions.udf.CIQ(mh_ticker, "IQ_ST_INVEST", , B166), "")</f>
        <v/>
      </c>
      <c r="G166" s="11">
        <f>IFERROR(_xll.ciqfunctions.udf.CIQ(mh_ticker, "IQ_TOTAL_DEBT_EXCL_OPER_LEASES", , B166), "")</f>
        <v/>
      </c>
      <c r="H166" s="11">
        <f>IFERROR(_xll.ciqfunctions.udf.CIQ(mh_ticker, "IQ_PREF_EQUITY", , B166), "")</f>
        <v/>
      </c>
      <c r="I166" s="11">
        <f>IFERROR(_xll.ciqfunctions.udf.CIQ(mh_ticker, "IQ_MINORITY_INTEREST", , B166), "")</f>
        <v/>
      </c>
      <c r="J166" s="11">
        <f>IFERROR(_xll.ciqfunctions.udf.CIQ(mh_ticker, "IQ_EQUITY_METHOD", , B166), "")</f>
        <v/>
      </c>
      <c r="K166" s="11">
        <f>IFERROR(_xll.ciqfunctions.udf.CIQ(mh_ticker, "IQ_LT_Mark_Securities", , B166), "")</f>
        <v/>
      </c>
      <c r="L166" s="12">
        <f>IFERROR(C166*D166, "")</f>
        <v/>
      </c>
      <c r="M166" s="12">
        <f>IFERROR(L166-E166-F166+G166+H166+I166-J166-K166, "")</f>
        <v/>
      </c>
      <c r="N166" s="11">
        <f>IFERROR(_xll.ciqfunctions.udf.CIQ(mh_ticker, "IQ_EBITDA_EST", IQ_NTM, B166, , , "USD"), "")</f>
        <v/>
      </c>
      <c r="O166" s="13">
        <f>IFERROR(M166/N166, "")</f>
        <v/>
      </c>
    </row>
    <row r="167">
      <c r="B167" s="8" t="n"/>
      <c r="C167" s="9">
        <f>IFERROR(_xll.ciqfunctions.udf.CIQ(mh_ticker, "IQ_LASTSALEPRICE", B167), "")</f>
        <v/>
      </c>
      <c r="D167" s="10">
        <f>IFERROR(_xll.ciqfunctions.udf.CIQ(mh_ticker, "IQ_SHARESOUTSTANDING_OUT", B167), "")</f>
        <v/>
      </c>
      <c r="E167" s="11">
        <f>IFERROR(_xll.ciqfunctions.udf.CIQ(mh_ticker, "IQ_CASH_EQUIV", , B167), "")</f>
        <v/>
      </c>
      <c r="F167" s="11">
        <f>IFERROR(_xll.ciqfunctions.udf.CIQ(mh_ticker, "IQ_ST_INVEST", , B167), "")</f>
        <v/>
      </c>
      <c r="G167" s="11">
        <f>IFERROR(_xll.ciqfunctions.udf.CIQ(mh_ticker, "IQ_TOTAL_DEBT_EXCL_OPER_LEASES", , B167), "")</f>
        <v/>
      </c>
      <c r="H167" s="11">
        <f>IFERROR(_xll.ciqfunctions.udf.CIQ(mh_ticker, "IQ_PREF_EQUITY", , B167), "")</f>
        <v/>
      </c>
      <c r="I167" s="11">
        <f>IFERROR(_xll.ciqfunctions.udf.CIQ(mh_ticker, "IQ_MINORITY_INTEREST", , B167), "")</f>
        <v/>
      </c>
      <c r="J167" s="11">
        <f>IFERROR(_xll.ciqfunctions.udf.CIQ(mh_ticker, "IQ_EQUITY_METHOD", , B167), "")</f>
        <v/>
      </c>
      <c r="K167" s="11">
        <f>IFERROR(_xll.ciqfunctions.udf.CIQ(mh_ticker, "IQ_LT_Mark_Securities", , B167), "")</f>
        <v/>
      </c>
      <c r="L167" s="12">
        <f>IFERROR(C167*D167, "")</f>
        <v/>
      </c>
      <c r="M167" s="12">
        <f>IFERROR(L167-E167-F167+G167+H167+I167-J167-K167, "")</f>
        <v/>
      </c>
      <c r="N167" s="11">
        <f>IFERROR(_xll.ciqfunctions.udf.CIQ(mh_ticker, "IQ_EBITDA_EST", IQ_NTM, B167, , , "USD"), "")</f>
        <v/>
      </c>
      <c r="O167" s="13">
        <f>IFERROR(M167/N167, "")</f>
        <v/>
      </c>
    </row>
    <row r="168">
      <c r="B168" s="8" t="n"/>
      <c r="C168" s="9">
        <f>IFERROR(_xll.ciqfunctions.udf.CIQ(mh_ticker, "IQ_LASTSALEPRICE", B168), "")</f>
        <v/>
      </c>
      <c r="D168" s="10">
        <f>IFERROR(_xll.ciqfunctions.udf.CIQ(mh_ticker, "IQ_SHARESOUTSTANDING_OUT", B168), "")</f>
        <v/>
      </c>
      <c r="E168" s="11">
        <f>IFERROR(_xll.ciqfunctions.udf.CIQ(mh_ticker, "IQ_CASH_EQUIV", , B168), "")</f>
        <v/>
      </c>
      <c r="F168" s="11">
        <f>IFERROR(_xll.ciqfunctions.udf.CIQ(mh_ticker, "IQ_ST_INVEST", , B168), "")</f>
        <v/>
      </c>
      <c r="G168" s="11">
        <f>IFERROR(_xll.ciqfunctions.udf.CIQ(mh_ticker, "IQ_TOTAL_DEBT_EXCL_OPER_LEASES", , B168), "")</f>
        <v/>
      </c>
      <c r="H168" s="11">
        <f>IFERROR(_xll.ciqfunctions.udf.CIQ(mh_ticker, "IQ_PREF_EQUITY", , B168), "")</f>
        <v/>
      </c>
      <c r="I168" s="11">
        <f>IFERROR(_xll.ciqfunctions.udf.CIQ(mh_ticker, "IQ_MINORITY_INTEREST", , B168), "")</f>
        <v/>
      </c>
      <c r="J168" s="11">
        <f>IFERROR(_xll.ciqfunctions.udf.CIQ(mh_ticker, "IQ_EQUITY_METHOD", , B168), "")</f>
        <v/>
      </c>
      <c r="K168" s="11">
        <f>IFERROR(_xll.ciqfunctions.udf.CIQ(mh_ticker, "IQ_LT_Mark_Securities", , B168), "")</f>
        <v/>
      </c>
      <c r="L168" s="12">
        <f>IFERROR(C168*D168, "")</f>
        <v/>
      </c>
      <c r="M168" s="12">
        <f>IFERROR(L168-E168-F168+G168+H168+I168-J168-K168, "")</f>
        <v/>
      </c>
      <c r="N168" s="11">
        <f>IFERROR(_xll.ciqfunctions.udf.CIQ(mh_ticker, "IQ_EBITDA_EST", IQ_NTM, B168, , , "USD"), "")</f>
        <v/>
      </c>
      <c r="O168" s="13">
        <f>IFERROR(M168/N168, "")</f>
        <v/>
      </c>
    </row>
    <row r="169">
      <c r="B169" s="8" t="n"/>
      <c r="C169" s="9">
        <f>IFERROR(_xll.ciqfunctions.udf.CIQ(mh_ticker, "IQ_LASTSALEPRICE", B169), "")</f>
        <v/>
      </c>
      <c r="D169" s="10">
        <f>IFERROR(_xll.ciqfunctions.udf.CIQ(mh_ticker, "IQ_SHARESOUTSTANDING_OUT", B169), "")</f>
        <v/>
      </c>
      <c r="E169" s="11">
        <f>IFERROR(_xll.ciqfunctions.udf.CIQ(mh_ticker, "IQ_CASH_EQUIV", , B169), "")</f>
        <v/>
      </c>
      <c r="F169" s="11">
        <f>IFERROR(_xll.ciqfunctions.udf.CIQ(mh_ticker, "IQ_ST_INVEST", , B169), "")</f>
        <v/>
      </c>
      <c r="G169" s="11">
        <f>IFERROR(_xll.ciqfunctions.udf.CIQ(mh_ticker, "IQ_TOTAL_DEBT_EXCL_OPER_LEASES", , B169), "")</f>
        <v/>
      </c>
      <c r="H169" s="11">
        <f>IFERROR(_xll.ciqfunctions.udf.CIQ(mh_ticker, "IQ_PREF_EQUITY", , B169), "")</f>
        <v/>
      </c>
      <c r="I169" s="11">
        <f>IFERROR(_xll.ciqfunctions.udf.CIQ(mh_ticker, "IQ_MINORITY_INTEREST", , B169), "")</f>
        <v/>
      </c>
      <c r="J169" s="11">
        <f>IFERROR(_xll.ciqfunctions.udf.CIQ(mh_ticker, "IQ_EQUITY_METHOD", , B169), "")</f>
        <v/>
      </c>
      <c r="K169" s="11">
        <f>IFERROR(_xll.ciqfunctions.udf.CIQ(mh_ticker, "IQ_LT_Mark_Securities", , B169), "")</f>
        <v/>
      </c>
      <c r="L169" s="12">
        <f>IFERROR(C169*D169, "")</f>
        <v/>
      </c>
      <c r="M169" s="12">
        <f>IFERROR(L169-E169-F169+G169+H169+I169-J169-K169, "")</f>
        <v/>
      </c>
      <c r="N169" s="11">
        <f>IFERROR(_xll.ciqfunctions.udf.CIQ(mh_ticker, "IQ_EBITDA_EST", IQ_NTM, B169, , , "USD"), "")</f>
        <v/>
      </c>
      <c r="O169" s="13">
        <f>IFERROR(M169/N169, "")</f>
        <v/>
      </c>
    </row>
    <row r="170">
      <c r="B170" s="8" t="n"/>
      <c r="C170" s="9">
        <f>IFERROR(_xll.ciqfunctions.udf.CIQ(mh_ticker, "IQ_LASTSALEPRICE", B170), "")</f>
        <v/>
      </c>
      <c r="D170" s="10">
        <f>IFERROR(_xll.ciqfunctions.udf.CIQ(mh_ticker, "IQ_SHARESOUTSTANDING_OUT", B170), "")</f>
        <v/>
      </c>
      <c r="E170" s="11">
        <f>IFERROR(_xll.ciqfunctions.udf.CIQ(mh_ticker, "IQ_CASH_EQUIV", , B170), "")</f>
        <v/>
      </c>
      <c r="F170" s="11">
        <f>IFERROR(_xll.ciqfunctions.udf.CIQ(mh_ticker, "IQ_ST_INVEST", , B170), "")</f>
        <v/>
      </c>
      <c r="G170" s="11">
        <f>IFERROR(_xll.ciqfunctions.udf.CIQ(mh_ticker, "IQ_TOTAL_DEBT_EXCL_OPER_LEASES", , B170), "")</f>
        <v/>
      </c>
      <c r="H170" s="11">
        <f>IFERROR(_xll.ciqfunctions.udf.CIQ(mh_ticker, "IQ_PREF_EQUITY", , B170), "")</f>
        <v/>
      </c>
      <c r="I170" s="11">
        <f>IFERROR(_xll.ciqfunctions.udf.CIQ(mh_ticker, "IQ_MINORITY_INTEREST", , B170), "")</f>
        <v/>
      </c>
      <c r="J170" s="11">
        <f>IFERROR(_xll.ciqfunctions.udf.CIQ(mh_ticker, "IQ_EQUITY_METHOD", , B170), "")</f>
        <v/>
      </c>
      <c r="K170" s="11">
        <f>IFERROR(_xll.ciqfunctions.udf.CIQ(mh_ticker, "IQ_LT_Mark_Securities", , B170), "")</f>
        <v/>
      </c>
      <c r="L170" s="12">
        <f>IFERROR(C170*D170, "")</f>
        <v/>
      </c>
      <c r="M170" s="12">
        <f>IFERROR(L170-E170-F170+G170+H170+I170-J170-K170, "")</f>
        <v/>
      </c>
      <c r="N170" s="11">
        <f>IFERROR(_xll.ciqfunctions.udf.CIQ(mh_ticker, "IQ_EBITDA_EST", IQ_NTM, B170, , , "USD"), "")</f>
        <v/>
      </c>
      <c r="O170" s="13">
        <f>IFERROR(M170/N170, "")</f>
        <v/>
      </c>
    </row>
    <row r="171">
      <c r="B171" s="8" t="n"/>
      <c r="C171" s="9">
        <f>IFERROR(_xll.ciqfunctions.udf.CIQ(mh_ticker, "IQ_LASTSALEPRICE", B171), "")</f>
        <v/>
      </c>
      <c r="D171" s="10">
        <f>IFERROR(_xll.ciqfunctions.udf.CIQ(mh_ticker, "IQ_SHARESOUTSTANDING_OUT", B171), "")</f>
        <v/>
      </c>
      <c r="E171" s="11">
        <f>IFERROR(_xll.ciqfunctions.udf.CIQ(mh_ticker, "IQ_CASH_EQUIV", , B171), "")</f>
        <v/>
      </c>
      <c r="F171" s="11">
        <f>IFERROR(_xll.ciqfunctions.udf.CIQ(mh_ticker, "IQ_ST_INVEST", , B171), "")</f>
        <v/>
      </c>
      <c r="G171" s="11">
        <f>IFERROR(_xll.ciqfunctions.udf.CIQ(mh_ticker, "IQ_TOTAL_DEBT_EXCL_OPER_LEASES", , B171), "")</f>
        <v/>
      </c>
      <c r="H171" s="11">
        <f>IFERROR(_xll.ciqfunctions.udf.CIQ(mh_ticker, "IQ_PREF_EQUITY", , B171), "")</f>
        <v/>
      </c>
      <c r="I171" s="11">
        <f>IFERROR(_xll.ciqfunctions.udf.CIQ(mh_ticker, "IQ_MINORITY_INTEREST", , B171), "")</f>
        <v/>
      </c>
      <c r="J171" s="11">
        <f>IFERROR(_xll.ciqfunctions.udf.CIQ(mh_ticker, "IQ_EQUITY_METHOD", , B171), "")</f>
        <v/>
      </c>
      <c r="K171" s="11">
        <f>IFERROR(_xll.ciqfunctions.udf.CIQ(mh_ticker, "IQ_LT_Mark_Securities", , B171), "")</f>
        <v/>
      </c>
      <c r="L171" s="12">
        <f>IFERROR(C171*D171, "")</f>
        <v/>
      </c>
      <c r="M171" s="12">
        <f>IFERROR(L171-E171-F171+G171+H171+I171-J171-K171, "")</f>
        <v/>
      </c>
      <c r="N171" s="11">
        <f>IFERROR(_xll.ciqfunctions.udf.CIQ(mh_ticker, "IQ_EBITDA_EST", IQ_NTM, B171, , , "USD"), "")</f>
        <v/>
      </c>
      <c r="O171" s="13">
        <f>IFERROR(M171/N171, "")</f>
        <v/>
      </c>
    </row>
    <row r="172">
      <c r="B172" s="8" t="n"/>
      <c r="C172" s="9">
        <f>IFERROR(_xll.ciqfunctions.udf.CIQ(mh_ticker, "IQ_LASTSALEPRICE", B172), "")</f>
        <v/>
      </c>
      <c r="D172" s="10">
        <f>IFERROR(_xll.ciqfunctions.udf.CIQ(mh_ticker, "IQ_SHARESOUTSTANDING_OUT", B172), "")</f>
        <v/>
      </c>
      <c r="E172" s="11">
        <f>IFERROR(_xll.ciqfunctions.udf.CIQ(mh_ticker, "IQ_CASH_EQUIV", , B172), "")</f>
        <v/>
      </c>
      <c r="F172" s="11">
        <f>IFERROR(_xll.ciqfunctions.udf.CIQ(mh_ticker, "IQ_ST_INVEST", , B172), "")</f>
        <v/>
      </c>
      <c r="G172" s="11">
        <f>IFERROR(_xll.ciqfunctions.udf.CIQ(mh_ticker, "IQ_TOTAL_DEBT_EXCL_OPER_LEASES", , B172), "")</f>
        <v/>
      </c>
      <c r="H172" s="11">
        <f>IFERROR(_xll.ciqfunctions.udf.CIQ(mh_ticker, "IQ_PREF_EQUITY", , B172), "")</f>
        <v/>
      </c>
      <c r="I172" s="11">
        <f>IFERROR(_xll.ciqfunctions.udf.CIQ(mh_ticker, "IQ_MINORITY_INTEREST", , B172), "")</f>
        <v/>
      </c>
      <c r="J172" s="11">
        <f>IFERROR(_xll.ciqfunctions.udf.CIQ(mh_ticker, "IQ_EQUITY_METHOD", , B172), "")</f>
        <v/>
      </c>
      <c r="K172" s="11">
        <f>IFERROR(_xll.ciqfunctions.udf.CIQ(mh_ticker, "IQ_LT_Mark_Securities", , B172), "")</f>
        <v/>
      </c>
      <c r="L172" s="12">
        <f>IFERROR(C172*D172, "")</f>
        <v/>
      </c>
      <c r="M172" s="12">
        <f>IFERROR(L172-E172-F172+G172+H172+I172-J172-K172, "")</f>
        <v/>
      </c>
      <c r="N172" s="11">
        <f>IFERROR(_xll.ciqfunctions.udf.CIQ(mh_ticker, "IQ_EBITDA_EST", IQ_NTM, B172, , , "USD"), "")</f>
        <v/>
      </c>
      <c r="O172" s="13">
        <f>IFERROR(M172/N172, "")</f>
        <v/>
      </c>
    </row>
    <row r="173">
      <c r="B173" s="8" t="n"/>
      <c r="C173" s="9">
        <f>IFERROR(_xll.ciqfunctions.udf.CIQ(mh_ticker, "IQ_LASTSALEPRICE", B173), "")</f>
        <v/>
      </c>
      <c r="D173" s="10">
        <f>IFERROR(_xll.ciqfunctions.udf.CIQ(mh_ticker, "IQ_SHARESOUTSTANDING_OUT", B173), "")</f>
        <v/>
      </c>
      <c r="E173" s="11">
        <f>IFERROR(_xll.ciqfunctions.udf.CIQ(mh_ticker, "IQ_CASH_EQUIV", , B173), "")</f>
        <v/>
      </c>
      <c r="F173" s="11">
        <f>IFERROR(_xll.ciqfunctions.udf.CIQ(mh_ticker, "IQ_ST_INVEST", , B173), "")</f>
        <v/>
      </c>
      <c r="G173" s="11">
        <f>IFERROR(_xll.ciqfunctions.udf.CIQ(mh_ticker, "IQ_TOTAL_DEBT_EXCL_OPER_LEASES", , B173), "")</f>
        <v/>
      </c>
      <c r="H173" s="11">
        <f>IFERROR(_xll.ciqfunctions.udf.CIQ(mh_ticker, "IQ_PREF_EQUITY", , B173), "")</f>
        <v/>
      </c>
      <c r="I173" s="11">
        <f>IFERROR(_xll.ciqfunctions.udf.CIQ(mh_ticker, "IQ_MINORITY_INTEREST", , B173), "")</f>
        <v/>
      </c>
      <c r="J173" s="11">
        <f>IFERROR(_xll.ciqfunctions.udf.CIQ(mh_ticker, "IQ_EQUITY_METHOD", , B173), "")</f>
        <v/>
      </c>
      <c r="K173" s="11">
        <f>IFERROR(_xll.ciqfunctions.udf.CIQ(mh_ticker, "IQ_LT_Mark_Securities", , B173), "")</f>
        <v/>
      </c>
      <c r="L173" s="12">
        <f>IFERROR(C173*D173, "")</f>
        <v/>
      </c>
      <c r="M173" s="12">
        <f>IFERROR(L173-E173-F173+G173+H173+I173-J173-K173, "")</f>
        <v/>
      </c>
      <c r="N173" s="11">
        <f>IFERROR(_xll.ciqfunctions.udf.CIQ(mh_ticker, "IQ_EBITDA_EST", IQ_NTM, B173, , , "USD"), "")</f>
        <v/>
      </c>
      <c r="O173" s="13">
        <f>IFERROR(M173/N173, "")</f>
        <v/>
      </c>
    </row>
    <row r="174">
      <c r="B174" s="8" t="n"/>
      <c r="C174" s="9">
        <f>IFERROR(_xll.ciqfunctions.udf.CIQ(mh_ticker, "IQ_LASTSALEPRICE", B174), "")</f>
        <v/>
      </c>
      <c r="D174" s="10">
        <f>IFERROR(_xll.ciqfunctions.udf.CIQ(mh_ticker, "IQ_SHARESOUTSTANDING_OUT", B174), "")</f>
        <v/>
      </c>
      <c r="E174" s="11">
        <f>IFERROR(_xll.ciqfunctions.udf.CIQ(mh_ticker, "IQ_CASH_EQUIV", , B174), "")</f>
        <v/>
      </c>
      <c r="F174" s="11">
        <f>IFERROR(_xll.ciqfunctions.udf.CIQ(mh_ticker, "IQ_ST_INVEST", , B174), "")</f>
        <v/>
      </c>
      <c r="G174" s="11">
        <f>IFERROR(_xll.ciqfunctions.udf.CIQ(mh_ticker, "IQ_TOTAL_DEBT_EXCL_OPER_LEASES", , B174), "")</f>
        <v/>
      </c>
      <c r="H174" s="11">
        <f>IFERROR(_xll.ciqfunctions.udf.CIQ(mh_ticker, "IQ_PREF_EQUITY", , B174), "")</f>
        <v/>
      </c>
      <c r="I174" s="11">
        <f>IFERROR(_xll.ciqfunctions.udf.CIQ(mh_ticker, "IQ_MINORITY_INTEREST", , B174), "")</f>
        <v/>
      </c>
      <c r="J174" s="11">
        <f>IFERROR(_xll.ciqfunctions.udf.CIQ(mh_ticker, "IQ_EQUITY_METHOD", , B174), "")</f>
        <v/>
      </c>
      <c r="K174" s="11">
        <f>IFERROR(_xll.ciqfunctions.udf.CIQ(mh_ticker, "IQ_LT_Mark_Securities", , B174), "")</f>
        <v/>
      </c>
      <c r="L174" s="12">
        <f>IFERROR(C174*D174, "")</f>
        <v/>
      </c>
      <c r="M174" s="12">
        <f>IFERROR(L174-E174-F174+G174+H174+I174-J174-K174, "")</f>
        <v/>
      </c>
      <c r="N174" s="11">
        <f>IFERROR(_xll.ciqfunctions.udf.CIQ(mh_ticker, "IQ_EBITDA_EST", IQ_NTM, B174, , , "USD"), "")</f>
        <v/>
      </c>
      <c r="O174" s="13">
        <f>IFERROR(M174/N174, "")</f>
        <v/>
      </c>
    </row>
    <row r="175">
      <c r="B175" s="8" t="n"/>
      <c r="C175" s="9">
        <f>IFERROR(_xll.ciqfunctions.udf.CIQ(mh_ticker, "IQ_LASTSALEPRICE", B175), "")</f>
        <v/>
      </c>
      <c r="D175" s="10">
        <f>IFERROR(_xll.ciqfunctions.udf.CIQ(mh_ticker, "IQ_SHARESOUTSTANDING_OUT", B175), "")</f>
        <v/>
      </c>
      <c r="E175" s="11">
        <f>IFERROR(_xll.ciqfunctions.udf.CIQ(mh_ticker, "IQ_CASH_EQUIV", , B175), "")</f>
        <v/>
      </c>
      <c r="F175" s="11">
        <f>IFERROR(_xll.ciqfunctions.udf.CIQ(mh_ticker, "IQ_ST_INVEST", , B175), "")</f>
        <v/>
      </c>
      <c r="G175" s="11">
        <f>IFERROR(_xll.ciqfunctions.udf.CIQ(mh_ticker, "IQ_TOTAL_DEBT_EXCL_OPER_LEASES", , B175), "")</f>
        <v/>
      </c>
      <c r="H175" s="11">
        <f>IFERROR(_xll.ciqfunctions.udf.CIQ(mh_ticker, "IQ_PREF_EQUITY", , B175), "")</f>
        <v/>
      </c>
      <c r="I175" s="11">
        <f>IFERROR(_xll.ciqfunctions.udf.CIQ(mh_ticker, "IQ_MINORITY_INTEREST", , B175), "")</f>
        <v/>
      </c>
      <c r="J175" s="11">
        <f>IFERROR(_xll.ciqfunctions.udf.CIQ(mh_ticker, "IQ_EQUITY_METHOD", , B175), "")</f>
        <v/>
      </c>
      <c r="K175" s="11">
        <f>IFERROR(_xll.ciqfunctions.udf.CIQ(mh_ticker, "IQ_LT_Mark_Securities", , B175), "")</f>
        <v/>
      </c>
      <c r="L175" s="12">
        <f>IFERROR(C175*D175, "")</f>
        <v/>
      </c>
      <c r="M175" s="12">
        <f>IFERROR(L175-E175-F175+G175+H175+I175-J175-K175, "")</f>
        <v/>
      </c>
      <c r="N175" s="11">
        <f>IFERROR(_xll.ciqfunctions.udf.CIQ(mh_ticker, "IQ_EBITDA_EST", IQ_NTM, B175, , , "USD"), "")</f>
        <v/>
      </c>
      <c r="O175" s="13">
        <f>IFERROR(M175/N175, "")</f>
        <v/>
      </c>
    </row>
    <row r="176">
      <c r="B176" s="8" t="n"/>
      <c r="C176" s="9">
        <f>IFERROR(_xll.ciqfunctions.udf.CIQ(mh_ticker, "IQ_LASTSALEPRICE", B176), "")</f>
        <v/>
      </c>
      <c r="D176" s="10">
        <f>IFERROR(_xll.ciqfunctions.udf.CIQ(mh_ticker, "IQ_SHARESOUTSTANDING_OUT", B176), "")</f>
        <v/>
      </c>
      <c r="E176" s="11">
        <f>IFERROR(_xll.ciqfunctions.udf.CIQ(mh_ticker, "IQ_CASH_EQUIV", , B176), "")</f>
        <v/>
      </c>
      <c r="F176" s="11">
        <f>IFERROR(_xll.ciqfunctions.udf.CIQ(mh_ticker, "IQ_ST_INVEST", , B176), "")</f>
        <v/>
      </c>
      <c r="G176" s="11">
        <f>IFERROR(_xll.ciqfunctions.udf.CIQ(mh_ticker, "IQ_TOTAL_DEBT_EXCL_OPER_LEASES", , B176), "")</f>
        <v/>
      </c>
      <c r="H176" s="11">
        <f>IFERROR(_xll.ciqfunctions.udf.CIQ(mh_ticker, "IQ_PREF_EQUITY", , B176), "")</f>
        <v/>
      </c>
      <c r="I176" s="11">
        <f>IFERROR(_xll.ciqfunctions.udf.CIQ(mh_ticker, "IQ_MINORITY_INTEREST", , B176), "")</f>
        <v/>
      </c>
      <c r="J176" s="11">
        <f>IFERROR(_xll.ciqfunctions.udf.CIQ(mh_ticker, "IQ_EQUITY_METHOD", , B176), "")</f>
        <v/>
      </c>
      <c r="K176" s="11">
        <f>IFERROR(_xll.ciqfunctions.udf.CIQ(mh_ticker, "IQ_LT_Mark_Securities", , B176), "")</f>
        <v/>
      </c>
      <c r="L176" s="12">
        <f>IFERROR(C176*D176, "")</f>
        <v/>
      </c>
      <c r="M176" s="12">
        <f>IFERROR(L176-E176-F176+G176+H176+I176-J176-K176, "")</f>
        <v/>
      </c>
      <c r="N176" s="11">
        <f>IFERROR(_xll.ciqfunctions.udf.CIQ(mh_ticker, "IQ_EBITDA_EST", IQ_NTM, B176, , , "USD"), "")</f>
        <v/>
      </c>
      <c r="O176" s="13">
        <f>IFERROR(M176/N176, "")</f>
        <v/>
      </c>
    </row>
    <row r="177">
      <c r="B177" s="8" t="n"/>
      <c r="C177" s="9">
        <f>IFERROR(_xll.ciqfunctions.udf.CIQ(mh_ticker, "IQ_LASTSALEPRICE", B177), "")</f>
        <v/>
      </c>
      <c r="D177" s="10">
        <f>IFERROR(_xll.ciqfunctions.udf.CIQ(mh_ticker, "IQ_SHARESOUTSTANDING_OUT", B177), "")</f>
        <v/>
      </c>
      <c r="E177" s="11">
        <f>IFERROR(_xll.ciqfunctions.udf.CIQ(mh_ticker, "IQ_CASH_EQUIV", , B177), "")</f>
        <v/>
      </c>
      <c r="F177" s="11">
        <f>IFERROR(_xll.ciqfunctions.udf.CIQ(mh_ticker, "IQ_ST_INVEST", , B177), "")</f>
        <v/>
      </c>
      <c r="G177" s="11">
        <f>IFERROR(_xll.ciqfunctions.udf.CIQ(mh_ticker, "IQ_TOTAL_DEBT_EXCL_OPER_LEASES", , B177), "")</f>
        <v/>
      </c>
      <c r="H177" s="11">
        <f>IFERROR(_xll.ciqfunctions.udf.CIQ(mh_ticker, "IQ_PREF_EQUITY", , B177), "")</f>
        <v/>
      </c>
      <c r="I177" s="11">
        <f>IFERROR(_xll.ciqfunctions.udf.CIQ(mh_ticker, "IQ_MINORITY_INTEREST", , B177), "")</f>
        <v/>
      </c>
      <c r="J177" s="11">
        <f>IFERROR(_xll.ciqfunctions.udf.CIQ(mh_ticker, "IQ_EQUITY_METHOD", , B177), "")</f>
        <v/>
      </c>
      <c r="K177" s="11">
        <f>IFERROR(_xll.ciqfunctions.udf.CIQ(mh_ticker, "IQ_LT_Mark_Securities", , B177), "")</f>
        <v/>
      </c>
      <c r="L177" s="12">
        <f>IFERROR(C177*D177, "")</f>
        <v/>
      </c>
      <c r="M177" s="12">
        <f>IFERROR(L177-E177-F177+G177+H177+I177-J177-K177, "")</f>
        <v/>
      </c>
      <c r="N177" s="11">
        <f>IFERROR(_xll.ciqfunctions.udf.CIQ(mh_ticker, "IQ_EBITDA_EST", IQ_NTM, B177, , , "USD"), "")</f>
        <v/>
      </c>
      <c r="O177" s="13">
        <f>IFERROR(M177/N177, "")</f>
        <v/>
      </c>
    </row>
    <row r="178">
      <c r="B178" s="8" t="n"/>
      <c r="C178" s="9">
        <f>IFERROR(_xll.ciqfunctions.udf.CIQ(mh_ticker, "IQ_LASTSALEPRICE", B178), "")</f>
        <v/>
      </c>
      <c r="D178" s="10">
        <f>IFERROR(_xll.ciqfunctions.udf.CIQ(mh_ticker, "IQ_SHARESOUTSTANDING_OUT", B178), "")</f>
        <v/>
      </c>
      <c r="E178" s="11">
        <f>IFERROR(_xll.ciqfunctions.udf.CIQ(mh_ticker, "IQ_CASH_EQUIV", , B178), "")</f>
        <v/>
      </c>
      <c r="F178" s="11">
        <f>IFERROR(_xll.ciqfunctions.udf.CIQ(mh_ticker, "IQ_ST_INVEST", , B178), "")</f>
        <v/>
      </c>
      <c r="G178" s="11">
        <f>IFERROR(_xll.ciqfunctions.udf.CIQ(mh_ticker, "IQ_TOTAL_DEBT_EXCL_OPER_LEASES", , B178), "")</f>
        <v/>
      </c>
      <c r="H178" s="11">
        <f>IFERROR(_xll.ciqfunctions.udf.CIQ(mh_ticker, "IQ_PREF_EQUITY", , B178), "")</f>
        <v/>
      </c>
      <c r="I178" s="11">
        <f>IFERROR(_xll.ciqfunctions.udf.CIQ(mh_ticker, "IQ_MINORITY_INTEREST", , B178), "")</f>
        <v/>
      </c>
      <c r="J178" s="11">
        <f>IFERROR(_xll.ciqfunctions.udf.CIQ(mh_ticker, "IQ_EQUITY_METHOD", , B178), "")</f>
        <v/>
      </c>
      <c r="K178" s="11">
        <f>IFERROR(_xll.ciqfunctions.udf.CIQ(mh_ticker, "IQ_LT_Mark_Securities", , B178), "")</f>
        <v/>
      </c>
      <c r="L178" s="12">
        <f>IFERROR(C178*D178, "")</f>
        <v/>
      </c>
      <c r="M178" s="12">
        <f>IFERROR(L178-E178-F178+G178+H178+I178-J178-K178, "")</f>
        <v/>
      </c>
      <c r="N178" s="11">
        <f>IFERROR(_xll.ciqfunctions.udf.CIQ(mh_ticker, "IQ_EBITDA_EST", IQ_NTM, B178, , , "USD"), "")</f>
        <v/>
      </c>
      <c r="O178" s="13">
        <f>IFERROR(M178/N178, "")</f>
        <v/>
      </c>
    </row>
    <row r="179">
      <c r="B179" s="8" t="n"/>
      <c r="C179" s="9">
        <f>IFERROR(_xll.ciqfunctions.udf.CIQ(mh_ticker, "IQ_LASTSALEPRICE", B179), "")</f>
        <v/>
      </c>
      <c r="D179" s="10">
        <f>IFERROR(_xll.ciqfunctions.udf.CIQ(mh_ticker, "IQ_SHARESOUTSTANDING_OUT", B179), "")</f>
        <v/>
      </c>
      <c r="E179" s="11">
        <f>IFERROR(_xll.ciqfunctions.udf.CIQ(mh_ticker, "IQ_CASH_EQUIV", , B179), "")</f>
        <v/>
      </c>
      <c r="F179" s="11">
        <f>IFERROR(_xll.ciqfunctions.udf.CIQ(mh_ticker, "IQ_ST_INVEST", , B179), "")</f>
        <v/>
      </c>
      <c r="G179" s="11">
        <f>IFERROR(_xll.ciqfunctions.udf.CIQ(mh_ticker, "IQ_TOTAL_DEBT_EXCL_OPER_LEASES", , B179), "")</f>
        <v/>
      </c>
      <c r="H179" s="11">
        <f>IFERROR(_xll.ciqfunctions.udf.CIQ(mh_ticker, "IQ_PREF_EQUITY", , B179), "")</f>
        <v/>
      </c>
      <c r="I179" s="11">
        <f>IFERROR(_xll.ciqfunctions.udf.CIQ(mh_ticker, "IQ_MINORITY_INTEREST", , B179), "")</f>
        <v/>
      </c>
      <c r="J179" s="11">
        <f>IFERROR(_xll.ciqfunctions.udf.CIQ(mh_ticker, "IQ_EQUITY_METHOD", , B179), "")</f>
        <v/>
      </c>
      <c r="K179" s="11">
        <f>IFERROR(_xll.ciqfunctions.udf.CIQ(mh_ticker, "IQ_LT_Mark_Securities", , B179), "")</f>
        <v/>
      </c>
      <c r="L179" s="12">
        <f>IFERROR(C179*D179, "")</f>
        <v/>
      </c>
      <c r="M179" s="12">
        <f>IFERROR(L179-E179-F179+G179+H179+I179-J179-K179, "")</f>
        <v/>
      </c>
      <c r="N179" s="11">
        <f>IFERROR(_xll.ciqfunctions.udf.CIQ(mh_ticker, "IQ_EBITDA_EST", IQ_NTM, B179, , , "USD"), "")</f>
        <v/>
      </c>
      <c r="O179" s="13">
        <f>IFERROR(M179/N179, "")</f>
        <v/>
      </c>
    </row>
    <row r="180">
      <c r="B180" s="8" t="n"/>
      <c r="C180" s="9">
        <f>IFERROR(_xll.ciqfunctions.udf.CIQ(mh_ticker, "IQ_LASTSALEPRICE", B180), "")</f>
        <v/>
      </c>
      <c r="D180" s="10">
        <f>IFERROR(_xll.ciqfunctions.udf.CIQ(mh_ticker, "IQ_SHARESOUTSTANDING_OUT", B180), "")</f>
        <v/>
      </c>
      <c r="E180" s="11">
        <f>IFERROR(_xll.ciqfunctions.udf.CIQ(mh_ticker, "IQ_CASH_EQUIV", , B180), "")</f>
        <v/>
      </c>
      <c r="F180" s="11">
        <f>IFERROR(_xll.ciqfunctions.udf.CIQ(mh_ticker, "IQ_ST_INVEST", , B180), "")</f>
        <v/>
      </c>
      <c r="G180" s="11">
        <f>IFERROR(_xll.ciqfunctions.udf.CIQ(mh_ticker, "IQ_TOTAL_DEBT_EXCL_OPER_LEASES", , B180), "")</f>
        <v/>
      </c>
      <c r="H180" s="11">
        <f>IFERROR(_xll.ciqfunctions.udf.CIQ(mh_ticker, "IQ_PREF_EQUITY", , B180), "")</f>
        <v/>
      </c>
      <c r="I180" s="11">
        <f>IFERROR(_xll.ciqfunctions.udf.CIQ(mh_ticker, "IQ_MINORITY_INTEREST", , B180), "")</f>
        <v/>
      </c>
      <c r="J180" s="11">
        <f>IFERROR(_xll.ciqfunctions.udf.CIQ(mh_ticker, "IQ_EQUITY_METHOD", , B180), "")</f>
        <v/>
      </c>
      <c r="K180" s="11">
        <f>IFERROR(_xll.ciqfunctions.udf.CIQ(mh_ticker, "IQ_LT_Mark_Securities", , B180), "")</f>
        <v/>
      </c>
      <c r="L180" s="12">
        <f>IFERROR(C180*D180, "")</f>
        <v/>
      </c>
      <c r="M180" s="12">
        <f>IFERROR(L180-E180-F180+G180+H180+I180-J180-K180, "")</f>
        <v/>
      </c>
      <c r="N180" s="11">
        <f>IFERROR(_xll.ciqfunctions.udf.CIQ(mh_ticker, "IQ_EBITDA_EST", IQ_NTM, B180, , , "USD"), "")</f>
        <v/>
      </c>
      <c r="O180" s="13">
        <f>IFERROR(M180/N180, "")</f>
        <v/>
      </c>
    </row>
    <row r="181">
      <c r="B181" s="8" t="n"/>
      <c r="C181" s="9">
        <f>IFERROR(_xll.ciqfunctions.udf.CIQ(mh_ticker, "IQ_LASTSALEPRICE", B181), "")</f>
        <v/>
      </c>
      <c r="D181" s="10">
        <f>IFERROR(_xll.ciqfunctions.udf.CIQ(mh_ticker, "IQ_SHARESOUTSTANDING_OUT", B181), "")</f>
        <v/>
      </c>
      <c r="E181" s="11">
        <f>IFERROR(_xll.ciqfunctions.udf.CIQ(mh_ticker, "IQ_CASH_EQUIV", , B181), "")</f>
        <v/>
      </c>
      <c r="F181" s="11">
        <f>IFERROR(_xll.ciqfunctions.udf.CIQ(mh_ticker, "IQ_ST_INVEST", , B181), "")</f>
        <v/>
      </c>
      <c r="G181" s="11">
        <f>IFERROR(_xll.ciqfunctions.udf.CIQ(mh_ticker, "IQ_TOTAL_DEBT_EXCL_OPER_LEASES", , B181), "")</f>
        <v/>
      </c>
      <c r="H181" s="11">
        <f>IFERROR(_xll.ciqfunctions.udf.CIQ(mh_ticker, "IQ_PREF_EQUITY", , B181), "")</f>
        <v/>
      </c>
      <c r="I181" s="11">
        <f>IFERROR(_xll.ciqfunctions.udf.CIQ(mh_ticker, "IQ_MINORITY_INTEREST", , B181), "")</f>
        <v/>
      </c>
      <c r="J181" s="11">
        <f>IFERROR(_xll.ciqfunctions.udf.CIQ(mh_ticker, "IQ_EQUITY_METHOD", , B181), "")</f>
        <v/>
      </c>
      <c r="K181" s="11">
        <f>IFERROR(_xll.ciqfunctions.udf.CIQ(mh_ticker, "IQ_LT_Mark_Securities", , B181), "")</f>
        <v/>
      </c>
      <c r="L181" s="12">
        <f>IFERROR(C181*D181, "")</f>
        <v/>
      </c>
      <c r="M181" s="12">
        <f>IFERROR(L181-E181-F181+G181+H181+I181-J181-K181, "")</f>
        <v/>
      </c>
      <c r="N181" s="11">
        <f>IFERROR(_xll.ciqfunctions.udf.CIQ(mh_ticker, "IQ_EBITDA_EST", IQ_NTM, B181, , , "USD"), "")</f>
        <v/>
      </c>
      <c r="O181" s="13">
        <f>IFERROR(M181/N181, "")</f>
        <v/>
      </c>
    </row>
    <row r="182">
      <c r="B182" s="8" t="n"/>
      <c r="C182" s="9">
        <f>IFERROR(_xll.ciqfunctions.udf.CIQ(mh_ticker, "IQ_LASTSALEPRICE", B182), "")</f>
        <v/>
      </c>
      <c r="D182" s="10">
        <f>IFERROR(_xll.ciqfunctions.udf.CIQ(mh_ticker, "IQ_SHARESOUTSTANDING_OUT", B182), "")</f>
        <v/>
      </c>
      <c r="E182" s="11">
        <f>IFERROR(_xll.ciqfunctions.udf.CIQ(mh_ticker, "IQ_CASH_EQUIV", , B182), "")</f>
        <v/>
      </c>
      <c r="F182" s="11">
        <f>IFERROR(_xll.ciqfunctions.udf.CIQ(mh_ticker, "IQ_ST_INVEST", , B182), "")</f>
        <v/>
      </c>
      <c r="G182" s="11">
        <f>IFERROR(_xll.ciqfunctions.udf.CIQ(mh_ticker, "IQ_TOTAL_DEBT_EXCL_OPER_LEASES", , B182), "")</f>
        <v/>
      </c>
      <c r="H182" s="11">
        <f>IFERROR(_xll.ciqfunctions.udf.CIQ(mh_ticker, "IQ_PREF_EQUITY", , B182), "")</f>
        <v/>
      </c>
      <c r="I182" s="11">
        <f>IFERROR(_xll.ciqfunctions.udf.CIQ(mh_ticker, "IQ_MINORITY_INTEREST", , B182), "")</f>
        <v/>
      </c>
      <c r="J182" s="11">
        <f>IFERROR(_xll.ciqfunctions.udf.CIQ(mh_ticker, "IQ_EQUITY_METHOD", , B182), "")</f>
        <v/>
      </c>
      <c r="K182" s="11">
        <f>IFERROR(_xll.ciqfunctions.udf.CIQ(mh_ticker, "IQ_LT_Mark_Securities", , B182), "")</f>
        <v/>
      </c>
      <c r="L182" s="12">
        <f>IFERROR(C182*D182, "")</f>
        <v/>
      </c>
      <c r="M182" s="12">
        <f>IFERROR(L182-E182-F182+G182+H182+I182-J182-K182, "")</f>
        <v/>
      </c>
      <c r="N182" s="11">
        <f>IFERROR(_xll.ciqfunctions.udf.CIQ(mh_ticker, "IQ_EBITDA_EST", IQ_NTM, B182, , , "USD"), "")</f>
        <v/>
      </c>
      <c r="O182" s="13">
        <f>IFERROR(M182/N182, "")</f>
        <v/>
      </c>
    </row>
    <row r="183">
      <c r="B183" s="8" t="n"/>
      <c r="C183" s="9">
        <f>IFERROR(_xll.ciqfunctions.udf.CIQ(mh_ticker, "IQ_LASTSALEPRICE", B183), "")</f>
        <v/>
      </c>
      <c r="D183" s="10">
        <f>IFERROR(_xll.ciqfunctions.udf.CIQ(mh_ticker, "IQ_SHARESOUTSTANDING_OUT", B183), "")</f>
        <v/>
      </c>
      <c r="E183" s="11">
        <f>IFERROR(_xll.ciqfunctions.udf.CIQ(mh_ticker, "IQ_CASH_EQUIV", , B183), "")</f>
        <v/>
      </c>
      <c r="F183" s="11">
        <f>IFERROR(_xll.ciqfunctions.udf.CIQ(mh_ticker, "IQ_ST_INVEST", , B183), "")</f>
        <v/>
      </c>
      <c r="G183" s="11">
        <f>IFERROR(_xll.ciqfunctions.udf.CIQ(mh_ticker, "IQ_TOTAL_DEBT_EXCL_OPER_LEASES", , B183), "")</f>
        <v/>
      </c>
      <c r="H183" s="11">
        <f>IFERROR(_xll.ciqfunctions.udf.CIQ(mh_ticker, "IQ_PREF_EQUITY", , B183), "")</f>
        <v/>
      </c>
      <c r="I183" s="11">
        <f>IFERROR(_xll.ciqfunctions.udf.CIQ(mh_ticker, "IQ_MINORITY_INTEREST", , B183), "")</f>
        <v/>
      </c>
      <c r="J183" s="11">
        <f>IFERROR(_xll.ciqfunctions.udf.CIQ(mh_ticker, "IQ_EQUITY_METHOD", , B183), "")</f>
        <v/>
      </c>
      <c r="K183" s="11">
        <f>IFERROR(_xll.ciqfunctions.udf.CIQ(mh_ticker, "IQ_LT_Mark_Securities", , B183), "")</f>
        <v/>
      </c>
      <c r="L183" s="12">
        <f>IFERROR(C183*D183, "")</f>
        <v/>
      </c>
      <c r="M183" s="12">
        <f>IFERROR(L183-E183-F183+G183+H183+I183-J183-K183, "")</f>
        <v/>
      </c>
      <c r="N183" s="11">
        <f>IFERROR(_xll.ciqfunctions.udf.CIQ(mh_ticker, "IQ_EBITDA_EST", IQ_NTM, B183, , , "USD"), "")</f>
        <v/>
      </c>
      <c r="O183" s="13">
        <f>IFERROR(M183/N183, "")</f>
        <v/>
      </c>
    </row>
    <row r="184">
      <c r="B184" s="8" t="n"/>
      <c r="C184" s="9">
        <f>IFERROR(_xll.ciqfunctions.udf.CIQ(mh_ticker, "IQ_LASTSALEPRICE", B184), "")</f>
        <v/>
      </c>
      <c r="D184" s="10">
        <f>IFERROR(_xll.ciqfunctions.udf.CIQ(mh_ticker, "IQ_SHARESOUTSTANDING_OUT", B184), "")</f>
        <v/>
      </c>
      <c r="E184" s="11">
        <f>IFERROR(_xll.ciqfunctions.udf.CIQ(mh_ticker, "IQ_CASH_EQUIV", , B184), "")</f>
        <v/>
      </c>
      <c r="F184" s="11">
        <f>IFERROR(_xll.ciqfunctions.udf.CIQ(mh_ticker, "IQ_ST_INVEST", , B184), "")</f>
        <v/>
      </c>
      <c r="G184" s="11">
        <f>IFERROR(_xll.ciqfunctions.udf.CIQ(mh_ticker, "IQ_TOTAL_DEBT_EXCL_OPER_LEASES", , B184), "")</f>
        <v/>
      </c>
      <c r="H184" s="11">
        <f>IFERROR(_xll.ciqfunctions.udf.CIQ(mh_ticker, "IQ_PREF_EQUITY", , B184), "")</f>
        <v/>
      </c>
      <c r="I184" s="11">
        <f>IFERROR(_xll.ciqfunctions.udf.CIQ(mh_ticker, "IQ_MINORITY_INTEREST", , B184), "")</f>
        <v/>
      </c>
      <c r="J184" s="11">
        <f>IFERROR(_xll.ciqfunctions.udf.CIQ(mh_ticker, "IQ_EQUITY_METHOD", , B184), "")</f>
        <v/>
      </c>
      <c r="K184" s="11">
        <f>IFERROR(_xll.ciqfunctions.udf.CIQ(mh_ticker, "IQ_LT_Mark_Securities", , B184), "")</f>
        <v/>
      </c>
      <c r="L184" s="12">
        <f>IFERROR(C184*D184, "")</f>
        <v/>
      </c>
      <c r="M184" s="12">
        <f>IFERROR(L184-E184-F184+G184+H184+I184-J184-K184, "")</f>
        <v/>
      </c>
      <c r="N184" s="11">
        <f>IFERROR(_xll.ciqfunctions.udf.CIQ(mh_ticker, "IQ_EBITDA_EST", IQ_NTM, B184, , , "USD"), "")</f>
        <v/>
      </c>
      <c r="O184" s="13">
        <f>IFERROR(M184/N184, "")</f>
        <v/>
      </c>
    </row>
    <row r="185">
      <c r="B185" s="8" t="n"/>
      <c r="C185" s="9">
        <f>IFERROR(_xll.ciqfunctions.udf.CIQ(mh_ticker, "IQ_LASTSALEPRICE", B185), "")</f>
        <v/>
      </c>
      <c r="D185" s="10">
        <f>IFERROR(_xll.ciqfunctions.udf.CIQ(mh_ticker, "IQ_SHARESOUTSTANDING_OUT", B185), "")</f>
        <v/>
      </c>
      <c r="E185" s="11">
        <f>IFERROR(_xll.ciqfunctions.udf.CIQ(mh_ticker, "IQ_CASH_EQUIV", , B185), "")</f>
        <v/>
      </c>
      <c r="F185" s="11">
        <f>IFERROR(_xll.ciqfunctions.udf.CIQ(mh_ticker, "IQ_ST_INVEST", , B185), "")</f>
        <v/>
      </c>
      <c r="G185" s="11">
        <f>IFERROR(_xll.ciqfunctions.udf.CIQ(mh_ticker, "IQ_TOTAL_DEBT_EXCL_OPER_LEASES", , B185), "")</f>
        <v/>
      </c>
      <c r="H185" s="11">
        <f>IFERROR(_xll.ciqfunctions.udf.CIQ(mh_ticker, "IQ_PREF_EQUITY", , B185), "")</f>
        <v/>
      </c>
      <c r="I185" s="11">
        <f>IFERROR(_xll.ciqfunctions.udf.CIQ(mh_ticker, "IQ_MINORITY_INTEREST", , B185), "")</f>
        <v/>
      </c>
      <c r="J185" s="11">
        <f>IFERROR(_xll.ciqfunctions.udf.CIQ(mh_ticker, "IQ_EQUITY_METHOD", , B185), "")</f>
        <v/>
      </c>
      <c r="K185" s="11">
        <f>IFERROR(_xll.ciqfunctions.udf.CIQ(mh_ticker, "IQ_LT_Mark_Securities", , B185), "")</f>
        <v/>
      </c>
      <c r="L185" s="12">
        <f>IFERROR(C185*D185, "")</f>
        <v/>
      </c>
      <c r="M185" s="12">
        <f>IFERROR(L185-E185-F185+G185+H185+I185-J185-K185, "")</f>
        <v/>
      </c>
      <c r="N185" s="11">
        <f>IFERROR(_xll.ciqfunctions.udf.CIQ(mh_ticker, "IQ_EBITDA_EST", IQ_NTM, B185, , , "USD"), "")</f>
        <v/>
      </c>
      <c r="O185" s="13">
        <f>IFERROR(M185/N185, "")</f>
        <v/>
      </c>
    </row>
    <row r="186">
      <c r="B186" s="8" t="n"/>
      <c r="C186" s="9">
        <f>IFERROR(_xll.ciqfunctions.udf.CIQ(mh_ticker, "IQ_LASTSALEPRICE", B186), "")</f>
        <v/>
      </c>
      <c r="D186" s="10">
        <f>IFERROR(_xll.ciqfunctions.udf.CIQ(mh_ticker, "IQ_SHARESOUTSTANDING_OUT", B186), "")</f>
        <v/>
      </c>
      <c r="E186" s="11">
        <f>IFERROR(_xll.ciqfunctions.udf.CIQ(mh_ticker, "IQ_CASH_EQUIV", , B186), "")</f>
        <v/>
      </c>
      <c r="F186" s="11">
        <f>IFERROR(_xll.ciqfunctions.udf.CIQ(mh_ticker, "IQ_ST_INVEST", , B186), "")</f>
        <v/>
      </c>
      <c r="G186" s="11">
        <f>IFERROR(_xll.ciqfunctions.udf.CIQ(mh_ticker, "IQ_TOTAL_DEBT_EXCL_OPER_LEASES", , B186), "")</f>
        <v/>
      </c>
      <c r="H186" s="11">
        <f>IFERROR(_xll.ciqfunctions.udf.CIQ(mh_ticker, "IQ_PREF_EQUITY", , B186), "")</f>
        <v/>
      </c>
      <c r="I186" s="11">
        <f>IFERROR(_xll.ciqfunctions.udf.CIQ(mh_ticker, "IQ_MINORITY_INTEREST", , B186), "")</f>
        <v/>
      </c>
      <c r="J186" s="11">
        <f>IFERROR(_xll.ciqfunctions.udf.CIQ(mh_ticker, "IQ_EQUITY_METHOD", , B186), "")</f>
        <v/>
      </c>
      <c r="K186" s="11">
        <f>IFERROR(_xll.ciqfunctions.udf.CIQ(mh_ticker, "IQ_LT_Mark_Securities", , B186), "")</f>
        <v/>
      </c>
      <c r="L186" s="12">
        <f>IFERROR(C186*D186, "")</f>
        <v/>
      </c>
      <c r="M186" s="12">
        <f>IFERROR(L186-E186-F186+G186+H186+I186-J186-K186, "")</f>
        <v/>
      </c>
      <c r="N186" s="11">
        <f>IFERROR(_xll.ciqfunctions.udf.CIQ(mh_ticker, "IQ_EBITDA_EST", IQ_NTM, B186, , , "USD"), "")</f>
        <v/>
      </c>
      <c r="O186" s="13">
        <f>IFERROR(M186/N186, "")</f>
        <v/>
      </c>
    </row>
    <row r="187">
      <c r="B187" s="8" t="n"/>
      <c r="C187" s="9">
        <f>IFERROR(_xll.ciqfunctions.udf.CIQ(mh_ticker, "IQ_LASTSALEPRICE", B187), "")</f>
        <v/>
      </c>
      <c r="D187" s="10">
        <f>IFERROR(_xll.ciqfunctions.udf.CIQ(mh_ticker, "IQ_SHARESOUTSTANDING_OUT", B187), "")</f>
        <v/>
      </c>
      <c r="E187" s="11">
        <f>IFERROR(_xll.ciqfunctions.udf.CIQ(mh_ticker, "IQ_CASH_EQUIV", , B187), "")</f>
        <v/>
      </c>
      <c r="F187" s="11">
        <f>IFERROR(_xll.ciqfunctions.udf.CIQ(mh_ticker, "IQ_ST_INVEST", , B187), "")</f>
        <v/>
      </c>
      <c r="G187" s="11">
        <f>IFERROR(_xll.ciqfunctions.udf.CIQ(mh_ticker, "IQ_TOTAL_DEBT_EXCL_OPER_LEASES", , B187), "")</f>
        <v/>
      </c>
      <c r="H187" s="11">
        <f>IFERROR(_xll.ciqfunctions.udf.CIQ(mh_ticker, "IQ_PREF_EQUITY", , B187), "")</f>
        <v/>
      </c>
      <c r="I187" s="11">
        <f>IFERROR(_xll.ciqfunctions.udf.CIQ(mh_ticker, "IQ_MINORITY_INTEREST", , B187), "")</f>
        <v/>
      </c>
      <c r="J187" s="11">
        <f>IFERROR(_xll.ciqfunctions.udf.CIQ(mh_ticker, "IQ_EQUITY_METHOD", , B187), "")</f>
        <v/>
      </c>
      <c r="K187" s="11">
        <f>IFERROR(_xll.ciqfunctions.udf.CIQ(mh_ticker, "IQ_LT_Mark_Securities", , B187), "")</f>
        <v/>
      </c>
      <c r="L187" s="12">
        <f>IFERROR(C187*D187, "")</f>
        <v/>
      </c>
      <c r="M187" s="12">
        <f>IFERROR(L187-E187-F187+G187+H187+I187-J187-K187, "")</f>
        <v/>
      </c>
      <c r="N187" s="11">
        <f>IFERROR(_xll.ciqfunctions.udf.CIQ(mh_ticker, "IQ_EBITDA_EST", IQ_NTM, B187, , , "USD"), "")</f>
        <v/>
      </c>
      <c r="O187" s="13">
        <f>IFERROR(M187/N187, "")</f>
        <v/>
      </c>
    </row>
    <row r="188">
      <c r="B188" s="8" t="n"/>
      <c r="C188" s="9">
        <f>IFERROR(_xll.ciqfunctions.udf.CIQ(mh_ticker, "IQ_LASTSALEPRICE", B188), "")</f>
        <v/>
      </c>
      <c r="D188" s="10">
        <f>IFERROR(_xll.ciqfunctions.udf.CIQ(mh_ticker, "IQ_SHARESOUTSTANDING_OUT", B188), "")</f>
        <v/>
      </c>
      <c r="E188" s="11">
        <f>IFERROR(_xll.ciqfunctions.udf.CIQ(mh_ticker, "IQ_CASH_EQUIV", , B188), "")</f>
        <v/>
      </c>
      <c r="F188" s="11">
        <f>IFERROR(_xll.ciqfunctions.udf.CIQ(mh_ticker, "IQ_ST_INVEST", , B188), "")</f>
        <v/>
      </c>
      <c r="G188" s="11">
        <f>IFERROR(_xll.ciqfunctions.udf.CIQ(mh_ticker, "IQ_TOTAL_DEBT_EXCL_OPER_LEASES", , B188), "")</f>
        <v/>
      </c>
      <c r="H188" s="11">
        <f>IFERROR(_xll.ciqfunctions.udf.CIQ(mh_ticker, "IQ_PREF_EQUITY", , B188), "")</f>
        <v/>
      </c>
      <c r="I188" s="11">
        <f>IFERROR(_xll.ciqfunctions.udf.CIQ(mh_ticker, "IQ_MINORITY_INTEREST", , B188), "")</f>
        <v/>
      </c>
      <c r="J188" s="11">
        <f>IFERROR(_xll.ciqfunctions.udf.CIQ(mh_ticker, "IQ_EQUITY_METHOD", , B188), "")</f>
        <v/>
      </c>
      <c r="K188" s="11">
        <f>IFERROR(_xll.ciqfunctions.udf.CIQ(mh_ticker, "IQ_LT_Mark_Securities", , B188), "")</f>
        <v/>
      </c>
      <c r="L188" s="12">
        <f>IFERROR(C188*D188, "")</f>
        <v/>
      </c>
      <c r="M188" s="12">
        <f>IFERROR(L188-E188-F188+G188+H188+I188-J188-K188, "")</f>
        <v/>
      </c>
      <c r="N188" s="11">
        <f>IFERROR(_xll.ciqfunctions.udf.CIQ(mh_ticker, "IQ_EBITDA_EST", IQ_NTM, B188, , , "USD"), "")</f>
        <v/>
      </c>
      <c r="O188" s="13">
        <f>IFERROR(M188/N188, "")</f>
        <v/>
      </c>
    </row>
    <row r="189">
      <c r="B189" s="8" t="n"/>
      <c r="C189" s="9">
        <f>IFERROR(_xll.ciqfunctions.udf.CIQ(mh_ticker, "IQ_LASTSALEPRICE", B189), "")</f>
        <v/>
      </c>
      <c r="D189" s="10">
        <f>IFERROR(_xll.ciqfunctions.udf.CIQ(mh_ticker, "IQ_SHARESOUTSTANDING_OUT", B189), "")</f>
        <v/>
      </c>
      <c r="E189" s="11">
        <f>IFERROR(_xll.ciqfunctions.udf.CIQ(mh_ticker, "IQ_CASH_EQUIV", , B189), "")</f>
        <v/>
      </c>
      <c r="F189" s="11">
        <f>IFERROR(_xll.ciqfunctions.udf.CIQ(mh_ticker, "IQ_ST_INVEST", , B189), "")</f>
        <v/>
      </c>
      <c r="G189" s="11">
        <f>IFERROR(_xll.ciqfunctions.udf.CIQ(mh_ticker, "IQ_TOTAL_DEBT_EXCL_OPER_LEASES", , B189), "")</f>
        <v/>
      </c>
      <c r="H189" s="11">
        <f>IFERROR(_xll.ciqfunctions.udf.CIQ(mh_ticker, "IQ_PREF_EQUITY", , B189), "")</f>
        <v/>
      </c>
      <c r="I189" s="11">
        <f>IFERROR(_xll.ciqfunctions.udf.CIQ(mh_ticker, "IQ_MINORITY_INTEREST", , B189), "")</f>
        <v/>
      </c>
      <c r="J189" s="11">
        <f>IFERROR(_xll.ciqfunctions.udf.CIQ(mh_ticker, "IQ_EQUITY_METHOD", , B189), "")</f>
        <v/>
      </c>
      <c r="K189" s="11">
        <f>IFERROR(_xll.ciqfunctions.udf.CIQ(mh_ticker, "IQ_LT_Mark_Securities", , B189), "")</f>
        <v/>
      </c>
      <c r="L189" s="12">
        <f>IFERROR(C189*D189, "")</f>
        <v/>
      </c>
      <c r="M189" s="12">
        <f>IFERROR(L189-E189-F189+G189+H189+I189-J189-K189, "")</f>
        <v/>
      </c>
      <c r="N189" s="11">
        <f>IFERROR(_xll.ciqfunctions.udf.CIQ(mh_ticker, "IQ_EBITDA_EST", IQ_NTM, B189, , , "USD"), "")</f>
        <v/>
      </c>
      <c r="O189" s="13">
        <f>IFERROR(M189/N189, "")</f>
        <v/>
      </c>
    </row>
    <row r="190">
      <c r="B190" s="8" t="n"/>
      <c r="C190" s="9">
        <f>IFERROR(_xll.ciqfunctions.udf.CIQ(mh_ticker, "IQ_LASTSALEPRICE", B190), "")</f>
        <v/>
      </c>
      <c r="D190" s="10">
        <f>IFERROR(_xll.ciqfunctions.udf.CIQ(mh_ticker, "IQ_SHARESOUTSTANDING_OUT", B190), "")</f>
        <v/>
      </c>
      <c r="E190" s="11">
        <f>IFERROR(_xll.ciqfunctions.udf.CIQ(mh_ticker, "IQ_CASH_EQUIV", , B190), "")</f>
        <v/>
      </c>
      <c r="F190" s="11">
        <f>IFERROR(_xll.ciqfunctions.udf.CIQ(mh_ticker, "IQ_ST_INVEST", , B190), "")</f>
        <v/>
      </c>
      <c r="G190" s="11">
        <f>IFERROR(_xll.ciqfunctions.udf.CIQ(mh_ticker, "IQ_TOTAL_DEBT_EXCL_OPER_LEASES", , B190), "")</f>
        <v/>
      </c>
      <c r="H190" s="11">
        <f>IFERROR(_xll.ciqfunctions.udf.CIQ(mh_ticker, "IQ_PREF_EQUITY", , B190), "")</f>
        <v/>
      </c>
      <c r="I190" s="11">
        <f>IFERROR(_xll.ciqfunctions.udf.CIQ(mh_ticker, "IQ_MINORITY_INTEREST", , B190), "")</f>
        <v/>
      </c>
      <c r="J190" s="11">
        <f>IFERROR(_xll.ciqfunctions.udf.CIQ(mh_ticker, "IQ_EQUITY_METHOD", , B190), "")</f>
        <v/>
      </c>
      <c r="K190" s="11">
        <f>IFERROR(_xll.ciqfunctions.udf.CIQ(mh_ticker, "IQ_LT_Mark_Securities", , B190), "")</f>
        <v/>
      </c>
      <c r="L190" s="12">
        <f>IFERROR(C190*D190, "")</f>
        <v/>
      </c>
      <c r="M190" s="12">
        <f>IFERROR(L190-E190-F190+G190+H190+I190-J190-K190, "")</f>
        <v/>
      </c>
      <c r="N190" s="11">
        <f>IFERROR(_xll.ciqfunctions.udf.CIQ(mh_ticker, "IQ_EBITDA_EST", IQ_NTM, B190, , , "USD"), "")</f>
        <v/>
      </c>
      <c r="O190" s="13">
        <f>IFERROR(M190/N190, "")</f>
        <v/>
      </c>
    </row>
    <row r="191">
      <c r="B191" s="8" t="n"/>
      <c r="C191" s="9">
        <f>IFERROR(_xll.ciqfunctions.udf.CIQ(mh_ticker, "IQ_LASTSALEPRICE", B191), "")</f>
        <v/>
      </c>
      <c r="D191" s="10">
        <f>IFERROR(_xll.ciqfunctions.udf.CIQ(mh_ticker, "IQ_SHARESOUTSTANDING_OUT", B191), "")</f>
        <v/>
      </c>
      <c r="E191" s="11">
        <f>IFERROR(_xll.ciqfunctions.udf.CIQ(mh_ticker, "IQ_CASH_EQUIV", , B191), "")</f>
        <v/>
      </c>
      <c r="F191" s="11">
        <f>IFERROR(_xll.ciqfunctions.udf.CIQ(mh_ticker, "IQ_ST_INVEST", , B191), "")</f>
        <v/>
      </c>
      <c r="G191" s="11">
        <f>IFERROR(_xll.ciqfunctions.udf.CIQ(mh_ticker, "IQ_TOTAL_DEBT_EXCL_OPER_LEASES", , B191), "")</f>
        <v/>
      </c>
      <c r="H191" s="11">
        <f>IFERROR(_xll.ciqfunctions.udf.CIQ(mh_ticker, "IQ_PREF_EQUITY", , B191), "")</f>
        <v/>
      </c>
      <c r="I191" s="11">
        <f>IFERROR(_xll.ciqfunctions.udf.CIQ(mh_ticker, "IQ_MINORITY_INTEREST", , B191), "")</f>
        <v/>
      </c>
      <c r="J191" s="11">
        <f>IFERROR(_xll.ciqfunctions.udf.CIQ(mh_ticker, "IQ_EQUITY_METHOD", , B191), "")</f>
        <v/>
      </c>
      <c r="K191" s="11">
        <f>IFERROR(_xll.ciqfunctions.udf.CIQ(mh_ticker, "IQ_LT_Mark_Securities", , B191), "")</f>
        <v/>
      </c>
      <c r="L191" s="12">
        <f>IFERROR(C191*D191, "")</f>
        <v/>
      </c>
      <c r="M191" s="12">
        <f>IFERROR(L191-E191-F191+G191+H191+I191-J191-K191, "")</f>
        <v/>
      </c>
      <c r="N191" s="11">
        <f>IFERROR(_xll.ciqfunctions.udf.CIQ(mh_ticker, "IQ_EBITDA_EST", IQ_NTM, B191, , , "USD"), "")</f>
        <v/>
      </c>
      <c r="O191" s="13">
        <f>IFERROR(M191/N191, "")</f>
        <v/>
      </c>
    </row>
    <row r="192">
      <c r="B192" s="8" t="n"/>
      <c r="C192" s="9">
        <f>IFERROR(_xll.ciqfunctions.udf.CIQ(mh_ticker, "IQ_LASTSALEPRICE", B192), "")</f>
        <v/>
      </c>
      <c r="D192" s="10">
        <f>IFERROR(_xll.ciqfunctions.udf.CIQ(mh_ticker, "IQ_SHARESOUTSTANDING_OUT", B192), "")</f>
        <v/>
      </c>
      <c r="E192" s="11">
        <f>IFERROR(_xll.ciqfunctions.udf.CIQ(mh_ticker, "IQ_CASH_EQUIV", , B192), "")</f>
        <v/>
      </c>
      <c r="F192" s="11">
        <f>IFERROR(_xll.ciqfunctions.udf.CIQ(mh_ticker, "IQ_ST_INVEST", , B192), "")</f>
        <v/>
      </c>
      <c r="G192" s="11">
        <f>IFERROR(_xll.ciqfunctions.udf.CIQ(mh_ticker, "IQ_TOTAL_DEBT_EXCL_OPER_LEASES", , B192), "")</f>
        <v/>
      </c>
      <c r="H192" s="11">
        <f>IFERROR(_xll.ciqfunctions.udf.CIQ(mh_ticker, "IQ_PREF_EQUITY", , B192), "")</f>
        <v/>
      </c>
      <c r="I192" s="11">
        <f>IFERROR(_xll.ciqfunctions.udf.CIQ(mh_ticker, "IQ_MINORITY_INTEREST", , B192), "")</f>
        <v/>
      </c>
      <c r="J192" s="11">
        <f>IFERROR(_xll.ciqfunctions.udf.CIQ(mh_ticker, "IQ_EQUITY_METHOD", , B192), "")</f>
        <v/>
      </c>
      <c r="K192" s="11">
        <f>IFERROR(_xll.ciqfunctions.udf.CIQ(mh_ticker, "IQ_LT_Mark_Securities", , B192), "")</f>
        <v/>
      </c>
      <c r="L192" s="12">
        <f>IFERROR(C192*D192, "")</f>
        <v/>
      </c>
      <c r="M192" s="12">
        <f>IFERROR(L192-E192-F192+G192+H192+I192-J192-K192, "")</f>
        <v/>
      </c>
      <c r="N192" s="11">
        <f>IFERROR(_xll.ciqfunctions.udf.CIQ(mh_ticker, "IQ_EBITDA_EST", IQ_NTM, B192, , , "USD"), "")</f>
        <v/>
      </c>
      <c r="O192" s="13">
        <f>IFERROR(M192/N192, "")</f>
        <v/>
      </c>
    </row>
    <row r="193">
      <c r="B193" s="8" t="n"/>
      <c r="C193" s="9">
        <f>IFERROR(_xll.ciqfunctions.udf.CIQ(mh_ticker, "IQ_LASTSALEPRICE", B193), "")</f>
        <v/>
      </c>
      <c r="D193" s="10">
        <f>IFERROR(_xll.ciqfunctions.udf.CIQ(mh_ticker, "IQ_SHARESOUTSTANDING_OUT", B193), "")</f>
        <v/>
      </c>
      <c r="E193" s="11">
        <f>IFERROR(_xll.ciqfunctions.udf.CIQ(mh_ticker, "IQ_CASH_EQUIV", , B193), "")</f>
        <v/>
      </c>
      <c r="F193" s="11">
        <f>IFERROR(_xll.ciqfunctions.udf.CIQ(mh_ticker, "IQ_ST_INVEST", , B193), "")</f>
        <v/>
      </c>
      <c r="G193" s="11">
        <f>IFERROR(_xll.ciqfunctions.udf.CIQ(mh_ticker, "IQ_TOTAL_DEBT_EXCL_OPER_LEASES", , B193), "")</f>
        <v/>
      </c>
      <c r="H193" s="11">
        <f>IFERROR(_xll.ciqfunctions.udf.CIQ(mh_ticker, "IQ_PREF_EQUITY", , B193), "")</f>
        <v/>
      </c>
      <c r="I193" s="11">
        <f>IFERROR(_xll.ciqfunctions.udf.CIQ(mh_ticker, "IQ_MINORITY_INTEREST", , B193), "")</f>
        <v/>
      </c>
      <c r="J193" s="11">
        <f>IFERROR(_xll.ciqfunctions.udf.CIQ(mh_ticker, "IQ_EQUITY_METHOD", , B193), "")</f>
        <v/>
      </c>
      <c r="K193" s="11">
        <f>IFERROR(_xll.ciqfunctions.udf.CIQ(mh_ticker, "IQ_LT_Mark_Securities", , B193), "")</f>
        <v/>
      </c>
      <c r="L193" s="12">
        <f>IFERROR(C193*D193, "")</f>
        <v/>
      </c>
      <c r="M193" s="12">
        <f>IFERROR(L193-E193-F193+G193+H193+I193-J193-K193, "")</f>
        <v/>
      </c>
      <c r="N193" s="11">
        <f>IFERROR(_xll.ciqfunctions.udf.CIQ(mh_ticker, "IQ_EBITDA_EST", IQ_NTM, B193, , , "USD"), "")</f>
        <v/>
      </c>
      <c r="O193" s="13">
        <f>IFERROR(M193/N193, "")</f>
        <v/>
      </c>
    </row>
    <row r="194">
      <c r="B194" s="8" t="n"/>
      <c r="C194" s="9">
        <f>IFERROR(_xll.ciqfunctions.udf.CIQ(mh_ticker, "IQ_LASTSALEPRICE", B194), "")</f>
        <v/>
      </c>
      <c r="D194" s="10">
        <f>IFERROR(_xll.ciqfunctions.udf.CIQ(mh_ticker, "IQ_SHARESOUTSTANDING_OUT", B194), "")</f>
        <v/>
      </c>
      <c r="E194" s="11">
        <f>IFERROR(_xll.ciqfunctions.udf.CIQ(mh_ticker, "IQ_CASH_EQUIV", , B194), "")</f>
        <v/>
      </c>
      <c r="F194" s="11">
        <f>IFERROR(_xll.ciqfunctions.udf.CIQ(mh_ticker, "IQ_ST_INVEST", , B194), "")</f>
        <v/>
      </c>
      <c r="G194" s="11">
        <f>IFERROR(_xll.ciqfunctions.udf.CIQ(mh_ticker, "IQ_TOTAL_DEBT_EXCL_OPER_LEASES", , B194), "")</f>
        <v/>
      </c>
      <c r="H194" s="11">
        <f>IFERROR(_xll.ciqfunctions.udf.CIQ(mh_ticker, "IQ_PREF_EQUITY", , B194), "")</f>
        <v/>
      </c>
      <c r="I194" s="11">
        <f>IFERROR(_xll.ciqfunctions.udf.CIQ(mh_ticker, "IQ_MINORITY_INTEREST", , B194), "")</f>
        <v/>
      </c>
      <c r="J194" s="11">
        <f>IFERROR(_xll.ciqfunctions.udf.CIQ(mh_ticker, "IQ_EQUITY_METHOD", , B194), "")</f>
        <v/>
      </c>
      <c r="K194" s="11">
        <f>IFERROR(_xll.ciqfunctions.udf.CIQ(mh_ticker, "IQ_LT_Mark_Securities", , B194), "")</f>
        <v/>
      </c>
      <c r="L194" s="12">
        <f>IFERROR(C194*D194, "")</f>
        <v/>
      </c>
      <c r="M194" s="12">
        <f>IFERROR(L194-E194-F194+G194+H194+I194-J194-K194, "")</f>
        <v/>
      </c>
      <c r="N194" s="11">
        <f>IFERROR(_xll.ciqfunctions.udf.CIQ(mh_ticker, "IQ_EBITDA_EST", IQ_NTM, B194, , , "USD"), "")</f>
        <v/>
      </c>
      <c r="O194" s="13">
        <f>IFERROR(M194/N194, "")</f>
        <v/>
      </c>
    </row>
    <row r="195">
      <c r="B195" s="8" t="n"/>
      <c r="C195" s="9">
        <f>IFERROR(_xll.ciqfunctions.udf.CIQ(mh_ticker, "IQ_LASTSALEPRICE", B195), "")</f>
        <v/>
      </c>
      <c r="D195" s="10">
        <f>IFERROR(_xll.ciqfunctions.udf.CIQ(mh_ticker, "IQ_SHARESOUTSTANDING_OUT", B195), "")</f>
        <v/>
      </c>
      <c r="E195" s="11">
        <f>IFERROR(_xll.ciqfunctions.udf.CIQ(mh_ticker, "IQ_CASH_EQUIV", , B195), "")</f>
        <v/>
      </c>
      <c r="F195" s="11">
        <f>IFERROR(_xll.ciqfunctions.udf.CIQ(mh_ticker, "IQ_ST_INVEST", , B195), "")</f>
        <v/>
      </c>
      <c r="G195" s="11">
        <f>IFERROR(_xll.ciqfunctions.udf.CIQ(mh_ticker, "IQ_TOTAL_DEBT_EXCL_OPER_LEASES", , B195), "")</f>
        <v/>
      </c>
      <c r="H195" s="11">
        <f>IFERROR(_xll.ciqfunctions.udf.CIQ(mh_ticker, "IQ_PREF_EQUITY", , B195), "")</f>
        <v/>
      </c>
      <c r="I195" s="11">
        <f>IFERROR(_xll.ciqfunctions.udf.CIQ(mh_ticker, "IQ_MINORITY_INTEREST", , B195), "")</f>
        <v/>
      </c>
      <c r="J195" s="11">
        <f>IFERROR(_xll.ciqfunctions.udf.CIQ(mh_ticker, "IQ_EQUITY_METHOD", , B195), "")</f>
        <v/>
      </c>
      <c r="K195" s="11">
        <f>IFERROR(_xll.ciqfunctions.udf.CIQ(mh_ticker, "IQ_LT_Mark_Securities", , B195), "")</f>
        <v/>
      </c>
      <c r="L195" s="12">
        <f>IFERROR(C195*D195, "")</f>
        <v/>
      </c>
      <c r="M195" s="12">
        <f>IFERROR(L195-E195-F195+G195+H195+I195-J195-K195, "")</f>
        <v/>
      </c>
      <c r="N195" s="11">
        <f>IFERROR(_xll.ciqfunctions.udf.CIQ(mh_ticker, "IQ_EBITDA_EST", IQ_NTM, B195, , , "USD"), "")</f>
        <v/>
      </c>
      <c r="O195" s="13">
        <f>IFERROR(M195/N195, "")</f>
        <v/>
      </c>
    </row>
    <row r="196">
      <c r="B196" s="8" t="n"/>
      <c r="C196" s="9">
        <f>IFERROR(_xll.ciqfunctions.udf.CIQ(mh_ticker, "IQ_LASTSALEPRICE", B196), "")</f>
        <v/>
      </c>
      <c r="D196" s="10">
        <f>IFERROR(_xll.ciqfunctions.udf.CIQ(mh_ticker, "IQ_SHARESOUTSTANDING_OUT", B196), "")</f>
        <v/>
      </c>
      <c r="E196" s="11">
        <f>IFERROR(_xll.ciqfunctions.udf.CIQ(mh_ticker, "IQ_CASH_EQUIV", , B196), "")</f>
        <v/>
      </c>
      <c r="F196" s="11">
        <f>IFERROR(_xll.ciqfunctions.udf.CIQ(mh_ticker, "IQ_ST_INVEST", , B196), "")</f>
        <v/>
      </c>
      <c r="G196" s="11">
        <f>IFERROR(_xll.ciqfunctions.udf.CIQ(mh_ticker, "IQ_TOTAL_DEBT_EXCL_OPER_LEASES", , B196), "")</f>
        <v/>
      </c>
      <c r="H196" s="11">
        <f>IFERROR(_xll.ciqfunctions.udf.CIQ(mh_ticker, "IQ_PREF_EQUITY", , B196), "")</f>
        <v/>
      </c>
      <c r="I196" s="11">
        <f>IFERROR(_xll.ciqfunctions.udf.CIQ(mh_ticker, "IQ_MINORITY_INTEREST", , B196), "")</f>
        <v/>
      </c>
      <c r="J196" s="11">
        <f>IFERROR(_xll.ciqfunctions.udf.CIQ(mh_ticker, "IQ_EQUITY_METHOD", , B196), "")</f>
        <v/>
      </c>
      <c r="K196" s="11">
        <f>IFERROR(_xll.ciqfunctions.udf.CIQ(mh_ticker, "IQ_LT_Mark_Securities", , B196), "")</f>
        <v/>
      </c>
      <c r="L196" s="12">
        <f>IFERROR(C196*D196, "")</f>
        <v/>
      </c>
      <c r="M196" s="12">
        <f>IFERROR(L196-E196-F196+G196+H196+I196-J196-K196, "")</f>
        <v/>
      </c>
      <c r="N196" s="11">
        <f>IFERROR(_xll.ciqfunctions.udf.CIQ(mh_ticker, "IQ_EBITDA_EST", IQ_NTM, B196, , , "USD"), "")</f>
        <v/>
      </c>
      <c r="O196" s="13">
        <f>IFERROR(M196/N196, "")</f>
        <v/>
      </c>
    </row>
    <row r="197">
      <c r="B197" s="8" t="n"/>
      <c r="C197" s="9">
        <f>IFERROR(_xll.ciqfunctions.udf.CIQ(mh_ticker, "IQ_LASTSALEPRICE", B197), "")</f>
        <v/>
      </c>
      <c r="D197" s="10">
        <f>IFERROR(_xll.ciqfunctions.udf.CIQ(mh_ticker, "IQ_SHARESOUTSTANDING_OUT", B197), "")</f>
        <v/>
      </c>
      <c r="E197" s="11">
        <f>IFERROR(_xll.ciqfunctions.udf.CIQ(mh_ticker, "IQ_CASH_EQUIV", , B197), "")</f>
        <v/>
      </c>
      <c r="F197" s="11">
        <f>IFERROR(_xll.ciqfunctions.udf.CIQ(mh_ticker, "IQ_ST_INVEST", , B197), "")</f>
        <v/>
      </c>
      <c r="G197" s="11">
        <f>IFERROR(_xll.ciqfunctions.udf.CIQ(mh_ticker, "IQ_TOTAL_DEBT_EXCL_OPER_LEASES", , B197), "")</f>
        <v/>
      </c>
      <c r="H197" s="11">
        <f>IFERROR(_xll.ciqfunctions.udf.CIQ(mh_ticker, "IQ_PREF_EQUITY", , B197), "")</f>
        <v/>
      </c>
      <c r="I197" s="11">
        <f>IFERROR(_xll.ciqfunctions.udf.CIQ(mh_ticker, "IQ_MINORITY_INTEREST", , B197), "")</f>
        <v/>
      </c>
      <c r="J197" s="11">
        <f>IFERROR(_xll.ciqfunctions.udf.CIQ(mh_ticker, "IQ_EQUITY_METHOD", , B197), "")</f>
        <v/>
      </c>
      <c r="K197" s="11">
        <f>IFERROR(_xll.ciqfunctions.udf.CIQ(mh_ticker, "IQ_LT_Mark_Securities", , B197), "")</f>
        <v/>
      </c>
      <c r="L197" s="12">
        <f>IFERROR(C197*D197, "")</f>
        <v/>
      </c>
      <c r="M197" s="12">
        <f>IFERROR(L197-E197-F197+G197+H197+I197-J197-K197, "")</f>
        <v/>
      </c>
      <c r="N197" s="11">
        <f>IFERROR(_xll.ciqfunctions.udf.CIQ(mh_ticker, "IQ_EBITDA_EST", IQ_NTM, B197, , , "USD"), "")</f>
        <v/>
      </c>
      <c r="O197" s="13">
        <f>IFERROR(M197/N197, "")</f>
        <v/>
      </c>
    </row>
    <row r="198">
      <c r="B198" s="8" t="n"/>
      <c r="C198" s="9">
        <f>IFERROR(_xll.ciqfunctions.udf.CIQ(mh_ticker, "IQ_LASTSALEPRICE", B198), "")</f>
        <v/>
      </c>
      <c r="D198" s="10">
        <f>IFERROR(_xll.ciqfunctions.udf.CIQ(mh_ticker, "IQ_SHARESOUTSTANDING_OUT", B198), "")</f>
        <v/>
      </c>
      <c r="E198" s="11">
        <f>IFERROR(_xll.ciqfunctions.udf.CIQ(mh_ticker, "IQ_CASH_EQUIV", , B198), "")</f>
        <v/>
      </c>
      <c r="F198" s="11">
        <f>IFERROR(_xll.ciqfunctions.udf.CIQ(mh_ticker, "IQ_ST_INVEST", , B198), "")</f>
        <v/>
      </c>
      <c r="G198" s="11">
        <f>IFERROR(_xll.ciqfunctions.udf.CIQ(mh_ticker, "IQ_TOTAL_DEBT_EXCL_OPER_LEASES", , B198), "")</f>
        <v/>
      </c>
      <c r="H198" s="11">
        <f>IFERROR(_xll.ciqfunctions.udf.CIQ(mh_ticker, "IQ_PREF_EQUITY", , B198), "")</f>
        <v/>
      </c>
      <c r="I198" s="11">
        <f>IFERROR(_xll.ciqfunctions.udf.CIQ(mh_ticker, "IQ_MINORITY_INTEREST", , B198), "")</f>
        <v/>
      </c>
      <c r="J198" s="11">
        <f>IFERROR(_xll.ciqfunctions.udf.CIQ(mh_ticker, "IQ_EQUITY_METHOD", , B198), "")</f>
        <v/>
      </c>
      <c r="K198" s="11">
        <f>IFERROR(_xll.ciqfunctions.udf.CIQ(mh_ticker, "IQ_LT_Mark_Securities", , B198), "")</f>
        <v/>
      </c>
      <c r="L198" s="12">
        <f>IFERROR(C198*D198, "")</f>
        <v/>
      </c>
      <c r="M198" s="12">
        <f>IFERROR(L198-E198-F198+G198+H198+I198-J198-K198, "")</f>
        <v/>
      </c>
      <c r="N198" s="11">
        <f>IFERROR(_xll.ciqfunctions.udf.CIQ(mh_ticker, "IQ_EBITDA_EST", IQ_NTM, B198, , , "USD"), "")</f>
        <v/>
      </c>
      <c r="O198" s="13">
        <f>IFERROR(M198/N198, "")</f>
        <v/>
      </c>
    </row>
    <row r="199">
      <c r="B199" s="8" t="n"/>
      <c r="C199" s="9">
        <f>IFERROR(_xll.ciqfunctions.udf.CIQ(mh_ticker, "IQ_LASTSALEPRICE", B199), "")</f>
        <v/>
      </c>
      <c r="D199" s="10">
        <f>IFERROR(_xll.ciqfunctions.udf.CIQ(mh_ticker, "IQ_SHARESOUTSTANDING_OUT", B199), "")</f>
        <v/>
      </c>
      <c r="E199" s="11">
        <f>IFERROR(_xll.ciqfunctions.udf.CIQ(mh_ticker, "IQ_CASH_EQUIV", , B199), "")</f>
        <v/>
      </c>
      <c r="F199" s="11">
        <f>IFERROR(_xll.ciqfunctions.udf.CIQ(mh_ticker, "IQ_ST_INVEST", , B199), "")</f>
        <v/>
      </c>
      <c r="G199" s="11">
        <f>IFERROR(_xll.ciqfunctions.udf.CIQ(mh_ticker, "IQ_TOTAL_DEBT_EXCL_OPER_LEASES", , B199), "")</f>
        <v/>
      </c>
      <c r="H199" s="11">
        <f>IFERROR(_xll.ciqfunctions.udf.CIQ(mh_ticker, "IQ_PREF_EQUITY", , B199), "")</f>
        <v/>
      </c>
      <c r="I199" s="11">
        <f>IFERROR(_xll.ciqfunctions.udf.CIQ(mh_ticker, "IQ_MINORITY_INTEREST", , B199), "")</f>
        <v/>
      </c>
      <c r="J199" s="11">
        <f>IFERROR(_xll.ciqfunctions.udf.CIQ(mh_ticker, "IQ_EQUITY_METHOD", , B199), "")</f>
        <v/>
      </c>
      <c r="K199" s="11">
        <f>IFERROR(_xll.ciqfunctions.udf.CIQ(mh_ticker, "IQ_LT_Mark_Securities", , B199), "")</f>
        <v/>
      </c>
      <c r="L199" s="12">
        <f>IFERROR(C199*D199, "")</f>
        <v/>
      </c>
      <c r="M199" s="12">
        <f>IFERROR(L199-E199-F199+G199+H199+I199-J199-K199, "")</f>
        <v/>
      </c>
      <c r="N199" s="11">
        <f>IFERROR(_xll.ciqfunctions.udf.CIQ(mh_ticker, "IQ_EBITDA_EST", IQ_NTM, B199, , , "USD"), "")</f>
        <v/>
      </c>
      <c r="O199" s="13">
        <f>IFERROR(M199/N199, "")</f>
        <v/>
      </c>
    </row>
    <row r="200">
      <c r="B200" s="8" t="n"/>
      <c r="C200" s="9">
        <f>IFERROR(_xll.ciqfunctions.udf.CIQ(mh_ticker, "IQ_LASTSALEPRICE", B200), "")</f>
        <v/>
      </c>
      <c r="D200" s="10">
        <f>IFERROR(_xll.ciqfunctions.udf.CIQ(mh_ticker, "IQ_SHARESOUTSTANDING_OUT", B200), "")</f>
        <v/>
      </c>
      <c r="E200" s="11">
        <f>IFERROR(_xll.ciqfunctions.udf.CIQ(mh_ticker, "IQ_CASH_EQUIV", , B200), "")</f>
        <v/>
      </c>
      <c r="F200" s="11">
        <f>IFERROR(_xll.ciqfunctions.udf.CIQ(mh_ticker, "IQ_ST_INVEST", , B200), "")</f>
        <v/>
      </c>
      <c r="G200" s="11">
        <f>IFERROR(_xll.ciqfunctions.udf.CIQ(mh_ticker, "IQ_TOTAL_DEBT_EXCL_OPER_LEASES", , B200), "")</f>
        <v/>
      </c>
      <c r="H200" s="11">
        <f>IFERROR(_xll.ciqfunctions.udf.CIQ(mh_ticker, "IQ_PREF_EQUITY", , B200), "")</f>
        <v/>
      </c>
      <c r="I200" s="11">
        <f>IFERROR(_xll.ciqfunctions.udf.CIQ(mh_ticker, "IQ_MINORITY_INTEREST", , B200), "")</f>
        <v/>
      </c>
      <c r="J200" s="11">
        <f>IFERROR(_xll.ciqfunctions.udf.CIQ(mh_ticker, "IQ_EQUITY_METHOD", , B200), "")</f>
        <v/>
      </c>
      <c r="K200" s="11">
        <f>IFERROR(_xll.ciqfunctions.udf.CIQ(mh_ticker, "IQ_LT_Mark_Securities", , B200), "")</f>
        <v/>
      </c>
      <c r="L200" s="12">
        <f>IFERROR(C200*D200, "")</f>
        <v/>
      </c>
      <c r="M200" s="12">
        <f>IFERROR(L200-E200-F200+G200+H200+I200-J200-K200, "")</f>
        <v/>
      </c>
      <c r="N200" s="11">
        <f>IFERROR(_xll.ciqfunctions.udf.CIQ(mh_ticker, "IQ_EBITDA_EST", IQ_NTM, B200, , , "USD"), "")</f>
        <v/>
      </c>
      <c r="O200" s="13">
        <f>IFERROR(M200/N200, "")</f>
        <v/>
      </c>
    </row>
    <row r="201">
      <c r="B201" s="8" t="n"/>
      <c r="C201" s="9">
        <f>IFERROR(_xll.ciqfunctions.udf.CIQ(mh_ticker, "IQ_LASTSALEPRICE", B201), "")</f>
        <v/>
      </c>
      <c r="D201" s="10">
        <f>IFERROR(_xll.ciqfunctions.udf.CIQ(mh_ticker, "IQ_SHARESOUTSTANDING_OUT", B201), "")</f>
        <v/>
      </c>
      <c r="E201" s="11">
        <f>IFERROR(_xll.ciqfunctions.udf.CIQ(mh_ticker, "IQ_CASH_EQUIV", , B201), "")</f>
        <v/>
      </c>
      <c r="F201" s="11">
        <f>IFERROR(_xll.ciqfunctions.udf.CIQ(mh_ticker, "IQ_ST_INVEST", , B201), "")</f>
        <v/>
      </c>
      <c r="G201" s="11">
        <f>IFERROR(_xll.ciqfunctions.udf.CIQ(mh_ticker, "IQ_TOTAL_DEBT_EXCL_OPER_LEASES", , B201), "")</f>
        <v/>
      </c>
      <c r="H201" s="11">
        <f>IFERROR(_xll.ciqfunctions.udf.CIQ(mh_ticker, "IQ_PREF_EQUITY", , B201), "")</f>
        <v/>
      </c>
      <c r="I201" s="11">
        <f>IFERROR(_xll.ciqfunctions.udf.CIQ(mh_ticker, "IQ_MINORITY_INTEREST", , B201), "")</f>
        <v/>
      </c>
      <c r="J201" s="11">
        <f>IFERROR(_xll.ciqfunctions.udf.CIQ(mh_ticker, "IQ_EQUITY_METHOD", , B201), "")</f>
        <v/>
      </c>
      <c r="K201" s="11">
        <f>IFERROR(_xll.ciqfunctions.udf.CIQ(mh_ticker, "IQ_LT_Mark_Securities", , B201), "")</f>
        <v/>
      </c>
      <c r="L201" s="12">
        <f>IFERROR(C201*D201, "")</f>
        <v/>
      </c>
      <c r="M201" s="12">
        <f>IFERROR(L201-E201-F201+G201+H201+I201-J201-K201, "")</f>
        <v/>
      </c>
      <c r="N201" s="11">
        <f>IFERROR(_xll.ciqfunctions.udf.CIQ(mh_ticker, "IQ_EBITDA_EST", IQ_NTM, B201, , , "USD"), "")</f>
        <v/>
      </c>
      <c r="O201" s="13">
        <f>IFERROR(M201/N201, "")</f>
        <v/>
      </c>
    </row>
    <row r="202">
      <c r="B202" s="8" t="n"/>
      <c r="C202" s="9">
        <f>IFERROR(_xll.ciqfunctions.udf.CIQ(mh_ticker, "IQ_LASTSALEPRICE", B202), "")</f>
        <v/>
      </c>
      <c r="D202" s="10">
        <f>IFERROR(_xll.ciqfunctions.udf.CIQ(mh_ticker, "IQ_SHARESOUTSTANDING_OUT", B202), "")</f>
        <v/>
      </c>
      <c r="E202" s="11">
        <f>IFERROR(_xll.ciqfunctions.udf.CIQ(mh_ticker, "IQ_CASH_EQUIV", , B202), "")</f>
        <v/>
      </c>
      <c r="F202" s="11">
        <f>IFERROR(_xll.ciqfunctions.udf.CIQ(mh_ticker, "IQ_ST_INVEST", , B202), "")</f>
        <v/>
      </c>
      <c r="G202" s="11">
        <f>IFERROR(_xll.ciqfunctions.udf.CIQ(mh_ticker, "IQ_TOTAL_DEBT_EXCL_OPER_LEASES", , B202), "")</f>
        <v/>
      </c>
      <c r="H202" s="11">
        <f>IFERROR(_xll.ciqfunctions.udf.CIQ(mh_ticker, "IQ_PREF_EQUITY", , B202), "")</f>
        <v/>
      </c>
      <c r="I202" s="11">
        <f>IFERROR(_xll.ciqfunctions.udf.CIQ(mh_ticker, "IQ_MINORITY_INTEREST", , B202), "")</f>
        <v/>
      </c>
      <c r="J202" s="11">
        <f>IFERROR(_xll.ciqfunctions.udf.CIQ(mh_ticker, "IQ_EQUITY_METHOD", , B202), "")</f>
        <v/>
      </c>
      <c r="K202" s="11">
        <f>IFERROR(_xll.ciqfunctions.udf.CIQ(mh_ticker, "IQ_LT_Mark_Securities", , B202), "")</f>
        <v/>
      </c>
      <c r="L202" s="12">
        <f>IFERROR(C202*D202, "")</f>
        <v/>
      </c>
      <c r="M202" s="12">
        <f>IFERROR(L202-E202-F202+G202+H202+I202-J202-K202, "")</f>
        <v/>
      </c>
      <c r="N202" s="11">
        <f>IFERROR(_xll.ciqfunctions.udf.CIQ(mh_ticker, "IQ_EBITDA_EST", IQ_NTM, B202, , , "USD"), "")</f>
        <v/>
      </c>
      <c r="O202" s="13">
        <f>IFERROR(M202/N202, "")</f>
        <v/>
      </c>
    </row>
    <row r="203">
      <c r="B203" s="8" t="n"/>
      <c r="C203" s="9">
        <f>IFERROR(_xll.ciqfunctions.udf.CIQ(mh_ticker, "IQ_LASTSALEPRICE", B203), "")</f>
        <v/>
      </c>
      <c r="D203" s="10">
        <f>IFERROR(_xll.ciqfunctions.udf.CIQ(mh_ticker, "IQ_SHARESOUTSTANDING_OUT", B203), "")</f>
        <v/>
      </c>
      <c r="E203" s="11">
        <f>IFERROR(_xll.ciqfunctions.udf.CIQ(mh_ticker, "IQ_CASH_EQUIV", , B203), "")</f>
        <v/>
      </c>
      <c r="F203" s="11">
        <f>IFERROR(_xll.ciqfunctions.udf.CIQ(mh_ticker, "IQ_ST_INVEST", , B203), "")</f>
        <v/>
      </c>
      <c r="G203" s="11">
        <f>IFERROR(_xll.ciqfunctions.udf.CIQ(mh_ticker, "IQ_TOTAL_DEBT_EXCL_OPER_LEASES", , B203), "")</f>
        <v/>
      </c>
      <c r="H203" s="11">
        <f>IFERROR(_xll.ciqfunctions.udf.CIQ(mh_ticker, "IQ_PREF_EQUITY", , B203), "")</f>
        <v/>
      </c>
      <c r="I203" s="11">
        <f>IFERROR(_xll.ciqfunctions.udf.CIQ(mh_ticker, "IQ_MINORITY_INTEREST", , B203), "")</f>
        <v/>
      </c>
      <c r="J203" s="11">
        <f>IFERROR(_xll.ciqfunctions.udf.CIQ(mh_ticker, "IQ_EQUITY_METHOD", , B203), "")</f>
        <v/>
      </c>
      <c r="K203" s="11">
        <f>IFERROR(_xll.ciqfunctions.udf.CIQ(mh_ticker, "IQ_LT_Mark_Securities", , B203), "")</f>
        <v/>
      </c>
      <c r="L203" s="12">
        <f>IFERROR(C203*D203, "")</f>
        <v/>
      </c>
      <c r="M203" s="12">
        <f>IFERROR(L203-E203-F203+G203+H203+I203-J203-K203, "")</f>
        <v/>
      </c>
      <c r="N203" s="11">
        <f>IFERROR(_xll.ciqfunctions.udf.CIQ(mh_ticker, "IQ_EBITDA_EST", IQ_NTM, B203, , , "USD"), "")</f>
        <v/>
      </c>
      <c r="O203" s="13">
        <f>IFERROR(M203/N203, "")</f>
        <v/>
      </c>
    </row>
    <row r="204">
      <c r="B204" s="8" t="n"/>
      <c r="C204" s="9">
        <f>IFERROR(_xll.ciqfunctions.udf.CIQ(mh_ticker, "IQ_LASTSALEPRICE", B204), "")</f>
        <v/>
      </c>
      <c r="D204" s="10">
        <f>IFERROR(_xll.ciqfunctions.udf.CIQ(mh_ticker, "IQ_SHARESOUTSTANDING_OUT", B204), "")</f>
        <v/>
      </c>
      <c r="E204" s="11">
        <f>IFERROR(_xll.ciqfunctions.udf.CIQ(mh_ticker, "IQ_CASH_EQUIV", , B204), "")</f>
        <v/>
      </c>
      <c r="F204" s="11">
        <f>IFERROR(_xll.ciqfunctions.udf.CIQ(mh_ticker, "IQ_ST_INVEST", , B204), "")</f>
        <v/>
      </c>
      <c r="G204" s="11">
        <f>IFERROR(_xll.ciqfunctions.udf.CIQ(mh_ticker, "IQ_TOTAL_DEBT_EXCL_OPER_LEASES", , B204), "")</f>
        <v/>
      </c>
      <c r="H204" s="11">
        <f>IFERROR(_xll.ciqfunctions.udf.CIQ(mh_ticker, "IQ_PREF_EQUITY", , B204), "")</f>
        <v/>
      </c>
      <c r="I204" s="11">
        <f>IFERROR(_xll.ciqfunctions.udf.CIQ(mh_ticker, "IQ_MINORITY_INTEREST", , B204), "")</f>
        <v/>
      </c>
      <c r="J204" s="11">
        <f>IFERROR(_xll.ciqfunctions.udf.CIQ(mh_ticker, "IQ_EQUITY_METHOD", , B204), "")</f>
        <v/>
      </c>
      <c r="K204" s="11">
        <f>IFERROR(_xll.ciqfunctions.udf.CIQ(mh_ticker, "IQ_LT_Mark_Securities", , B204), "")</f>
        <v/>
      </c>
      <c r="L204" s="12">
        <f>IFERROR(C204*D204, "")</f>
        <v/>
      </c>
      <c r="M204" s="12">
        <f>IFERROR(L204-E204-F204+G204+H204+I204-J204-K204, "")</f>
        <v/>
      </c>
      <c r="N204" s="11">
        <f>IFERROR(_xll.ciqfunctions.udf.CIQ(mh_ticker, "IQ_EBITDA_EST", IQ_NTM, B204, , , "USD"), "")</f>
        <v/>
      </c>
      <c r="O204" s="13">
        <f>IFERROR(M204/N204, "")</f>
        <v/>
      </c>
    </row>
    <row r="205">
      <c r="B205" s="8" t="n"/>
      <c r="C205" s="9">
        <f>IFERROR(_xll.ciqfunctions.udf.CIQ(mh_ticker, "IQ_LASTSALEPRICE", B205), "")</f>
        <v/>
      </c>
      <c r="D205" s="10">
        <f>IFERROR(_xll.ciqfunctions.udf.CIQ(mh_ticker, "IQ_SHARESOUTSTANDING_OUT", B205), "")</f>
        <v/>
      </c>
      <c r="E205" s="11">
        <f>IFERROR(_xll.ciqfunctions.udf.CIQ(mh_ticker, "IQ_CASH_EQUIV", , B205), "")</f>
        <v/>
      </c>
      <c r="F205" s="11">
        <f>IFERROR(_xll.ciqfunctions.udf.CIQ(mh_ticker, "IQ_ST_INVEST", , B205), "")</f>
        <v/>
      </c>
      <c r="G205" s="11">
        <f>IFERROR(_xll.ciqfunctions.udf.CIQ(mh_ticker, "IQ_TOTAL_DEBT_EXCL_OPER_LEASES", , B205), "")</f>
        <v/>
      </c>
      <c r="H205" s="11">
        <f>IFERROR(_xll.ciqfunctions.udf.CIQ(mh_ticker, "IQ_PREF_EQUITY", , B205), "")</f>
        <v/>
      </c>
      <c r="I205" s="11">
        <f>IFERROR(_xll.ciqfunctions.udf.CIQ(mh_ticker, "IQ_MINORITY_INTEREST", , B205), "")</f>
        <v/>
      </c>
      <c r="J205" s="11">
        <f>IFERROR(_xll.ciqfunctions.udf.CIQ(mh_ticker, "IQ_EQUITY_METHOD", , B205), "")</f>
        <v/>
      </c>
      <c r="K205" s="11">
        <f>IFERROR(_xll.ciqfunctions.udf.CIQ(mh_ticker, "IQ_LT_Mark_Securities", , B205), "")</f>
        <v/>
      </c>
      <c r="L205" s="12">
        <f>IFERROR(C205*D205, "")</f>
        <v/>
      </c>
      <c r="M205" s="12">
        <f>IFERROR(L205-E205-F205+G205+H205+I205-J205-K205, "")</f>
        <v/>
      </c>
      <c r="N205" s="11">
        <f>IFERROR(_xll.ciqfunctions.udf.CIQ(mh_ticker, "IQ_EBITDA_EST", IQ_NTM, B205, , , "USD"), "")</f>
        <v/>
      </c>
      <c r="O205" s="13">
        <f>IFERROR(M205/N205, "")</f>
        <v/>
      </c>
    </row>
    <row r="206">
      <c r="B206" s="8" t="n"/>
      <c r="C206" s="9">
        <f>IFERROR(_xll.ciqfunctions.udf.CIQ(mh_ticker, "IQ_LASTSALEPRICE", B206), "")</f>
        <v/>
      </c>
      <c r="D206" s="10">
        <f>IFERROR(_xll.ciqfunctions.udf.CIQ(mh_ticker, "IQ_SHARESOUTSTANDING_OUT", B206), "")</f>
        <v/>
      </c>
      <c r="E206" s="11">
        <f>IFERROR(_xll.ciqfunctions.udf.CIQ(mh_ticker, "IQ_CASH_EQUIV", , B206), "")</f>
        <v/>
      </c>
      <c r="F206" s="11">
        <f>IFERROR(_xll.ciqfunctions.udf.CIQ(mh_ticker, "IQ_ST_INVEST", , B206), "")</f>
        <v/>
      </c>
      <c r="G206" s="11">
        <f>IFERROR(_xll.ciqfunctions.udf.CIQ(mh_ticker, "IQ_TOTAL_DEBT_EXCL_OPER_LEASES", , B206), "")</f>
        <v/>
      </c>
      <c r="H206" s="11">
        <f>IFERROR(_xll.ciqfunctions.udf.CIQ(mh_ticker, "IQ_PREF_EQUITY", , B206), "")</f>
        <v/>
      </c>
      <c r="I206" s="11">
        <f>IFERROR(_xll.ciqfunctions.udf.CIQ(mh_ticker, "IQ_MINORITY_INTEREST", , B206), "")</f>
        <v/>
      </c>
      <c r="J206" s="11">
        <f>IFERROR(_xll.ciqfunctions.udf.CIQ(mh_ticker, "IQ_EQUITY_METHOD", , B206), "")</f>
        <v/>
      </c>
      <c r="K206" s="11">
        <f>IFERROR(_xll.ciqfunctions.udf.CIQ(mh_ticker, "IQ_LT_Mark_Securities", , B206), "")</f>
        <v/>
      </c>
      <c r="L206" s="12">
        <f>IFERROR(C206*D206, "")</f>
        <v/>
      </c>
      <c r="M206" s="12">
        <f>IFERROR(L206-E206-F206+G206+H206+I206-J206-K206, "")</f>
        <v/>
      </c>
      <c r="N206" s="11">
        <f>IFERROR(_xll.ciqfunctions.udf.CIQ(mh_ticker, "IQ_EBITDA_EST", IQ_NTM, B206, , , "USD"), "")</f>
        <v/>
      </c>
      <c r="O206" s="13">
        <f>IFERROR(M206/N206, "")</f>
        <v/>
      </c>
    </row>
    <row r="207">
      <c r="B207" s="8" t="n"/>
      <c r="C207" s="9">
        <f>IFERROR(_xll.ciqfunctions.udf.CIQ(mh_ticker, "IQ_LASTSALEPRICE", B207), "")</f>
        <v/>
      </c>
      <c r="D207" s="10">
        <f>IFERROR(_xll.ciqfunctions.udf.CIQ(mh_ticker, "IQ_SHARESOUTSTANDING_OUT", B207), "")</f>
        <v/>
      </c>
      <c r="E207" s="11">
        <f>IFERROR(_xll.ciqfunctions.udf.CIQ(mh_ticker, "IQ_CASH_EQUIV", , B207), "")</f>
        <v/>
      </c>
      <c r="F207" s="11">
        <f>IFERROR(_xll.ciqfunctions.udf.CIQ(mh_ticker, "IQ_ST_INVEST", , B207), "")</f>
        <v/>
      </c>
      <c r="G207" s="11">
        <f>IFERROR(_xll.ciqfunctions.udf.CIQ(mh_ticker, "IQ_TOTAL_DEBT_EXCL_OPER_LEASES", , B207), "")</f>
        <v/>
      </c>
      <c r="H207" s="11">
        <f>IFERROR(_xll.ciqfunctions.udf.CIQ(mh_ticker, "IQ_PREF_EQUITY", , B207), "")</f>
        <v/>
      </c>
      <c r="I207" s="11">
        <f>IFERROR(_xll.ciqfunctions.udf.CIQ(mh_ticker, "IQ_MINORITY_INTEREST", , B207), "")</f>
        <v/>
      </c>
      <c r="J207" s="11">
        <f>IFERROR(_xll.ciqfunctions.udf.CIQ(mh_ticker, "IQ_EQUITY_METHOD", , B207), "")</f>
        <v/>
      </c>
      <c r="K207" s="11">
        <f>IFERROR(_xll.ciqfunctions.udf.CIQ(mh_ticker, "IQ_LT_Mark_Securities", , B207), "")</f>
        <v/>
      </c>
      <c r="L207" s="12">
        <f>IFERROR(C207*D207, "")</f>
        <v/>
      </c>
      <c r="M207" s="12">
        <f>IFERROR(L207-E207-F207+G207+H207+I207-J207-K207, "")</f>
        <v/>
      </c>
      <c r="N207" s="11">
        <f>IFERROR(_xll.ciqfunctions.udf.CIQ(mh_ticker, "IQ_EBITDA_EST", IQ_NTM, B207, , , "USD"), "")</f>
        <v/>
      </c>
      <c r="O207" s="13">
        <f>IFERROR(M207/N207, "")</f>
        <v/>
      </c>
    </row>
    <row r="208">
      <c r="B208" s="8" t="n"/>
      <c r="C208" s="9">
        <f>IFERROR(_xll.ciqfunctions.udf.CIQ(mh_ticker, "IQ_LASTSALEPRICE", B208), "")</f>
        <v/>
      </c>
      <c r="D208" s="10">
        <f>IFERROR(_xll.ciqfunctions.udf.CIQ(mh_ticker, "IQ_SHARESOUTSTANDING_OUT", B208), "")</f>
        <v/>
      </c>
      <c r="E208" s="11">
        <f>IFERROR(_xll.ciqfunctions.udf.CIQ(mh_ticker, "IQ_CASH_EQUIV", , B208), "")</f>
        <v/>
      </c>
      <c r="F208" s="11">
        <f>IFERROR(_xll.ciqfunctions.udf.CIQ(mh_ticker, "IQ_ST_INVEST", , B208), "")</f>
        <v/>
      </c>
      <c r="G208" s="11">
        <f>IFERROR(_xll.ciqfunctions.udf.CIQ(mh_ticker, "IQ_TOTAL_DEBT_EXCL_OPER_LEASES", , B208), "")</f>
        <v/>
      </c>
      <c r="H208" s="11">
        <f>IFERROR(_xll.ciqfunctions.udf.CIQ(mh_ticker, "IQ_PREF_EQUITY", , B208), "")</f>
        <v/>
      </c>
      <c r="I208" s="11">
        <f>IFERROR(_xll.ciqfunctions.udf.CIQ(mh_ticker, "IQ_MINORITY_INTEREST", , B208), "")</f>
        <v/>
      </c>
      <c r="J208" s="11">
        <f>IFERROR(_xll.ciqfunctions.udf.CIQ(mh_ticker, "IQ_EQUITY_METHOD", , B208), "")</f>
        <v/>
      </c>
      <c r="K208" s="11">
        <f>IFERROR(_xll.ciqfunctions.udf.CIQ(mh_ticker, "IQ_LT_Mark_Securities", , B208), "")</f>
        <v/>
      </c>
      <c r="L208" s="12">
        <f>IFERROR(C208*D208, "")</f>
        <v/>
      </c>
      <c r="M208" s="12">
        <f>IFERROR(L208-E208-F208+G208+H208+I208-J208-K208, "")</f>
        <v/>
      </c>
      <c r="N208" s="11">
        <f>IFERROR(_xll.ciqfunctions.udf.CIQ(mh_ticker, "IQ_EBITDA_EST", IQ_NTM, B208, , , "USD"), "")</f>
        <v/>
      </c>
      <c r="O208" s="13">
        <f>IFERROR(M208/N208, "")</f>
        <v/>
      </c>
    </row>
    <row r="209">
      <c r="B209" s="8" t="n"/>
      <c r="C209" s="9">
        <f>IFERROR(_xll.ciqfunctions.udf.CIQ(mh_ticker, "IQ_LASTSALEPRICE", B209), "")</f>
        <v/>
      </c>
      <c r="D209" s="10">
        <f>IFERROR(_xll.ciqfunctions.udf.CIQ(mh_ticker, "IQ_SHARESOUTSTANDING_OUT", B209), "")</f>
        <v/>
      </c>
      <c r="E209" s="11">
        <f>IFERROR(_xll.ciqfunctions.udf.CIQ(mh_ticker, "IQ_CASH_EQUIV", , B209), "")</f>
        <v/>
      </c>
      <c r="F209" s="11">
        <f>IFERROR(_xll.ciqfunctions.udf.CIQ(mh_ticker, "IQ_ST_INVEST", , B209), "")</f>
        <v/>
      </c>
      <c r="G209" s="11">
        <f>IFERROR(_xll.ciqfunctions.udf.CIQ(mh_ticker, "IQ_TOTAL_DEBT_EXCL_OPER_LEASES", , B209), "")</f>
        <v/>
      </c>
      <c r="H209" s="11">
        <f>IFERROR(_xll.ciqfunctions.udf.CIQ(mh_ticker, "IQ_PREF_EQUITY", , B209), "")</f>
        <v/>
      </c>
      <c r="I209" s="11">
        <f>IFERROR(_xll.ciqfunctions.udf.CIQ(mh_ticker, "IQ_MINORITY_INTEREST", , B209), "")</f>
        <v/>
      </c>
      <c r="J209" s="11">
        <f>IFERROR(_xll.ciqfunctions.udf.CIQ(mh_ticker, "IQ_EQUITY_METHOD", , B209), "")</f>
        <v/>
      </c>
      <c r="K209" s="11">
        <f>IFERROR(_xll.ciqfunctions.udf.CIQ(mh_ticker, "IQ_LT_Mark_Securities", , B209), "")</f>
        <v/>
      </c>
      <c r="L209" s="12">
        <f>IFERROR(C209*D209, "")</f>
        <v/>
      </c>
      <c r="M209" s="12">
        <f>IFERROR(L209-E209-F209+G209+H209+I209-J209-K209, "")</f>
        <v/>
      </c>
      <c r="N209" s="11">
        <f>IFERROR(_xll.ciqfunctions.udf.CIQ(mh_ticker, "IQ_EBITDA_EST", IQ_NTM, B209, , , "USD"), "")</f>
        <v/>
      </c>
      <c r="O209" s="13">
        <f>IFERROR(M209/N209, "")</f>
        <v/>
      </c>
    </row>
    <row r="210">
      <c r="B210" s="8" t="n"/>
      <c r="C210" s="9">
        <f>IFERROR(_xll.ciqfunctions.udf.CIQ(mh_ticker, "IQ_LASTSALEPRICE", B210), "")</f>
        <v/>
      </c>
      <c r="D210" s="10">
        <f>IFERROR(_xll.ciqfunctions.udf.CIQ(mh_ticker, "IQ_SHARESOUTSTANDING_OUT", B210), "")</f>
        <v/>
      </c>
      <c r="E210" s="11">
        <f>IFERROR(_xll.ciqfunctions.udf.CIQ(mh_ticker, "IQ_CASH_EQUIV", , B210), "")</f>
        <v/>
      </c>
      <c r="F210" s="11">
        <f>IFERROR(_xll.ciqfunctions.udf.CIQ(mh_ticker, "IQ_ST_INVEST", , B210), "")</f>
        <v/>
      </c>
      <c r="G210" s="11">
        <f>IFERROR(_xll.ciqfunctions.udf.CIQ(mh_ticker, "IQ_TOTAL_DEBT_EXCL_OPER_LEASES", , B210), "")</f>
        <v/>
      </c>
      <c r="H210" s="11">
        <f>IFERROR(_xll.ciqfunctions.udf.CIQ(mh_ticker, "IQ_PREF_EQUITY", , B210), "")</f>
        <v/>
      </c>
      <c r="I210" s="11">
        <f>IFERROR(_xll.ciqfunctions.udf.CIQ(mh_ticker, "IQ_MINORITY_INTEREST", , B210), "")</f>
        <v/>
      </c>
      <c r="J210" s="11">
        <f>IFERROR(_xll.ciqfunctions.udf.CIQ(mh_ticker, "IQ_EQUITY_METHOD", , B210), "")</f>
        <v/>
      </c>
      <c r="K210" s="11">
        <f>IFERROR(_xll.ciqfunctions.udf.CIQ(mh_ticker, "IQ_LT_Mark_Securities", , B210), "")</f>
        <v/>
      </c>
      <c r="L210" s="12">
        <f>IFERROR(C210*D210, "")</f>
        <v/>
      </c>
      <c r="M210" s="12">
        <f>IFERROR(L210-E210-F210+G210+H210+I210-J210-K210, "")</f>
        <v/>
      </c>
      <c r="N210" s="11">
        <f>IFERROR(_xll.ciqfunctions.udf.CIQ(mh_ticker, "IQ_EBITDA_EST", IQ_NTM, B210, , , "USD"), "")</f>
        <v/>
      </c>
      <c r="O210" s="13">
        <f>IFERROR(M210/N210, "")</f>
        <v/>
      </c>
    </row>
    <row r="211">
      <c r="B211" s="8" t="n"/>
      <c r="C211" s="9">
        <f>IFERROR(_xll.ciqfunctions.udf.CIQ(mh_ticker, "IQ_LASTSALEPRICE", B211), "")</f>
        <v/>
      </c>
      <c r="D211" s="10">
        <f>IFERROR(_xll.ciqfunctions.udf.CIQ(mh_ticker, "IQ_SHARESOUTSTANDING_OUT", B211), "")</f>
        <v/>
      </c>
      <c r="E211" s="11">
        <f>IFERROR(_xll.ciqfunctions.udf.CIQ(mh_ticker, "IQ_CASH_EQUIV", , B211), "")</f>
        <v/>
      </c>
      <c r="F211" s="11">
        <f>IFERROR(_xll.ciqfunctions.udf.CIQ(mh_ticker, "IQ_ST_INVEST", , B211), "")</f>
        <v/>
      </c>
      <c r="G211" s="11">
        <f>IFERROR(_xll.ciqfunctions.udf.CIQ(mh_ticker, "IQ_TOTAL_DEBT_EXCL_OPER_LEASES", , B211), "")</f>
        <v/>
      </c>
      <c r="H211" s="11">
        <f>IFERROR(_xll.ciqfunctions.udf.CIQ(mh_ticker, "IQ_PREF_EQUITY", , B211), "")</f>
        <v/>
      </c>
      <c r="I211" s="11">
        <f>IFERROR(_xll.ciqfunctions.udf.CIQ(mh_ticker, "IQ_MINORITY_INTEREST", , B211), "")</f>
        <v/>
      </c>
      <c r="J211" s="11">
        <f>IFERROR(_xll.ciqfunctions.udf.CIQ(mh_ticker, "IQ_EQUITY_METHOD", , B211), "")</f>
        <v/>
      </c>
      <c r="K211" s="11">
        <f>IFERROR(_xll.ciqfunctions.udf.CIQ(mh_ticker, "IQ_LT_Mark_Securities", , B211), "")</f>
        <v/>
      </c>
      <c r="L211" s="12">
        <f>IFERROR(C211*D211, "")</f>
        <v/>
      </c>
      <c r="M211" s="12">
        <f>IFERROR(L211-E211-F211+G211+H211+I211-J211-K211, "")</f>
        <v/>
      </c>
      <c r="N211" s="11">
        <f>IFERROR(_xll.ciqfunctions.udf.CIQ(mh_ticker, "IQ_EBITDA_EST", IQ_NTM, B211, , , "USD"), "")</f>
        <v/>
      </c>
      <c r="O211" s="13">
        <f>IFERROR(M211/N211, "")</f>
        <v/>
      </c>
    </row>
    <row r="212">
      <c r="B212" s="8" t="n"/>
      <c r="C212" s="9">
        <f>IFERROR(_xll.ciqfunctions.udf.CIQ(mh_ticker, "IQ_LASTSALEPRICE", B212), "")</f>
        <v/>
      </c>
      <c r="D212" s="10">
        <f>IFERROR(_xll.ciqfunctions.udf.CIQ(mh_ticker, "IQ_SHARESOUTSTANDING_OUT", B212), "")</f>
        <v/>
      </c>
      <c r="E212" s="11">
        <f>IFERROR(_xll.ciqfunctions.udf.CIQ(mh_ticker, "IQ_CASH_EQUIV", , B212), "")</f>
        <v/>
      </c>
      <c r="F212" s="11">
        <f>IFERROR(_xll.ciqfunctions.udf.CIQ(mh_ticker, "IQ_ST_INVEST", , B212), "")</f>
        <v/>
      </c>
      <c r="G212" s="11">
        <f>IFERROR(_xll.ciqfunctions.udf.CIQ(mh_ticker, "IQ_TOTAL_DEBT_EXCL_OPER_LEASES", , B212), "")</f>
        <v/>
      </c>
      <c r="H212" s="11">
        <f>IFERROR(_xll.ciqfunctions.udf.CIQ(mh_ticker, "IQ_PREF_EQUITY", , B212), "")</f>
        <v/>
      </c>
      <c r="I212" s="11">
        <f>IFERROR(_xll.ciqfunctions.udf.CIQ(mh_ticker, "IQ_MINORITY_INTEREST", , B212), "")</f>
        <v/>
      </c>
      <c r="J212" s="11">
        <f>IFERROR(_xll.ciqfunctions.udf.CIQ(mh_ticker, "IQ_EQUITY_METHOD", , B212), "")</f>
        <v/>
      </c>
      <c r="K212" s="11">
        <f>IFERROR(_xll.ciqfunctions.udf.CIQ(mh_ticker, "IQ_LT_Mark_Securities", , B212), "")</f>
        <v/>
      </c>
      <c r="L212" s="12">
        <f>IFERROR(C212*D212, "")</f>
        <v/>
      </c>
      <c r="M212" s="12">
        <f>IFERROR(L212-E212-F212+G212+H212+I212-J212-K212, "")</f>
        <v/>
      </c>
      <c r="N212" s="11">
        <f>IFERROR(_xll.ciqfunctions.udf.CIQ(mh_ticker, "IQ_EBITDA_EST", IQ_NTM, B212, , , "USD"), "")</f>
        <v/>
      </c>
      <c r="O212" s="13">
        <f>IFERROR(M212/N212, "")</f>
        <v/>
      </c>
    </row>
    <row r="213">
      <c r="B213" s="8" t="n"/>
      <c r="C213" s="9">
        <f>IFERROR(_xll.ciqfunctions.udf.CIQ(mh_ticker, "IQ_LASTSALEPRICE", B213), "")</f>
        <v/>
      </c>
      <c r="D213" s="10">
        <f>IFERROR(_xll.ciqfunctions.udf.CIQ(mh_ticker, "IQ_SHARESOUTSTANDING_OUT", B213), "")</f>
        <v/>
      </c>
      <c r="E213" s="11">
        <f>IFERROR(_xll.ciqfunctions.udf.CIQ(mh_ticker, "IQ_CASH_EQUIV", , B213), "")</f>
        <v/>
      </c>
      <c r="F213" s="11">
        <f>IFERROR(_xll.ciqfunctions.udf.CIQ(mh_ticker, "IQ_ST_INVEST", , B213), "")</f>
        <v/>
      </c>
      <c r="G213" s="11">
        <f>IFERROR(_xll.ciqfunctions.udf.CIQ(mh_ticker, "IQ_TOTAL_DEBT_EXCL_OPER_LEASES", , B213), "")</f>
        <v/>
      </c>
      <c r="H213" s="11">
        <f>IFERROR(_xll.ciqfunctions.udf.CIQ(mh_ticker, "IQ_PREF_EQUITY", , B213), "")</f>
        <v/>
      </c>
      <c r="I213" s="11">
        <f>IFERROR(_xll.ciqfunctions.udf.CIQ(mh_ticker, "IQ_MINORITY_INTEREST", , B213), "")</f>
        <v/>
      </c>
      <c r="J213" s="11">
        <f>IFERROR(_xll.ciqfunctions.udf.CIQ(mh_ticker, "IQ_EQUITY_METHOD", , B213), "")</f>
        <v/>
      </c>
      <c r="K213" s="11">
        <f>IFERROR(_xll.ciqfunctions.udf.CIQ(mh_ticker, "IQ_LT_Mark_Securities", , B213), "")</f>
        <v/>
      </c>
      <c r="L213" s="12">
        <f>IFERROR(C213*D213, "")</f>
        <v/>
      </c>
      <c r="M213" s="12">
        <f>IFERROR(L213-E213-F213+G213+H213+I213-J213-K213, "")</f>
        <v/>
      </c>
      <c r="N213" s="11">
        <f>IFERROR(_xll.ciqfunctions.udf.CIQ(mh_ticker, "IQ_EBITDA_EST", IQ_NTM, B213, , , "USD"), "")</f>
        <v/>
      </c>
      <c r="O213" s="13">
        <f>IFERROR(M213/N213, "")</f>
        <v/>
      </c>
    </row>
    <row r="214">
      <c r="B214" s="8" t="n"/>
      <c r="C214" s="9">
        <f>IFERROR(_xll.ciqfunctions.udf.CIQ(mh_ticker, "IQ_LASTSALEPRICE", B214), "")</f>
        <v/>
      </c>
      <c r="D214" s="10">
        <f>IFERROR(_xll.ciqfunctions.udf.CIQ(mh_ticker, "IQ_SHARESOUTSTANDING_OUT", B214), "")</f>
        <v/>
      </c>
      <c r="E214" s="11">
        <f>IFERROR(_xll.ciqfunctions.udf.CIQ(mh_ticker, "IQ_CASH_EQUIV", , B214), "")</f>
        <v/>
      </c>
      <c r="F214" s="11">
        <f>IFERROR(_xll.ciqfunctions.udf.CIQ(mh_ticker, "IQ_ST_INVEST", , B214), "")</f>
        <v/>
      </c>
      <c r="G214" s="11">
        <f>IFERROR(_xll.ciqfunctions.udf.CIQ(mh_ticker, "IQ_TOTAL_DEBT_EXCL_OPER_LEASES", , B214), "")</f>
        <v/>
      </c>
      <c r="H214" s="11">
        <f>IFERROR(_xll.ciqfunctions.udf.CIQ(mh_ticker, "IQ_PREF_EQUITY", , B214), "")</f>
        <v/>
      </c>
      <c r="I214" s="11">
        <f>IFERROR(_xll.ciqfunctions.udf.CIQ(mh_ticker, "IQ_MINORITY_INTEREST", , B214), "")</f>
        <v/>
      </c>
      <c r="J214" s="11">
        <f>IFERROR(_xll.ciqfunctions.udf.CIQ(mh_ticker, "IQ_EQUITY_METHOD", , B214), "")</f>
        <v/>
      </c>
      <c r="K214" s="11">
        <f>IFERROR(_xll.ciqfunctions.udf.CIQ(mh_ticker, "IQ_LT_Mark_Securities", , B214), "")</f>
        <v/>
      </c>
      <c r="L214" s="12">
        <f>IFERROR(C214*D214, "")</f>
        <v/>
      </c>
      <c r="M214" s="12">
        <f>IFERROR(L214-E214-F214+G214+H214+I214-J214-K214, "")</f>
        <v/>
      </c>
      <c r="N214" s="11">
        <f>IFERROR(_xll.ciqfunctions.udf.CIQ(mh_ticker, "IQ_EBITDA_EST", IQ_NTM, B214, , , "USD"), "")</f>
        <v/>
      </c>
      <c r="O214" s="13">
        <f>IFERROR(M214/N214, "")</f>
        <v/>
      </c>
    </row>
    <row r="215">
      <c r="B215" s="8" t="n"/>
      <c r="C215" s="9">
        <f>IFERROR(_xll.ciqfunctions.udf.CIQ(mh_ticker, "IQ_LASTSALEPRICE", B215), "")</f>
        <v/>
      </c>
      <c r="D215" s="10">
        <f>IFERROR(_xll.ciqfunctions.udf.CIQ(mh_ticker, "IQ_SHARESOUTSTANDING_OUT", B215), "")</f>
        <v/>
      </c>
      <c r="E215" s="11">
        <f>IFERROR(_xll.ciqfunctions.udf.CIQ(mh_ticker, "IQ_CASH_EQUIV", , B215), "")</f>
        <v/>
      </c>
      <c r="F215" s="11">
        <f>IFERROR(_xll.ciqfunctions.udf.CIQ(mh_ticker, "IQ_ST_INVEST", , B215), "")</f>
        <v/>
      </c>
      <c r="G215" s="11">
        <f>IFERROR(_xll.ciqfunctions.udf.CIQ(mh_ticker, "IQ_TOTAL_DEBT_EXCL_OPER_LEASES", , B215), "")</f>
        <v/>
      </c>
      <c r="H215" s="11">
        <f>IFERROR(_xll.ciqfunctions.udf.CIQ(mh_ticker, "IQ_PREF_EQUITY", , B215), "")</f>
        <v/>
      </c>
      <c r="I215" s="11">
        <f>IFERROR(_xll.ciqfunctions.udf.CIQ(mh_ticker, "IQ_MINORITY_INTEREST", , B215), "")</f>
        <v/>
      </c>
      <c r="J215" s="11">
        <f>IFERROR(_xll.ciqfunctions.udf.CIQ(mh_ticker, "IQ_EQUITY_METHOD", , B215), "")</f>
        <v/>
      </c>
      <c r="K215" s="11">
        <f>IFERROR(_xll.ciqfunctions.udf.CIQ(mh_ticker, "IQ_LT_Mark_Securities", , B215), "")</f>
        <v/>
      </c>
      <c r="L215" s="12">
        <f>IFERROR(C215*D215, "")</f>
        <v/>
      </c>
      <c r="M215" s="12">
        <f>IFERROR(L215-E215-F215+G215+H215+I215-J215-K215, "")</f>
        <v/>
      </c>
      <c r="N215" s="11">
        <f>IFERROR(_xll.ciqfunctions.udf.CIQ(mh_ticker, "IQ_EBITDA_EST", IQ_NTM, B215, , , "USD"), "")</f>
        <v/>
      </c>
      <c r="O215" s="13">
        <f>IFERROR(M215/N215, "")</f>
        <v/>
      </c>
    </row>
    <row r="216">
      <c r="B216" s="8" t="n"/>
      <c r="C216" s="9">
        <f>IFERROR(_xll.ciqfunctions.udf.CIQ(mh_ticker, "IQ_LASTSALEPRICE", B216), "")</f>
        <v/>
      </c>
      <c r="D216" s="10">
        <f>IFERROR(_xll.ciqfunctions.udf.CIQ(mh_ticker, "IQ_SHARESOUTSTANDING_OUT", B216), "")</f>
        <v/>
      </c>
      <c r="E216" s="11">
        <f>IFERROR(_xll.ciqfunctions.udf.CIQ(mh_ticker, "IQ_CASH_EQUIV", , B216), "")</f>
        <v/>
      </c>
      <c r="F216" s="11">
        <f>IFERROR(_xll.ciqfunctions.udf.CIQ(mh_ticker, "IQ_ST_INVEST", , B216), "")</f>
        <v/>
      </c>
      <c r="G216" s="11">
        <f>IFERROR(_xll.ciqfunctions.udf.CIQ(mh_ticker, "IQ_TOTAL_DEBT_EXCL_OPER_LEASES", , B216), "")</f>
        <v/>
      </c>
      <c r="H216" s="11">
        <f>IFERROR(_xll.ciqfunctions.udf.CIQ(mh_ticker, "IQ_PREF_EQUITY", , B216), "")</f>
        <v/>
      </c>
      <c r="I216" s="11">
        <f>IFERROR(_xll.ciqfunctions.udf.CIQ(mh_ticker, "IQ_MINORITY_INTEREST", , B216), "")</f>
        <v/>
      </c>
      <c r="J216" s="11">
        <f>IFERROR(_xll.ciqfunctions.udf.CIQ(mh_ticker, "IQ_EQUITY_METHOD", , B216), "")</f>
        <v/>
      </c>
      <c r="K216" s="11">
        <f>IFERROR(_xll.ciqfunctions.udf.CIQ(mh_ticker, "IQ_LT_Mark_Securities", , B216), "")</f>
        <v/>
      </c>
      <c r="L216" s="12">
        <f>IFERROR(C216*D216, "")</f>
        <v/>
      </c>
      <c r="M216" s="12">
        <f>IFERROR(L216-E216-F216+G216+H216+I216-J216-K216, "")</f>
        <v/>
      </c>
      <c r="N216" s="11">
        <f>IFERROR(_xll.ciqfunctions.udf.CIQ(mh_ticker, "IQ_EBITDA_EST", IQ_NTM, B216, , , "USD"), "")</f>
        <v/>
      </c>
      <c r="O216" s="13">
        <f>IFERROR(M216/N216, "")</f>
        <v/>
      </c>
    </row>
    <row r="217">
      <c r="B217" s="8" t="n"/>
      <c r="C217" s="9">
        <f>IFERROR(_xll.ciqfunctions.udf.CIQ(mh_ticker, "IQ_LASTSALEPRICE", B217), "")</f>
        <v/>
      </c>
      <c r="D217" s="10">
        <f>IFERROR(_xll.ciqfunctions.udf.CIQ(mh_ticker, "IQ_SHARESOUTSTANDING_OUT", B217), "")</f>
        <v/>
      </c>
      <c r="E217" s="11">
        <f>IFERROR(_xll.ciqfunctions.udf.CIQ(mh_ticker, "IQ_CASH_EQUIV", , B217), "")</f>
        <v/>
      </c>
      <c r="F217" s="11">
        <f>IFERROR(_xll.ciqfunctions.udf.CIQ(mh_ticker, "IQ_ST_INVEST", , B217), "")</f>
        <v/>
      </c>
      <c r="G217" s="11">
        <f>IFERROR(_xll.ciqfunctions.udf.CIQ(mh_ticker, "IQ_TOTAL_DEBT_EXCL_OPER_LEASES", , B217), "")</f>
        <v/>
      </c>
      <c r="H217" s="11">
        <f>IFERROR(_xll.ciqfunctions.udf.CIQ(mh_ticker, "IQ_PREF_EQUITY", , B217), "")</f>
        <v/>
      </c>
      <c r="I217" s="11">
        <f>IFERROR(_xll.ciqfunctions.udf.CIQ(mh_ticker, "IQ_MINORITY_INTEREST", , B217), "")</f>
        <v/>
      </c>
      <c r="J217" s="11">
        <f>IFERROR(_xll.ciqfunctions.udf.CIQ(mh_ticker, "IQ_EQUITY_METHOD", , B217), "")</f>
        <v/>
      </c>
      <c r="K217" s="11">
        <f>IFERROR(_xll.ciqfunctions.udf.CIQ(mh_ticker, "IQ_LT_Mark_Securities", , B217), "")</f>
        <v/>
      </c>
      <c r="L217" s="12">
        <f>IFERROR(C217*D217, "")</f>
        <v/>
      </c>
      <c r="M217" s="12">
        <f>IFERROR(L217-E217-F217+G217+H217+I217-J217-K217, "")</f>
        <v/>
      </c>
      <c r="N217" s="11">
        <f>IFERROR(_xll.ciqfunctions.udf.CIQ(mh_ticker, "IQ_EBITDA_EST", IQ_NTM, B217, , , "USD"), "")</f>
        <v/>
      </c>
      <c r="O217" s="13">
        <f>IFERROR(M217/N217, "")</f>
        <v/>
      </c>
    </row>
    <row r="218">
      <c r="B218" s="8" t="n"/>
      <c r="C218" s="9">
        <f>IFERROR(_xll.ciqfunctions.udf.CIQ(mh_ticker, "IQ_LASTSALEPRICE", B218), "")</f>
        <v/>
      </c>
      <c r="D218" s="10">
        <f>IFERROR(_xll.ciqfunctions.udf.CIQ(mh_ticker, "IQ_SHARESOUTSTANDING_OUT", B218), "")</f>
        <v/>
      </c>
      <c r="E218" s="11">
        <f>IFERROR(_xll.ciqfunctions.udf.CIQ(mh_ticker, "IQ_CASH_EQUIV", , B218), "")</f>
        <v/>
      </c>
      <c r="F218" s="11">
        <f>IFERROR(_xll.ciqfunctions.udf.CIQ(mh_ticker, "IQ_ST_INVEST", , B218), "")</f>
        <v/>
      </c>
      <c r="G218" s="11">
        <f>IFERROR(_xll.ciqfunctions.udf.CIQ(mh_ticker, "IQ_TOTAL_DEBT_EXCL_OPER_LEASES", , B218), "")</f>
        <v/>
      </c>
      <c r="H218" s="11">
        <f>IFERROR(_xll.ciqfunctions.udf.CIQ(mh_ticker, "IQ_PREF_EQUITY", , B218), "")</f>
        <v/>
      </c>
      <c r="I218" s="11">
        <f>IFERROR(_xll.ciqfunctions.udf.CIQ(mh_ticker, "IQ_MINORITY_INTEREST", , B218), "")</f>
        <v/>
      </c>
      <c r="J218" s="11">
        <f>IFERROR(_xll.ciqfunctions.udf.CIQ(mh_ticker, "IQ_EQUITY_METHOD", , B218), "")</f>
        <v/>
      </c>
      <c r="K218" s="11">
        <f>IFERROR(_xll.ciqfunctions.udf.CIQ(mh_ticker, "IQ_LT_Mark_Securities", , B218), "")</f>
        <v/>
      </c>
      <c r="L218" s="12">
        <f>IFERROR(C218*D218, "")</f>
        <v/>
      </c>
      <c r="M218" s="12">
        <f>IFERROR(L218-E218-F218+G218+H218+I218-J218-K218, "")</f>
        <v/>
      </c>
      <c r="N218" s="11">
        <f>IFERROR(_xll.ciqfunctions.udf.CIQ(mh_ticker, "IQ_EBITDA_EST", IQ_NTM, B218, , , "USD"), "")</f>
        <v/>
      </c>
      <c r="O218" s="13">
        <f>IFERROR(M218/N218, "")</f>
        <v/>
      </c>
    </row>
    <row r="219">
      <c r="B219" s="8" t="n"/>
      <c r="C219" s="9">
        <f>IFERROR(_xll.ciqfunctions.udf.CIQ(mh_ticker, "IQ_LASTSALEPRICE", B219), "")</f>
        <v/>
      </c>
      <c r="D219" s="10">
        <f>IFERROR(_xll.ciqfunctions.udf.CIQ(mh_ticker, "IQ_SHARESOUTSTANDING_OUT", B219), "")</f>
        <v/>
      </c>
      <c r="E219" s="11">
        <f>IFERROR(_xll.ciqfunctions.udf.CIQ(mh_ticker, "IQ_CASH_EQUIV", , B219), "")</f>
        <v/>
      </c>
      <c r="F219" s="11">
        <f>IFERROR(_xll.ciqfunctions.udf.CIQ(mh_ticker, "IQ_ST_INVEST", , B219), "")</f>
        <v/>
      </c>
      <c r="G219" s="11">
        <f>IFERROR(_xll.ciqfunctions.udf.CIQ(mh_ticker, "IQ_TOTAL_DEBT_EXCL_OPER_LEASES", , B219), "")</f>
        <v/>
      </c>
      <c r="H219" s="11">
        <f>IFERROR(_xll.ciqfunctions.udf.CIQ(mh_ticker, "IQ_PREF_EQUITY", , B219), "")</f>
        <v/>
      </c>
      <c r="I219" s="11">
        <f>IFERROR(_xll.ciqfunctions.udf.CIQ(mh_ticker, "IQ_MINORITY_INTEREST", , B219), "")</f>
        <v/>
      </c>
      <c r="J219" s="11">
        <f>IFERROR(_xll.ciqfunctions.udf.CIQ(mh_ticker, "IQ_EQUITY_METHOD", , B219), "")</f>
        <v/>
      </c>
      <c r="K219" s="11">
        <f>IFERROR(_xll.ciqfunctions.udf.CIQ(mh_ticker, "IQ_LT_Mark_Securities", , B219), "")</f>
        <v/>
      </c>
      <c r="L219" s="12">
        <f>IFERROR(C219*D219, "")</f>
        <v/>
      </c>
      <c r="M219" s="12">
        <f>IFERROR(L219-E219-F219+G219+H219+I219-J219-K219, "")</f>
        <v/>
      </c>
      <c r="N219" s="11">
        <f>IFERROR(_xll.ciqfunctions.udf.CIQ(mh_ticker, "IQ_EBITDA_EST", IQ_NTM, B219, , , "USD"), "")</f>
        <v/>
      </c>
      <c r="O219" s="13">
        <f>IFERROR(M219/N219, "")</f>
        <v/>
      </c>
    </row>
    <row r="220">
      <c r="B220" s="8" t="n"/>
      <c r="C220" s="9">
        <f>IFERROR(_xll.ciqfunctions.udf.CIQ(mh_ticker, "IQ_LASTSALEPRICE", B220), "")</f>
        <v/>
      </c>
      <c r="D220" s="10">
        <f>IFERROR(_xll.ciqfunctions.udf.CIQ(mh_ticker, "IQ_SHARESOUTSTANDING_OUT", B220), "")</f>
        <v/>
      </c>
      <c r="E220" s="11">
        <f>IFERROR(_xll.ciqfunctions.udf.CIQ(mh_ticker, "IQ_CASH_EQUIV", , B220), "")</f>
        <v/>
      </c>
      <c r="F220" s="11">
        <f>IFERROR(_xll.ciqfunctions.udf.CIQ(mh_ticker, "IQ_ST_INVEST", , B220), "")</f>
        <v/>
      </c>
      <c r="G220" s="11">
        <f>IFERROR(_xll.ciqfunctions.udf.CIQ(mh_ticker, "IQ_TOTAL_DEBT_EXCL_OPER_LEASES", , B220), "")</f>
        <v/>
      </c>
      <c r="H220" s="11">
        <f>IFERROR(_xll.ciqfunctions.udf.CIQ(mh_ticker, "IQ_PREF_EQUITY", , B220), "")</f>
        <v/>
      </c>
      <c r="I220" s="11">
        <f>IFERROR(_xll.ciqfunctions.udf.CIQ(mh_ticker, "IQ_MINORITY_INTEREST", , B220), "")</f>
        <v/>
      </c>
      <c r="J220" s="11">
        <f>IFERROR(_xll.ciqfunctions.udf.CIQ(mh_ticker, "IQ_EQUITY_METHOD", , B220), "")</f>
        <v/>
      </c>
      <c r="K220" s="11">
        <f>IFERROR(_xll.ciqfunctions.udf.CIQ(mh_ticker, "IQ_LT_Mark_Securities", , B220), "")</f>
        <v/>
      </c>
      <c r="L220" s="12">
        <f>IFERROR(C220*D220, "")</f>
        <v/>
      </c>
      <c r="M220" s="12">
        <f>IFERROR(L220-E220-F220+G220+H220+I220-J220-K220, "")</f>
        <v/>
      </c>
      <c r="N220" s="11">
        <f>IFERROR(_xll.ciqfunctions.udf.CIQ(mh_ticker, "IQ_EBITDA_EST", IQ_NTM, B220, , , "USD"), "")</f>
        <v/>
      </c>
      <c r="O220" s="13">
        <f>IFERROR(M220/N220, "")</f>
        <v/>
      </c>
    </row>
    <row r="221">
      <c r="B221" s="8" t="n"/>
      <c r="C221" s="9">
        <f>IFERROR(_xll.ciqfunctions.udf.CIQ(mh_ticker, "IQ_LASTSALEPRICE", B221), "")</f>
        <v/>
      </c>
      <c r="D221" s="10">
        <f>IFERROR(_xll.ciqfunctions.udf.CIQ(mh_ticker, "IQ_SHARESOUTSTANDING_OUT", B221), "")</f>
        <v/>
      </c>
      <c r="E221" s="11">
        <f>IFERROR(_xll.ciqfunctions.udf.CIQ(mh_ticker, "IQ_CASH_EQUIV", , B221), "")</f>
        <v/>
      </c>
      <c r="F221" s="11">
        <f>IFERROR(_xll.ciqfunctions.udf.CIQ(mh_ticker, "IQ_ST_INVEST", , B221), "")</f>
        <v/>
      </c>
      <c r="G221" s="11">
        <f>IFERROR(_xll.ciqfunctions.udf.CIQ(mh_ticker, "IQ_TOTAL_DEBT_EXCL_OPER_LEASES", , B221), "")</f>
        <v/>
      </c>
      <c r="H221" s="11">
        <f>IFERROR(_xll.ciqfunctions.udf.CIQ(mh_ticker, "IQ_PREF_EQUITY", , B221), "")</f>
        <v/>
      </c>
      <c r="I221" s="11">
        <f>IFERROR(_xll.ciqfunctions.udf.CIQ(mh_ticker, "IQ_MINORITY_INTEREST", , B221), "")</f>
        <v/>
      </c>
      <c r="J221" s="11">
        <f>IFERROR(_xll.ciqfunctions.udf.CIQ(mh_ticker, "IQ_EQUITY_METHOD", , B221), "")</f>
        <v/>
      </c>
      <c r="K221" s="11">
        <f>IFERROR(_xll.ciqfunctions.udf.CIQ(mh_ticker, "IQ_LT_Mark_Securities", , B221), "")</f>
        <v/>
      </c>
      <c r="L221" s="12">
        <f>IFERROR(C221*D221, "")</f>
        <v/>
      </c>
      <c r="M221" s="12">
        <f>IFERROR(L221-E221-F221+G221+H221+I221-J221-K221, "")</f>
        <v/>
      </c>
      <c r="N221" s="11">
        <f>IFERROR(_xll.ciqfunctions.udf.CIQ(mh_ticker, "IQ_EBITDA_EST", IQ_NTM, B221, , , "USD"), "")</f>
        <v/>
      </c>
      <c r="O221" s="13">
        <f>IFERROR(M221/N221, "")</f>
        <v/>
      </c>
    </row>
    <row r="222">
      <c r="B222" s="8" t="n"/>
      <c r="C222" s="9">
        <f>IFERROR(_xll.ciqfunctions.udf.CIQ(mh_ticker, "IQ_LASTSALEPRICE", B222), "")</f>
        <v/>
      </c>
      <c r="D222" s="10">
        <f>IFERROR(_xll.ciqfunctions.udf.CIQ(mh_ticker, "IQ_SHARESOUTSTANDING_OUT", B222), "")</f>
        <v/>
      </c>
      <c r="E222" s="11">
        <f>IFERROR(_xll.ciqfunctions.udf.CIQ(mh_ticker, "IQ_CASH_EQUIV", , B222), "")</f>
        <v/>
      </c>
      <c r="F222" s="11">
        <f>IFERROR(_xll.ciqfunctions.udf.CIQ(mh_ticker, "IQ_ST_INVEST", , B222), "")</f>
        <v/>
      </c>
      <c r="G222" s="11">
        <f>IFERROR(_xll.ciqfunctions.udf.CIQ(mh_ticker, "IQ_TOTAL_DEBT_EXCL_OPER_LEASES", , B222), "")</f>
        <v/>
      </c>
      <c r="H222" s="11">
        <f>IFERROR(_xll.ciqfunctions.udf.CIQ(mh_ticker, "IQ_PREF_EQUITY", , B222), "")</f>
        <v/>
      </c>
      <c r="I222" s="11">
        <f>IFERROR(_xll.ciqfunctions.udf.CIQ(mh_ticker, "IQ_MINORITY_INTEREST", , B222), "")</f>
        <v/>
      </c>
      <c r="J222" s="11">
        <f>IFERROR(_xll.ciqfunctions.udf.CIQ(mh_ticker, "IQ_EQUITY_METHOD", , B222), "")</f>
        <v/>
      </c>
      <c r="K222" s="11">
        <f>IFERROR(_xll.ciqfunctions.udf.CIQ(mh_ticker, "IQ_LT_Mark_Securities", , B222), "")</f>
        <v/>
      </c>
      <c r="L222" s="12">
        <f>IFERROR(C222*D222, "")</f>
        <v/>
      </c>
      <c r="M222" s="12">
        <f>IFERROR(L222-E222-F222+G222+H222+I222-J222-K222, "")</f>
        <v/>
      </c>
      <c r="N222" s="11">
        <f>IFERROR(_xll.ciqfunctions.udf.CIQ(mh_ticker, "IQ_EBITDA_EST", IQ_NTM, B222, , , "USD"), "")</f>
        <v/>
      </c>
      <c r="O222" s="13">
        <f>IFERROR(M222/N222, "")</f>
        <v/>
      </c>
    </row>
    <row r="223">
      <c r="B223" s="8" t="n"/>
      <c r="C223" s="9">
        <f>IFERROR(_xll.ciqfunctions.udf.CIQ(mh_ticker, "IQ_LASTSALEPRICE", B223), "")</f>
        <v/>
      </c>
      <c r="D223" s="10">
        <f>IFERROR(_xll.ciqfunctions.udf.CIQ(mh_ticker, "IQ_SHARESOUTSTANDING_OUT", B223), "")</f>
        <v/>
      </c>
      <c r="E223" s="11">
        <f>IFERROR(_xll.ciqfunctions.udf.CIQ(mh_ticker, "IQ_CASH_EQUIV", , B223), "")</f>
        <v/>
      </c>
      <c r="F223" s="11">
        <f>IFERROR(_xll.ciqfunctions.udf.CIQ(mh_ticker, "IQ_ST_INVEST", , B223), "")</f>
        <v/>
      </c>
      <c r="G223" s="11">
        <f>IFERROR(_xll.ciqfunctions.udf.CIQ(mh_ticker, "IQ_TOTAL_DEBT_EXCL_OPER_LEASES", , B223), "")</f>
        <v/>
      </c>
      <c r="H223" s="11">
        <f>IFERROR(_xll.ciqfunctions.udf.CIQ(mh_ticker, "IQ_PREF_EQUITY", , B223), "")</f>
        <v/>
      </c>
      <c r="I223" s="11">
        <f>IFERROR(_xll.ciqfunctions.udf.CIQ(mh_ticker, "IQ_MINORITY_INTEREST", , B223), "")</f>
        <v/>
      </c>
      <c r="J223" s="11">
        <f>IFERROR(_xll.ciqfunctions.udf.CIQ(mh_ticker, "IQ_EQUITY_METHOD", , B223), "")</f>
        <v/>
      </c>
      <c r="K223" s="11">
        <f>IFERROR(_xll.ciqfunctions.udf.CIQ(mh_ticker, "IQ_LT_Mark_Securities", , B223), "")</f>
        <v/>
      </c>
      <c r="L223" s="12">
        <f>IFERROR(C223*D223, "")</f>
        <v/>
      </c>
      <c r="M223" s="12">
        <f>IFERROR(L223-E223-F223+G223+H223+I223-J223-K223, "")</f>
        <v/>
      </c>
      <c r="N223" s="11">
        <f>IFERROR(_xll.ciqfunctions.udf.CIQ(mh_ticker, "IQ_EBITDA_EST", IQ_NTM, B223, , , "USD"), "")</f>
        <v/>
      </c>
      <c r="O223" s="13">
        <f>IFERROR(M223/N223, "")</f>
        <v/>
      </c>
    </row>
    <row r="224">
      <c r="B224" s="8" t="n"/>
      <c r="C224" s="9">
        <f>IFERROR(_xll.ciqfunctions.udf.CIQ(mh_ticker, "IQ_LASTSALEPRICE", B224), "")</f>
        <v/>
      </c>
      <c r="D224" s="10">
        <f>IFERROR(_xll.ciqfunctions.udf.CIQ(mh_ticker, "IQ_SHARESOUTSTANDING_OUT", B224), "")</f>
        <v/>
      </c>
      <c r="E224" s="11">
        <f>IFERROR(_xll.ciqfunctions.udf.CIQ(mh_ticker, "IQ_CASH_EQUIV", , B224), "")</f>
        <v/>
      </c>
      <c r="F224" s="11">
        <f>IFERROR(_xll.ciqfunctions.udf.CIQ(mh_ticker, "IQ_ST_INVEST", , B224), "")</f>
        <v/>
      </c>
      <c r="G224" s="11">
        <f>IFERROR(_xll.ciqfunctions.udf.CIQ(mh_ticker, "IQ_TOTAL_DEBT_EXCL_OPER_LEASES", , B224), "")</f>
        <v/>
      </c>
      <c r="H224" s="11">
        <f>IFERROR(_xll.ciqfunctions.udf.CIQ(mh_ticker, "IQ_PREF_EQUITY", , B224), "")</f>
        <v/>
      </c>
      <c r="I224" s="11">
        <f>IFERROR(_xll.ciqfunctions.udf.CIQ(mh_ticker, "IQ_MINORITY_INTEREST", , B224), "")</f>
        <v/>
      </c>
      <c r="J224" s="11">
        <f>IFERROR(_xll.ciqfunctions.udf.CIQ(mh_ticker, "IQ_EQUITY_METHOD", , B224), "")</f>
        <v/>
      </c>
      <c r="K224" s="11">
        <f>IFERROR(_xll.ciqfunctions.udf.CIQ(mh_ticker, "IQ_LT_Mark_Securities", , B224), "")</f>
        <v/>
      </c>
      <c r="L224" s="12">
        <f>IFERROR(C224*D224, "")</f>
        <v/>
      </c>
      <c r="M224" s="12">
        <f>IFERROR(L224-E224-F224+G224+H224+I224-J224-K224, "")</f>
        <v/>
      </c>
      <c r="N224" s="11">
        <f>IFERROR(_xll.ciqfunctions.udf.CIQ(mh_ticker, "IQ_EBITDA_EST", IQ_NTM, B224, , , "USD"), "")</f>
        <v/>
      </c>
      <c r="O224" s="13">
        <f>IFERROR(M224/N224, "")</f>
        <v/>
      </c>
    </row>
    <row r="225">
      <c r="B225" s="8" t="n"/>
      <c r="C225" s="9">
        <f>IFERROR(_xll.ciqfunctions.udf.CIQ(mh_ticker, "IQ_LASTSALEPRICE", B225), "")</f>
        <v/>
      </c>
      <c r="D225" s="10">
        <f>IFERROR(_xll.ciqfunctions.udf.CIQ(mh_ticker, "IQ_SHARESOUTSTANDING_OUT", B225), "")</f>
        <v/>
      </c>
      <c r="E225" s="11">
        <f>IFERROR(_xll.ciqfunctions.udf.CIQ(mh_ticker, "IQ_CASH_EQUIV", , B225), "")</f>
        <v/>
      </c>
      <c r="F225" s="11">
        <f>IFERROR(_xll.ciqfunctions.udf.CIQ(mh_ticker, "IQ_ST_INVEST", , B225), "")</f>
        <v/>
      </c>
      <c r="G225" s="11">
        <f>IFERROR(_xll.ciqfunctions.udf.CIQ(mh_ticker, "IQ_TOTAL_DEBT_EXCL_OPER_LEASES", , B225), "")</f>
        <v/>
      </c>
      <c r="H225" s="11">
        <f>IFERROR(_xll.ciqfunctions.udf.CIQ(mh_ticker, "IQ_PREF_EQUITY", , B225), "")</f>
        <v/>
      </c>
      <c r="I225" s="11">
        <f>IFERROR(_xll.ciqfunctions.udf.CIQ(mh_ticker, "IQ_MINORITY_INTEREST", , B225), "")</f>
        <v/>
      </c>
      <c r="J225" s="11">
        <f>IFERROR(_xll.ciqfunctions.udf.CIQ(mh_ticker, "IQ_EQUITY_METHOD", , B225), "")</f>
        <v/>
      </c>
      <c r="K225" s="11">
        <f>IFERROR(_xll.ciqfunctions.udf.CIQ(mh_ticker, "IQ_LT_Mark_Securities", , B225), "")</f>
        <v/>
      </c>
      <c r="L225" s="12">
        <f>IFERROR(C225*D225, "")</f>
        <v/>
      </c>
      <c r="M225" s="12">
        <f>IFERROR(L225-E225-F225+G225+H225+I225-J225-K225, "")</f>
        <v/>
      </c>
      <c r="N225" s="11">
        <f>IFERROR(_xll.ciqfunctions.udf.CIQ(mh_ticker, "IQ_EBITDA_EST", IQ_NTM, B225, , , "USD"), "")</f>
        <v/>
      </c>
      <c r="O225" s="13">
        <f>IFERROR(M225/N225, "")</f>
        <v/>
      </c>
    </row>
    <row r="226">
      <c r="B226" s="8" t="n"/>
      <c r="C226" s="9">
        <f>IFERROR(_xll.ciqfunctions.udf.CIQ(mh_ticker, "IQ_LASTSALEPRICE", B226), "")</f>
        <v/>
      </c>
      <c r="D226" s="10">
        <f>IFERROR(_xll.ciqfunctions.udf.CIQ(mh_ticker, "IQ_SHARESOUTSTANDING_OUT", B226), "")</f>
        <v/>
      </c>
      <c r="E226" s="11">
        <f>IFERROR(_xll.ciqfunctions.udf.CIQ(mh_ticker, "IQ_CASH_EQUIV", , B226), "")</f>
        <v/>
      </c>
      <c r="F226" s="11">
        <f>IFERROR(_xll.ciqfunctions.udf.CIQ(mh_ticker, "IQ_ST_INVEST", , B226), "")</f>
        <v/>
      </c>
      <c r="G226" s="11">
        <f>IFERROR(_xll.ciqfunctions.udf.CIQ(mh_ticker, "IQ_TOTAL_DEBT_EXCL_OPER_LEASES", , B226), "")</f>
        <v/>
      </c>
      <c r="H226" s="11">
        <f>IFERROR(_xll.ciqfunctions.udf.CIQ(mh_ticker, "IQ_PREF_EQUITY", , B226), "")</f>
        <v/>
      </c>
      <c r="I226" s="11">
        <f>IFERROR(_xll.ciqfunctions.udf.CIQ(mh_ticker, "IQ_MINORITY_INTEREST", , B226), "")</f>
        <v/>
      </c>
      <c r="J226" s="11">
        <f>IFERROR(_xll.ciqfunctions.udf.CIQ(mh_ticker, "IQ_EQUITY_METHOD", , B226), "")</f>
        <v/>
      </c>
      <c r="K226" s="11">
        <f>IFERROR(_xll.ciqfunctions.udf.CIQ(mh_ticker, "IQ_LT_Mark_Securities", , B226), "")</f>
        <v/>
      </c>
      <c r="L226" s="12">
        <f>IFERROR(C226*D226, "")</f>
        <v/>
      </c>
      <c r="M226" s="12">
        <f>IFERROR(L226-E226-F226+G226+H226+I226-J226-K226, "")</f>
        <v/>
      </c>
      <c r="N226" s="11">
        <f>IFERROR(_xll.ciqfunctions.udf.CIQ(mh_ticker, "IQ_EBITDA_EST", IQ_NTM, B226, , , "USD"), "")</f>
        <v/>
      </c>
      <c r="O226" s="13">
        <f>IFERROR(M226/N226, "")</f>
        <v/>
      </c>
    </row>
    <row r="227">
      <c r="B227" s="8" t="n"/>
      <c r="C227" s="9">
        <f>IFERROR(_xll.ciqfunctions.udf.CIQ(mh_ticker, "IQ_LASTSALEPRICE", B227), "")</f>
        <v/>
      </c>
      <c r="D227" s="10">
        <f>IFERROR(_xll.ciqfunctions.udf.CIQ(mh_ticker, "IQ_SHARESOUTSTANDING_OUT", B227), "")</f>
        <v/>
      </c>
      <c r="E227" s="11">
        <f>IFERROR(_xll.ciqfunctions.udf.CIQ(mh_ticker, "IQ_CASH_EQUIV", , B227), "")</f>
        <v/>
      </c>
      <c r="F227" s="11">
        <f>IFERROR(_xll.ciqfunctions.udf.CIQ(mh_ticker, "IQ_ST_INVEST", , B227), "")</f>
        <v/>
      </c>
      <c r="G227" s="11">
        <f>IFERROR(_xll.ciqfunctions.udf.CIQ(mh_ticker, "IQ_TOTAL_DEBT_EXCL_OPER_LEASES", , B227), "")</f>
        <v/>
      </c>
      <c r="H227" s="11">
        <f>IFERROR(_xll.ciqfunctions.udf.CIQ(mh_ticker, "IQ_PREF_EQUITY", , B227), "")</f>
        <v/>
      </c>
      <c r="I227" s="11">
        <f>IFERROR(_xll.ciqfunctions.udf.CIQ(mh_ticker, "IQ_MINORITY_INTEREST", , B227), "")</f>
        <v/>
      </c>
      <c r="J227" s="11">
        <f>IFERROR(_xll.ciqfunctions.udf.CIQ(mh_ticker, "IQ_EQUITY_METHOD", , B227), "")</f>
        <v/>
      </c>
      <c r="K227" s="11">
        <f>IFERROR(_xll.ciqfunctions.udf.CIQ(mh_ticker, "IQ_LT_Mark_Securities", , B227), "")</f>
        <v/>
      </c>
      <c r="L227" s="12">
        <f>IFERROR(C227*D227, "")</f>
        <v/>
      </c>
      <c r="M227" s="12">
        <f>IFERROR(L227-E227-F227+G227+H227+I227-J227-K227, "")</f>
        <v/>
      </c>
      <c r="N227" s="11">
        <f>IFERROR(_xll.ciqfunctions.udf.CIQ(mh_ticker, "IQ_EBITDA_EST", IQ_NTM, B227, , , "USD"), "")</f>
        <v/>
      </c>
      <c r="O227" s="13">
        <f>IFERROR(M227/N227, "")</f>
        <v/>
      </c>
    </row>
    <row r="228">
      <c r="B228" s="8" t="n"/>
      <c r="C228" s="9">
        <f>IFERROR(_xll.ciqfunctions.udf.CIQ(mh_ticker, "IQ_LASTSALEPRICE", B228), "")</f>
        <v/>
      </c>
      <c r="D228" s="10">
        <f>IFERROR(_xll.ciqfunctions.udf.CIQ(mh_ticker, "IQ_SHARESOUTSTANDING_OUT", B228), "")</f>
        <v/>
      </c>
      <c r="E228" s="11">
        <f>IFERROR(_xll.ciqfunctions.udf.CIQ(mh_ticker, "IQ_CASH_EQUIV", , B228), "")</f>
        <v/>
      </c>
      <c r="F228" s="11">
        <f>IFERROR(_xll.ciqfunctions.udf.CIQ(mh_ticker, "IQ_ST_INVEST", , B228), "")</f>
        <v/>
      </c>
      <c r="G228" s="11">
        <f>IFERROR(_xll.ciqfunctions.udf.CIQ(mh_ticker, "IQ_TOTAL_DEBT_EXCL_OPER_LEASES", , B228), "")</f>
        <v/>
      </c>
      <c r="H228" s="11">
        <f>IFERROR(_xll.ciqfunctions.udf.CIQ(mh_ticker, "IQ_PREF_EQUITY", , B228), "")</f>
        <v/>
      </c>
      <c r="I228" s="11">
        <f>IFERROR(_xll.ciqfunctions.udf.CIQ(mh_ticker, "IQ_MINORITY_INTEREST", , B228), "")</f>
        <v/>
      </c>
      <c r="J228" s="11">
        <f>IFERROR(_xll.ciqfunctions.udf.CIQ(mh_ticker, "IQ_EQUITY_METHOD", , B228), "")</f>
        <v/>
      </c>
      <c r="K228" s="11">
        <f>IFERROR(_xll.ciqfunctions.udf.CIQ(mh_ticker, "IQ_LT_Mark_Securities", , B228), "")</f>
        <v/>
      </c>
      <c r="L228" s="12">
        <f>IFERROR(C228*D228, "")</f>
        <v/>
      </c>
      <c r="M228" s="12">
        <f>IFERROR(L228-E228-F228+G228+H228+I228-J228-K228, "")</f>
        <v/>
      </c>
      <c r="N228" s="11">
        <f>IFERROR(_xll.ciqfunctions.udf.CIQ(mh_ticker, "IQ_EBITDA_EST", IQ_NTM, B228, , , "USD"), "")</f>
        <v/>
      </c>
      <c r="O228" s="13">
        <f>IFERROR(M228/N228, "")</f>
        <v/>
      </c>
    </row>
    <row r="229">
      <c r="B229" s="8" t="n"/>
      <c r="C229" s="9">
        <f>IFERROR(_xll.ciqfunctions.udf.CIQ(mh_ticker, "IQ_LASTSALEPRICE", B229), "")</f>
        <v/>
      </c>
      <c r="D229" s="10">
        <f>IFERROR(_xll.ciqfunctions.udf.CIQ(mh_ticker, "IQ_SHARESOUTSTANDING_OUT", B229), "")</f>
        <v/>
      </c>
      <c r="E229" s="11">
        <f>IFERROR(_xll.ciqfunctions.udf.CIQ(mh_ticker, "IQ_CASH_EQUIV", , B229), "")</f>
        <v/>
      </c>
      <c r="F229" s="11">
        <f>IFERROR(_xll.ciqfunctions.udf.CIQ(mh_ticker, "IQ_ST_INVEST", , B229), "")</f>
        <v/>
      </c>
      <c r="G229" s="11">
        <f>IFERROR(_xll.ciqfunctions.udf.CIQ(mh_ticker, "IQ_TOTAL_DEBT_EXCL_OPER_LEASES", , B229), "")</f>
        <v/>
      </c>
      <c r="H229" s="11">
        <f>IFERROR(_xll.ciqfunctions.udf.CIQ(mh_ticker, "IQ_PREF_EQUITY", , B229), "")</f>
        <v/>
      </c>
      <c r="I229" s="11">
        <f>IFERROR(_xll.ciqfunctions.udf.CIQ(mh_ticker, "IQ_MINORITY_INTEREST", , B229), "")</f>
        <v/>
      </c>
      <c r="J229" s="11">
        <f>IFERROR(_xll.ciqfunctions.udf.CIQ(mh_ticker, "IQ_EQUITY_METHOD", , B229), "")</f>
        <v/>
      </c>
      <c r="K229" s="11">
        <f>IFERROR(_xll.ciqfunctions.udf.CIQ(mh_ticker, "IQ_LT_Mark_Securities", , B229), "")</f>
        <v/>
      </c>
      <c r="L229" s="12">
        <f>IFERROR(C229*D229, "")</f>
        <v/>
      </c>
      <c r="M229" s="12">
        <f>IFERROR(L229-E229-F229+G229+H229+I229-J229-K229, "")</f>
        <v/>
      </c>
      <c r="N229" s="11">
        <f>IFERROR(_xll.ciqfunctions.udf.CIQ(mh_ticker, "IQ_EBITDA_EST", IQ_NTM, B229, , , "USD"), "")</f>
        <v/>
      </c>
      <c r="O229" s="13">
        <f>IFERROR(M229/N229, "")</f>
        <v/>
      </c>
    </row>
    <row r="230">
      <c r="B230" s="8" t="n"/>
      <c r="C230" s="9">
        <f>IFERROR(_xll.ciqfunctions.udf.CIQ(mh_ticker, "IQ_LASTSALEPRICE", B230), "")</f>
        <v/>
      </c>
      <c r="D230" s="10">
        <f>IFERROR(_xll.ciqfunctions.udf.CIQ(mh_ticker, "IQ_SHARESOUTSTANDING_OUT", B230), "")</f>
        <v/>
      </c>
      <c r="E230" s="11">
        <f>IFERROR(_xll.ciqfunctions.udf.CIQ(mh_ticker, "IQ_CASH_EQUIV", , B230), "")</f>
        <v/>
      </c>
      <c r="F230" s="11">
        <f>IFERROR(_xll.ciqfunctions.udf.CIQ(mh_ticker, "IQ_ST_INVEST", , B230), "")</f>
        <v/>
      </c>
      <c r="G230" s="11">
        <f>IFERROR(_xll.ciqfunctions.udf.CIQ(mh_ticker, "IQ_TOTAL_DEBT_EXCL_OPER_LEASES", , B230), "")</f>
        <v/>
      </c>
      <c r="H230" s="11">
        <f>IFERROR(_xll.ciqfunctions.udf.CIQ(mh_ticker, "IQ_PREF_EQUITY", , B230), "")</f>
        <v/>
      </c>
      <c r="I230" s="11">
        <f>IFERROR(_xll.ciqfunctions.udf.CIQ(mh_ticker, "IQ_MINORITY_INTEREST", , B230), "")</f>
        <v/>
      </c>
      <c r="J230" s="11">
        <f>IFERROR(_xll.ciqfunctions.udf.CIQ(mh_ticker, "IQ_EQUITY_METHOD", , B230), "")</f>
        <v/>
      </c>
      <c r="K230" s="11">
        <f>IFERROR(_xll.ciqfunctions.udf.CIQ(mh_ticker, "IQ_LT_Mark_Securities", , B230), "")</f>
        <v/>
      </c>
      <c r="L230" s="12">
        <f>IFERROR(C230*D230, "")</f>
        <v/>
      </c>
      <c r="M230" s="12">
        <f>IFERROR(L230-E230-F230+G230+H230+I230-J230-K230, "")</f>
        <v/>
      </c>
      <c r="N230" s="11">
        <f>IFERROR(_xll.ciqfunctions.udf.CIQ(mh_ticker, "IQ_EBITDA_EST", IQ_NTM, B230, , , "USD"), "")</f>
        <v/>
      </c>
      <c r="O230" s="13">
        <f>IFERROR(M230/N230, "")</f>
        <v/>
      </c>
    </row>
    <row r="231">
      <c r="B231" s="8" t="n"/>
      <c r="C231" s="9">
        <f>IFERROR(_xll.ciqfunctions.udf.CIQ(mh_ticker, "IQ_LASTSALEPRICE", B231), "")</f>
        <v/>
      </c>
      <c r="D231" s="10">
        <f>IFERROR(_xll.ciqfunctions.udf.CIQ(mh_ticker, "IQ_SHARESOUTSTANDING_OUT", B231), "")</f>
        <v/>
      </c>
      <c r="E231" s="11">
        <f>IFERROR(_xll.ciqfunctions.udf.CIQ(mh_ticker, "IQ_CASH_EQUIV", , B231), "")</f>
        <v/>
      </c>
      <c r="F231" s="11">
        <f>IFERROR(_xll.ciqfunctions.udf.CIQ(mh_ticker, "IQ_ST_INVEST", , B231), "")</f>
        <v/>
      </c>
      <c r="G231" s="11">
        <f>IFERROR(_xll.ciqfunctions.udf.CIQ(mh_ticker, "IQ_TOTAL_DEBT_EXCL_OPER_LEASES", , B231), "")</f>
        <v/>
      </c>
      <c r="H231" s="11">
        <f>IFERROR(_xll.ciqfunctions.udf.CIQ(mh_ticker, "IQ_PREF_EQUITY", , B231), "")</f>
        <v/>
      </c>
      <c r="I231" s="11">
        <f>IFERROR(_xll.ciqfunctions.udf.CIQ(mh_ticker, "IQ_MINORITY_INTEREST", , B231), "")</f>
        <v/>
      </c>
      <c r="J231" s="11">
        <f>IFERROR(_xll.ciqfunctions.udf.CIQ(mh_ticker, "IQ_EQUITY_METHOD", , B231), "")</f>
        <v/>
      </c>
      <c r="K231" s="11">
        <f>IFERROR(_xll.ciqfunctions.udf.CIQ(mh_ticker, "IQ_LT_Mark_Securities", , B231), "")</f>
        <v/>
      </c>
      <c r="L231" s="12">
        <f>IFERROR(C231*D231, "")</f>
        <v/>
      </c>
      <c r="M231" s="12">
        <f>IFERROR(L231-E231-F231+G231+H231+I231-J231-K231, "")</f>
        <v/>
      </c>
      <c r="N231" s="11">
        <f>IFERROR(_xll.ciqfunctions.udf.CIQ(mh_ticker, "IQ_EBITDA_EST", IQ_NTM, B231, , , "USD"), "")</f>
        <v/>
      </c>
      <c r="O231" s="13">
        <f>IFERROR(M231/N231, "")</f>
        <v/>
      </c>
    </row>
    <row r="232">
      <c r="B232" s="8" t="n"/>
      <c r="C232" s="9">
        <f>IFERROR(_xll.ciqfunctions.udf.CIQ(mh_ticker, "IQ_LASTSALEPRICE", B232), "")</f>
        <v/>
      </c>
      <c r="D232" s="10">
        <f>IFERROR(_xll.ciqfunctions.udf.CIQ(mh_ticker, "IQ_SHARESOUTSTANDING_OUT", B232), "")</f>
        <v/>
      </c>
      <c r="E232" s="11">
        <f>IFERROR(_xll.ciqfunctions.udf.CIQ(mh_ticker, "IQ_CASH_EQUIV", , B232), "")</f>
        <v/>
      </c>
      <c r="F232" s="11">
        <f>IFERROR(_xll.ciqfunctions.udf.CIQ(mh_ticker, "IQ_ST_INVEST", , B232), "")</f>
        <v/>
      </c>
      <c r="G232" s="11">
        <f>IFERROR(_xll.ciqfunctions.udf.CIQ(mh_ticker, "IQ_TOTAL_DEBT_EXCL_OPER_LEASES", , B232), "")</f>
        <v/>
      </c>
      <c r="H232" s="11">
        <f>IFERROR(_xll.ciqfunctions.udf.CIQ(mh_ticker, "IQ_PREF_EQUITY", , B232), "")</f>
        <v/>
      </c>
      <c r="I232" s="11">
        <f>IFERROR(_xll.ciqfunctions.udf.CIQ(mh_ticker, "IQ_MINORITY_INTEREST", , B232), "")</f>
        <v/>
      </c>
      <c r="J232" s="11">
        <f>IFERROR(_xll.ciqfunctions.udf.CIQ(mh_ticker, "IQ_EQUITY_METHOD", , B232), "")</f>
        <v/>
      </c>
      <c r="K232" s="11">
        <f>IFERROR(_xll.ciqfunctions.udf.CIQ(mh_ticker, "IQ_LT_Mark_Securities", , B232), "")</f>
        <v/>
      </c>
      <c r="L232" s="12">
        <f>IFERROR(C232*D232, "")</f>
        <v/>
      </c>
      <c r="M232" s="12">
        <f>IFERROR(L232-E232-F232+G232+H232+I232-J232-K232, "")</f>
        <v/>
      </c>
      <c r="N232" s="11">
        <f>IFERROR(_xll.ciqfunctions.udf.CIQ(mh_ticker, "IQ_EBITDA_EST", IQ_NTM, B232, , , "USD"), "")</f>
        <v/>
      </c>
      <c r="O232" s="13">
        <f>IFERROR(M232/N232, "")</f>
        <v/>
      </c>
    </row>
    <row r="233">
      <c r="B233" s="8" t="n"/>
      <c r="C233" s="9">
        <f>IFERROR(_xll.ciqfunctions.udf.CIQ(mh_ticker, "IQ_LASTSALEPRICE", B233), "")</f>
        <v/>
      </c>
      <c r="D233" s="10">
        <f>IFERROR(_xll.ciqfunctions.udf.CIQ(mh_ticker, "IQ_SHARESOUTSTANDING_OUT", B233), "")</f>
        <v/>
      </c>
      <c r="E233" s="11">
        <f>IFERROR(_xll.ciqfunctions.udf.CIQ(mh_ticker, "IQ_CASH_EQUIV", , B233), "")</f>
        <v/>
      </c>
      <c r="F233" s="11">
        <f>IFERROR(_xll.ciqfunctions.udf.CIQ(mh_ticker, "IQ_ST_INVEST", , B233), "")</f>
        <v/>
      </c>
      <c r="G233" s="11">
        <f>IFERROR(_xll.ciqfunctions.udf.CIQ(mh_ticker, "IQ_TOTAL_DEBT_EXCL_OPER_LEASES", , B233), "")</f>
        <v/>
      </c>
      <c r="H233" s="11">
        <f>IFERROR(_xll.ciqfunctions.udf.CIQ(mh_ticker, "IQ_PREF_EQUITY", , B233), "")</f>
        <v/>
      </c>
      <c r="I233" s="11">
        <f>IFERROR(_xll.ciqfunctions.udf.CIQ(mh_ticker, "IQ_MINORITY_INTEREST", , B233), "")</f>
        <v/>
      </c>
      <c r="J233" s="11">
        <f>IFERROR(_xll.ciqfunctions.udf.CIQ(mh_ticker, "IQ_EQUITY_METHOD", , B233), "")</f>
        <v/>
      </c>
      <c r="K233" s="11">
        <f>IFERROR(_xll.ciqfunctions.udf.CIQ(mh_ticker, "IQ_LT_Mark_Securities", , B233), "")</f>
        <v/>
      </c>
      <c r="L233" s="12">
        <f>IFERROR(C233*D233, "")</f>
        <v/>
      </c>
      <c r="M233" s="12">
        <f>IFERROR(L233-E233-F233+G233+H233+I233-J233-K233, "")</f>
        <v/>
      </c>
      <c r="N233" s="11">
        <f>IFERROR(_xll.ciqfunctions.udf.CIQ(mh_ticker, "IQ_EBITDA_EST", IQ_NTM, B233, , , "USD"), "")</f>
        <v/>
      </c>
      <c r="O233" s="13">
        <f>IFERROR(M233/N233, "")</f>
        <v/>
      </c>
    </row>
    <row r="234">
      <c r="B234" s="8" t="n"/>
      <c r="C234" s="9">
        <f>IFERROR(_xll.ciqfunctions.udf.CIQ(mh_ticker, "IQ_LASTSALEPRICE", B234), "")</f>
        <v/>
      </c>
      <c r="D234" s="10">
        <f>IFERROR(_xll.ciqfunctions.udf.CIQ(mh_ticker, "IQ_SHARESOUTSTANDING_OUT", B234), "")</f>
        <v/>
      </c>
      <c r="E234" s="11">
        <f>IFERROR(_xll.ciqfunctions.udf.CIQ(mh_ticker, "IQ_CASH_EQUIV", , B234), "")</f>
        <v/>
      </c>
      <c r="F234" s="11">
        <f>IFERROR(_xll.ciqfunctions.udf.CIQ(mh_ticker, "IQ_ST_INVEST", , B234), "")</f>
        <v/>
      </c>
      <c r="G234" s="11">
        <f>IFERROR(_xll.ciqfunctions.udf.CIQ(mh_ticker, "IQ_TOTAL_DEBT_EXCL_OPER_LEASES", , B234), "")</f>
        <v/>
      </c>
      <c r="H234" s="11">
        <f>IFERROR(_xll.ciqfunctions.udf.CIQ(mh_ticker, "IQ_PREF_EQUITY", , B234), "")</f>
        <v/>
      </c>
      <c r="I234" s="11">
        <f>IFERROR(_xll.ciqfunctions.udf.CIQ(mh_ticker, "IQ_MINORITY_INTEREST", , B234), "")</f>
        <v/>
      </c>
      <c r="J234" s="11">
        <f>IFERROR(_xll.ciqfunctions.udf.CIQ(mh_ticker, "IQ_EQUITY_METHOD", , B234), "")</f>
        <v/>
      </c>
      <c r="K234" s="11">
        <f>IFERROR(_xll.ciqfunctions.udf.CIQ(mh_ticker, "IQ_LT_Mark_Securities", , B234), "")</f>
        <v/>
      </c>
      <c r="L234" s="12">
        <f>IFERROR(C234*D234, "")</f>
        <v/>
      </c>
      <c r="M234" s="12">
        <f>IFERROR(L234-E234-F234+G234+H234+I234-J234-K234, "")</f>
        <v/>
      </c>
      <c r="N234" s="11">
        <f>IFERROR(_xll.ciqfunctions.udf.CIQ(mh_ticker, "IQ_EBITDA_EST", IQ_NTM, B234, , , "USD"), "")</f>
        <v/>
      </c>
      <c r="O234" s="13">
        <f>IFERROR(M234/N234, "")</f>
        <v/>
      </c>
    </row>
    <row r="235">
      <c r="B235" s="8" t="n"/>
      <c r="C235" s="9">
        <f>IFERROR(_xll.ciqfunctions.udf.CIQ(mh_ticker, "IQ_LASTSALEPRICE", B235), "")</f>
        <v/>
      </c>
      <c r="D235" s="10">
        <f>IFERROR(_xll.ciqfunctions.udf.CIQ(mh_ticker, "IQ_SHARESOUTSTANDING_OUT", B235), "")</f>
        <v/>
      </c>
      <c r="E235" s="11">
        <f>IFERROR(_xll.ciqfunctions.udf.CIQ(mh_ticker, "IQ_CASH_EQUIV", , B235), "")</f>
        <v/>
      </c>
      <c r="F235" s="11">
        <f>IFERROR(_xll.ciqfunctions.udf.CIQ(mh_ticker, "IQ_ST_INVEST", , B235), "")</f>
        <v/>
      </c>
      <c r="G235" s="11">
        <f>IFERROR(_xll.ciqfunctions.udf.CIQ(mh_ticker, "IQ_TOTAL_DEBT_EXCL_OPER_LEASES", , B235), "")</f>
        <v/>
      </c>
      <c r="H235" s="11">
        <f>IFERROR(_xll.ciqfunctions.udf.CIQ(mh_ticker, "IQ_PREF_EQUITY", , B235), "")</f>
        <v/>
      </c>
      <c r="I235" s="11">
        <f>IFERROR(_xll.ciqfunctions.udf.CIQ(mh_ticker, "IQ_MINORITY_INTEREST", , B235), "")</f>
        <v/>
      </c>
      <c r="J235" s="11">
        <f>IFERROR(_xll.ciqfunctions.udf.CIQ(mh_ticker, "IQ_EQUITY_METHOD", , B235), "")</f>
        <v/>
      </c>
      <c r="K235" s="11">
        <f>IFERROR(_xll.ciqfunctions.udf.CIQ(mh_ticker, "IQ_LT_Mark_Securities", , B235), "")</f>
        <v/>
      </c>
      <c r="L235" s="12">
        <f>IFERROR(C235*D235, "")</f>
        <v/>
      </c>
      <c r="M235" s="12">
        <f>IFERROR(L235-E235-F235+G235+H235+I235-J235-K235, "")</f>
        <v/>
      </c>
      <c r="N235" s="11">
        <f>IFERROR(_xll.ciqfunctions.udf.CIQ(mh_ticker, "IQ_EBITDA_EST", IQ_NTM, B235, , , "USD"), "")</f>
        <v/>
      </c>
      <c r="O235" s="13">
        <f>IFERROR(M235/N235, "")</f>
        <v/>
      </c>
    </row>
    <row r="236">
      <c r="B236" s="8" t="n"/>
      <c r="C236" s="9">
        <f>IFERROR(_xll.ciqfunctions.udf.CIQ(mh_ticker, "IQ_LASTSALEPRICE", B236), "")</f>
        <v/>
      </c>
      <c r="D236" s="10">
        <f>IFERROR(_xll.ciqfunctions.udf.CIQ(mh_ticker, "IQ_SHARESOUTSTANDING_OUT", B236), "")</f>
        <v/>
      </c>
      <c r="E236" s="11">
        <f>IFERROR(_xll.ciqfunctions.udf.CIQ(mh_ticker, "IQ_CASH_EQUIV", , B236), "")</f>
        <v/>
      </c>
      <c r="F236" s="11">
        <f>IFERROR(_xll.ciqfunctions.udf.CIQ(mh_ticker, "IQ_ST_INVEST", , B236), "")</f>
        <v/>
      </c>
      <c r="G236" s="11">
        <f>IFERROR(_xll.ciqfunctions.udf.CIQ(mh_ticker, "IQ_TOTAL_DEBT_EXCL_OPER_LEASES", , B236), "")</f>
        <v/>
      </c>
      <c r="H236" s="11">
        <f>IFERROR(_xll.ciqfunctions.udf.CIQ(mh_ticker, "IQ_PREF_EQUITY", , B236), "")</f>
        <v/>
      </c>
      <c r="I236" s="11">
        <f>IFERROR(_xll.ciqfunctions.udf.CIQ(mh_ticker, "IQ_MINORITY_INTEREST", , B236), "")</f>
        <v/>
      </c>
      <c r="J236" s="11">
        <f>IFERROR(_xll.ciqfunctions.udf.CIQ(mh_ticker, "IQ_EQUITY_METHOD", , B236), "")</f>
        <v/>
      </c>
      <c r="K236" s="11">
        <f>IFERROR(_xll.ciqfunctions.udf.CIQ(mh_ticker, "IQ_LT_Mark_Securities", , B236), "")</f>
        <v/>
      </c>
      <c r="L236" s="12">
        <f>IFERROR(C236*D236, "")</f>
        <v/>
      </c>
      <c r="M236" s="12">
        <f>IFERROR(L236-E236-F236+G236+H236+I236-J236-K236, "")</f>
        <v/>
      </c>
      <c r="N236" s="11">
        <f>IFERROR(_xll.ciqfunctions.udf.CIQ(mh_ticker, "IQ_EBITDA_EST", IQ_NTM, B236, , , "USD"), "")</f>
        <v/>
      </c>
      <c r="O236" s="13">
        <f>IFERROR(M236/N236, "")</f>
        <v/>
      </c>
    </row>
    <row r="237">
      <c r="B237" s="8" t="n"/>
      <c r="C237" s="9">
        <f>IFERROR(_xll.ciqfunctions.udf.CIQ(mh_ticker, "IQ_LASTSALEPRICE", B237), "")</f>
        <v/>
      </c>
      <c r="D237" s="10">
        <f>IFERROR(_xll.ciqfunctions.udf.CIQ(mh_ticker, "IQ_SHARESOUTSTANDING_OUT", B237), "")</f>
        <v/>
      </c>
      <c r="E237" s="11">
        <f>IFERROR(_xll.ciqfunctions.udf.CIQ(mh_ticker, "IQ_CASH_EQUIV", , B237), "")</f>
        <v/>
      </c>
      <c r="F237" s="11">
        <f>IFERROR(_xll.ciqfunctions.udf.CIQ(mh_ticker, "IQ_ST_INVEST", , B237), "")</f>
        <v/>
      </c>
      <c r="G237" s="11">
        <f>IFERROR(_xll.ciqfunctions.udf.CIQ(mh_ticker, "IQ_TOTAL_DEBT_EXCL_OPER_LEASES", , B237), "")</f>
        <v/>
      </c>
      <c r="H237" s="11">
        <f>IFERROR(_xll.ciqfunctions.udf.CIQ(mh_ticker, "IQ_PREF_EQUITY", , B237), "")</f>
        <v/>
      </c>
      <c r="I237" s="11">
        <f>IFERROR(_xll.ciqfunctions.udf.CIQ(mh_ticker, "IQ_MINORITY_INTEREST", , B237), "")</f>
        <v/>
      </c>
      <c r="J237" s="11">
        <f>IFERROR(_xll.ciqfunctions.udf.CIQ(mh_ticker, "IQ_EQUITY_METHOD", , B237), "")</f>
        <v/>
      </c>
      <c r="K237" s="11">
        <f>IFERROR(_xll.ciqfunctions.udf.CIQ(mh_ticker, "IQ_LT_Mark_Securities", , B237), "")</f>
        <v/>
      </c>
      <c r="L237" s="12">
        <f>IFERROR(C237*D237, "")</f>
        <v/>
      </c>
      <c r="M237" s="12">
        <f>IFERROR(L237-E237-F237+G237+H237+I237-J237-K237, "")</f>
        <v/>
      </c>
      <c r="N237" s="11">
        <f>IFERROR(_xll.ciqfunctions.udf.CIQ(mh_ticker, "IQ_EBITDA_EST", IQ_NTM, B237, , , "USD"), "")</f>
        <v/>
      </c>
      <c r="O237" s="13">
        <f>IFERROR(M237/N237, "")</f>
        <v/>
      </c>
    </row>
    <row r="238">
      <c r="B238" s="8" t="n"/>
      <c r="C238" s="9">
        <f>IFERROR(_xll.ciqfunctions.udf.CIQ(mh_ticker, "IQ_LASTSALEPRICE", B238), "")</f>
        <v/>
      </c>
      <c r="D238" s="10">
        <f>IFERROR(_xll.ciqfunctions.udf.CIQ(mh_ticker, "IQ_SHARESOUTSTANDING_OUT", B238), "")</f>
        <v/>
      </c>
      <c r="E238" s="11">
        <f>IFERROR(_xll.ciqfunctions.udf.CIQ(mh_ticker, "IQ_CASH_EQUIV", , B238), "")</f>
        <v/>
      </c>
      <c r="F238" s="11">
        <f>IFERROR(_xll.ciqfunctions.udf.CIQ(mh_ticker, "IQ_ST_INVEST", , B238), "")</f>
        <v/>
      </c>
      <c r="G238" s="11">
        <f>IFERROR(_xll.ciqfunctions.udf.CIQ(mh_ticker, "IQ_TOTAL_DEBT_EXCL_OPER_LEASES", , B238), "")</f>
        <v/>
      </c>
      <c r="H238" s="11">
        <f>IFERROR(_xll.ciqfunctions.udf.CIQ(mh_ticker, "IQ_PREF_EQUITY", , B238), "")</f>
        <v/>
      </c>
      <c r="I238" s="11">
        <f>IFERROR(_xll.ciqfunctions.udf.CIQ(mh_ticker, "IQ_MINORITY_INTEREST", , B238), "")</f>
        <v/>
      </c>
      <c r="J238" s="11">
        <f>IFERROR(_xll.ciqfunctions.udf.CIQ(mh_ticker, "IQ_EQUITY_METHOD", , B238), "")</f>
        <v/>
      </c>
      <c r="K238" s="11">
        <f>IFERROR(_xll.ciqfunctions.udf.CIQ(mh_ticker, "IQ_LT_Mark_Securities", , B238), "")</f>
        <v/>
      </c>
      <c r="L238" s="12">
        <f>IFERROR(C238*D238, "")</f>
        <v/>
      </c>
      <c r="M238" s="12">
        <f>IFERROR(L238-E238-F238+G238+H238+I238-J238-K238, "")</f>
        <v/>
      </c>
      <c r="N238" s="11">
        <f>IFERROR(_xll.ciqfunctions.udf.CIQ(mh_ticker, "IQ_EBITDA_EST", IQ_NTM, B238, , , "USD"), "")</f>
        <v/>
      </c>
      <c r="O238" s="13">
        <f>IFERROR(M238/N238, "")</f>
        <v/>
      </c>
    </row>
    <row r="239">
      <c r="B239" s="8" t="n"/>
      <c r="C239" s="9">
        <f>IFERROR(_xll.ciqfunctions.udf.CIQ(mh_ticker, "IQ_LASTSALEPRICE", B239), "")</f>
        <v/>
      </c>
      <c r="D239" s="10">
        <f>IFERROR(_xll.ciqfunctions.udf.CIQ(mh_ticker, "IQ_SHARESOUTSTANDING_OUT", B239), "")</f>
        <v/>
      </c>
      <c r="E239" s="11">
        <f>IFERROR(_xll.ciqfunctions.udf.CIQ(mh_ticker, "IQ_CASH_EQUIV", , B239), "")</f>
        <v/>
      </c>
      <c r="F239" s="11">
        <f>IFERROR(_xll.ciqfunctions.udf.CIQ(mh_ticker, "IQ_ST_INVEST", , B239), "")</f>
        <v/>
      </c>
      <c r="G239" s="11">
        <f>IFERROR(_xll.ciqfunctions.udf.CIQ(mh_ticker, "IQ_TOTAL_DEBT_EXCL_OPER_LEASES", , B239), "")</f>
        <v/>
      </c>
      <c r="H239" s="11">
        <f>IFERROR(_xll.ciqfunctions.udf.CIQ(mh_ticker, "IQ_PREF_EQUITY", , B239), "")</f>
        <v/>
      </c>
      <c r="I239" s="11">
        <f>IFERROR(_xll.ciqfunctions.udf.CIQ(mh_ticker, "IQ_MINORITY_INTEREST", , B239), "")</f>
        <v/>
      </c>
      <c r="J239" s="11">
        <f>IFERROR(_xll.ciqfunctions.udf.CIQ(mh_ticker, "IQ_EQUITY_METHOD", , B239), "")</f>
        <v/>
      </c>
      <c r="K239" s="11">
        <f>IFERROR(_xll.ciqfunctions.udf.CIQ(mh_ticker, "IQ_LT_Mark_Securities", , B239), "")</f>
        <v/>
      </c>
      <c r="L239" s="12">
        <f>IFERROR(C239*D239, "")</f>
        <v/>
      </c>
      <c r="M239" s="12">
        <f>IFERROR(L239-E239-F239+G239+H239+I239-J239-K239, "")</f>
        <v/>
      </c>
      <c r="N239" s="11">
        <f>IFERROR(_xll.ciqfunctions.udf.CIQ(mh_ticker, "IQ_EBITDA_EST", IQ_NTM, B239, , , "USD"), "")</f>
        <v/>
      </c>
      <c r="O239" s="13">
        <f>IFERROR(M239/N239, "")</f>
        <v/>
      </c>
    </row>
    <row r="240">
      <c r="B240" s="8" t="n"/>
      <c r="C240" s="9">
        <f>IFERROR(_xll.ciqfunctions.udf.CIQ(mh_ticker, "IQ_LASTSALEPRICE", B240), "")</f>
        <v/>
      </c>
      <c r="D240" s="10">
        <f>IFERROR(_xll.ciqfunctions.udf.CIQ(mh_ticker, "IQ_SHARESOUTSTANDING_OUT", B240), "")</f>
        <v/>
      </c>
      <c r="E240" s="11">
        <f>IFERROR(_xll.ciqfunctions.udf.CIQ(mh_ticker, "IQ_CASH_EQUIV", , B240), "")</f>
        <v/>
      </c>
      <c r="F240" s="11">
        <f>IFERROR(_xll.ciqfunctions.udf.CIQ(mh_ticker, "IQ_ST_INVEST", , B240), "")</f>
        <v/>
      </c>
      <c r="G240" s="11">
        <f>IFERROR(_xll.ciqfunctions.udf.CIQ(mh_ticker, "IQ_TOTAL_DEBT_EXCL_OPER_LEASES", , B240), "")</f>
        <v/>
      </c>
      <c r="H240" s="11">
        <f>IFERROR(_xll.ciqfunctions.udf.CIQ(mh_ticker, "IQ_PREF_EQUITY", , B240), "")</f>
        <v/>
      </c>
      <c r="I240" s="11">
        <f>IFERROR(_xll.ciqfunctions.udf.CIQ(mh_ticker, "IQ_MINORITY_INTEREST", , B240), "")</f>
        <v/>
      </c>
      <c r="J240" s="11">
        <f>IFERROR(_xll.ciqfunctions.udf.CIQ(mh_ticker, "IQ_EQUITY_METHOD", , B240), "")</f>
        <v/>
      </c>
      <c r="K240" s="11">
        <f>IFERROR(_xll.ciqfunctions.udf.CIQ(mh_ticker, "IQ_LT_Mark_Securities", , B240), "")</f>
        <v/>
      </c>
      <c r="L240" s="12">
        <f>IFERROR(C240*D240, "")</f>
        <v/>
      </c>
      <c r="M240" s="12">
        <f>IFERROR(L240-E240-F240+G240+H240+I240-J240-K240, "")</f>
        <v/>
      </c>
      <c r="N240" s="11">
        <f>IFERROR(_xll.ciqfunctions.udf.CIQ(mh_ticker, "IQ_EBITDA_EST", IQ_NTM, B240, , , "USD"), "")</f>
        <v/>
      </c>
      <c r="O240" s="13">
        <f>IFERROR(M240/N240, "")</f>
        <v/>
      </c>
    </row>
    <row r="241">
      <c r="B241" s="8" t="n"/>
      <c r="C241" s="9">
        <f>IFERROR(_xll.ciqfunctions.udf.CIQ(mh_ticker, "IQ_LASTSALEPRICE", B241), "")</f>
        <v/>
      </c>
      <c r="D241" s="10">
        <f>IFERROR(_xll.ciqfunctions.udf.CIQ(mh_ticker, "IQ_SHARESOUTSTANDING_OUT", B241), "")</f>
        <v/>
      </c>
      <c r="E241" s="11">
        <f>IFERROR(_xll.ciqfunctions.udf.CIQ(mh_ticker, "IQ_CASH_EQUIV", , B241), "")</f>
        <v/>
      </c>
      <c r="F241" s="11">
        <f>IFERROR(_xll.ciqfunctions.udf.CIQ(mh_ticker, "IQ_ST_INVEST", , B241), "")</f>
        <v/>
      </c>
      <c r="G241" s="11">
        <f>IFERROR(_xll.ciqfunctions.udf.CIQ(mh_ticker, "IQ_TOTAL_DEBT_EXCL_OPER_LEASES", , B241), "")</f>
        <v/>
      </c>
      <c r="H241" s="11">
        <f>IFERROR(_xll.ciqfunctions.udf.CIQ(mh_ticker, "IQ_PREF_EQUITY", , B241), "")</f>
        <v/>
      </c>
      <c r="I241" s="11">
        <f>IFERROR(_xll.ciqfunctions.udf.CIQ(mh_ticker, "IQ_MINORITY_INTEREST", , B241), "")</f>
        <v/>
      </c>
      <c r="J241" s="11">
        <f>IFERROR(_xll.ciqfunctions.udf.CIQ(mh_ticker, "IQ_EQUITY_METHOD", , B241), "")</f>
        <v/>
      </c>
      <c r="K241" s="11">
        <f>IFERROR(_xll.ciqfunctions.udf.CIQ(mh_ticker, "IQ_LT_Mark_Securities", , B241), "")</f>
        <v/>
      </c>
      <c r="L241" s="12">
        <f>IFERROR(C241*D241, "")</f>
        <v/>
      </c>
      <c r="M241" s="12">
        <f>IFERROR(L241-E241-F241+G241+H241+I241-J241-K241, "")</f>
        <v/>
      </c>
      <c r="N241" s="11">
        <f>IFERROR(_xll.ciqfunctions.udf.CIQ(mh_ticker, "IQ_EBITDA_EST", IQ_NTM, B241, , , "USD"), "")</f>
        <v/>
      </c>
      <c r="O241" s="13">
        <f>IFERROR(M241/N241, "")</f>
        <v/>
      </c>
    </row>
    <row r="242">
      <c r="B242" s="8" t="n"/>
      <c r="C242" s="9">
        <f>IFERROR(_xll.ciqfunctions.udf.CIQ(mh_ticker, "IQ_LASTSALEPRICE", B242), "")</f>
        <v/>
      </c>
      <c r="D242" s="10">
        <f>IFERROR(_xll.ciqfunctions.udf.CIQ(mh_ticker, "IQ_SHARESOUTSTANDING_OUT", B242), "")</f>
        <v/>
      </c>
      <c r="E242" s="11">
        <f>IFERROR(_xll.ciqfunctions.udf.CIQ(mh_ticker, "IQ_CASH_EQUIV", , B242), "")</f>
        <v/>
      </c>
      <c r="F242" s="11">
        <f>IFERROR(_xll.ciqfunctions.udf.CIQ(mh_ticker, "IQ_ST_INVEST", , B242), "")</f>
        <v/>
      </c>
      <c r="G242" s="11">
        <f>IFERROR(_xll.ciqfunctions.udf.CIQ(mh_ticker, "IQ_TOTAL_DEBT_EXCL_OPER_LEASES", , B242), "")</f>
        <v/>
      </c>
      <c r="H242" s="11">
        <f>IFERROR(_xll.ciqfunctions.udf.CIQ(mh_ticker, "IQ_PREF_EQUITY", , B242), "")</f>
        <v/>
      </c>
      <c r="I242" s="11">
        <f>IFERROR(_xll.ciqfunctions.udf.CIQ(mh_ticker, "IQ_MINORITY_INTEREST", , B242), "")</f>
        <v/>
      </c>
      <c r="J242" s="11">
        <f>IFERROR(_xll.ciqfunctions.udf.CIQ(mh_ticker, "IQ_EQUITY_METHOD", , B242), "")</f>
        <v/>
      </c>
      <c r="K242" s="11">
        <f>IFERROR(_xll.ciqfunctions.udf.CIQ(mh_ticker, "IQ_LT_Mark_Securities", , B242), "")</f>
        <v/>
      </c>
      <c r="L242" s="12">
        <f>IFERROR(C242*D242, "")</f>
        <v/>
      </c>
      <c r="M242" s="12">
        <f>IFERROR(L242-E242-F242+G242+H242+I242-J242-K242, "")</f>
        <v/>
      </c>
      <c r="N242" s="11">
        <f>IFERROR(_xll.ciqfunctions.udf.CIQ(mh_ticker, "IQ_EBITDA_EST", IQ_NTM, B242, , , "USD"), "")</f>
        <v/>
      </c>
      <c r="O242" s="13">
        <f>IFERROR(M242/N242, "")</f>
        <v/>
      </c>
    </row>
    <row r="243">
      <c r="B243" s="8" t="n"/>
      <c r="C243" s="9">
        <f>IFERROR(_xll.ciqfunctions.udf.CIQ(mh_ticker, "IQ_LASTSALEPRICE", B243), "")</f>
        <v/>
      </c>
      <c r="D243" s="10">
        <f>IFERROR(_xll.ciqfunctions.udf.CIQ(mh_ticker, "IQ_SHARESOUTSTANDING_OUT", B243), "")</f>
        <v/>
      </c>
      <c r="E243" s="11">
        <f>IFERROR(_xll.ciqfunctions.udf.CIQ(mh_ticker, "IQ_CASH_EQUIV", , B243), "")</f>
        <v/>
      </c>
      <c r="F243" s="11">
        <f>IFERROR(_xll.ciqfunctions.udf.CIQ(mh_ticker, "IQ_ST_INVEST", , B243), "")</f>
        <v/>
      </c>
      <c r="G243" s="11">
        <f>IFERROR(_xll.ciqfunctions.udf.CIQ(mh_ticker, "IQ_TOTAL_DEBT_EXCL_OPER_LEASES", , B243), "")</f>
        <v/>
      </c>
      <c r="H243" s="11">
        <f>IFERROR(_xll.ciqfunctions.udf.CIQ(mh_ticker, "IQ_PREF_EQUITY", , B243), "")</f>
        <v/>
      </c>
      <c r="I243" s="11">
        <f>IFERROR(_xll.ciqfunctions.udf.CIQ(mh_ticker, "IQ_MINORITY_INTEREST", , B243), "")</f>
        <v/>
      </c>
      <c r="J243" s="11">
        <f>IFERROR(_xll.ciqfunctions.udf.CIQ(mh_ticker, "IQ_EQUITY_METHOD", , B243), "")</f>
        <v/>
      </c>
      <c r="K243" s="11">
        <f>IFERROR(_xll.ciqfunctions.udf.CIQ(mh_ticker, "IQ_LT_Mark_Securities", , B243), "")</f>
        <v/>
      </c>
      <c r="L243" s="12">
        <f>IFERROR(C243*D243, "")</f>
        <v/>
      </c>
      <c r="M243" s="12">
        <f>IFERROR(L243-E243-F243+G243+H243+I243-J243-K243, "")</f>
        <v/>
      </c>
      <c r="N243" s="11">
        <f>IFERROR(_xll.ciqfunctions.udf.CIQ(mh_ticker, "IQ_EBITDA_EST", IQ_NTM, B243, , , "USD"), "")</f>
        <v/>
      </c>
      <c r="O243" s="13">
        <f>IFERROR(M243/N243, "")</f>
        <v/>
      </c>
    </row>
    <row r="244">
      <c r="B244" s="8" t="n"/>
      <c r="C244" s="9">
        <f>IFERROR(_xll.ciqfunctions.udf.CIQ(mh_ticker, "IQ_LASTSALEPRICE", B244), "")</f>
        <v/>
      </c>
      <c r="D244" s="10">
        <f>IFERROR(_xll.ciqfunctions.udf.CIQ(mh_ticker, "IQ_SHARESOUTSTANDING_OUT", B244), "")</f>
        <v/>
      </c>
      <c r="E244" s="11">
        <f>IFERROR(_xll.ciqfunctions.udf.CIQ(mh_ticker, "IQ_CASH_EQUIV", , B244), "")</f>
        <v/>
      </c>
      <c r="F244" s="11">
        <f>IFERROR(_xll.ciqfunctions.udf.CIQ(mh_ticker, "IQ_ST_INVEST", , B244), "")</f>
        <v/>
      </c>
      <c r="G244" s="11">
        <f>IFERROR(_xll.ciqfunctions.udf.CIQ(mh_ticker, "IQ_TOTAL_DEBT_EXCL_OPER_LEASES", , B244), "")</f>
        <v/>
      </c>
      <c r="H244" s="11">
        <f>IFERROR(_xll.ciqfunctions.udf.CIQ(mh_ticker, "IQ_PREF_EQUITY", , B244), "")</f>
        <v/>
      </c>
      <c r="I244" s="11">
        <f>IFERROR(_xll.ciqfunctions.udf.CIQ(mh_ticker, "IQ_MINORITY_INTEREST", , B244), "")</f>
        <v/>
      </c>
      <c r="J244" s="11">
        <f>IFERROR(_xll.ciqfunctions.udf.CIQ(mh_ticker, "IQ_EQUITY_METHOD", , B244), "")</f>
        <v/>
      </c>
      <c r="K244" s="11">
        <f>IFERROR(_xll.ciqfunctions.udf.CIQ(mh_ticker, "IQ_LT_Mark_Securities", , B244), "")</f>
        <v/>
      </c>
      <c r="L244" s="12">
        <f>IFERROR(C244*D244, "")</f>
        <v/>
      </c>
      <c r="M244" s="12">
        <f>IFERROR(L244-E244-F244+G244+H244+I244-J244-K244, "")</f>
        <v/>
      </c>
      <c r="N244" s="11">
        <f>IFERROR(_xll.ciqfunctions.udf.CIQ(mh_ticker, "IQ_EBITDA_EST", IQ_NTM, B244, , , "USD"), "")</f>
        <v/>
      </c>
      <c r="O244" s="13">
        <f>IFERROR(M244/N244, "")</f>
        <v/>
      </c>
    </row>
    <row r="245">
      <c r="B245" s="8" t="n"/>
      <c r="C245" s="9">
        <f>IFERROR(_xll.ciqfunctions.udf.CIQ(mh_ticker, "IQ_LASTSALEPRICE", B245), "")</f>
        <v/>
      </c>
      <c r="D245" s="10">
        <f>IFERROR(_xll.ciqfunctions.udf.CIQ(mh_ticker, "IQ_SHARESOUTSTANDING_OUT", B245), "")</f>
        <v/>
      </c>
      <c r="E245" s="11">
        <f>IFERROR(_xll.ciqfunctions.udf.CIQ(mh_ticker, "IQ_CASH_EQUIV", , B245), "")</f>
        <v/>
      </c>
      <c r="F245" s="11">
        <f>IFERROR(_xll.ciqfunctions.udf.CIQ(mh_ticker, "IQ_ST_INVEST", , B245), "")</f>
        <v/>
      </c>
      <c r="G245" s="11">
        <f>IFERROR(_xll.ciqfunctions.udf.CIQ(mh_ticker, "IQ_TOTAL_DEBT_EXCL_OPER_LEASES", , B245), "")</f>
        <v/>
      </c>
      <c r="H245" s="11">
        <f>IFERROR(_xll.ciqfunctions.udf.CIQ(mh_ticker, "IQ_PREF_EQUITY", , B245), "")</f>
        <v/>
      </c>
      <c r="I245" s="11">
        <f>IFERROR(_xll.ciqfunctions.udf.CIQ(mh_ticker, "IQ_MINORITY_INTEREST", , B245), "")</f>
        <v/>
      </c>
      <c r="J245" s="11">
        <f>IFERROR(_xll.ciqfunctions.udf.CIQ(mh_ticker, "IQ_EQUITY_METHOD", , B245), "")</f>
        <v/>
      </c>
      <c r="K245" s="11">
        <f>IFERROR(_xll.ciqfunctions.udf.CIQ(mh_ticker, "IQ_LT_Mark_Securities", , B245), "")</f>
        <v/>
      </c>
      <c r="L245" s="12">
        <f>IFERROR(C245*D245, "")</f>
        <v/>
      </c>
      <c r="M245" s="12">
        <f>IFERROR(L245-E245-F245+G245+H245+I245-J245-K245, "")</f>
        <v/>
      </c>
      <c r="N245" s="11">
        <f>IFERROR(_xll.ciqfunctions.udf.CIQ(mh_ticker, "IQ_EBITDA_EST", IQ_NTM, B245, , , "USD"), "")</f>
        <v/>
      </c>
      <c r="O245" s="13">
        <f>IFERROR(M245/N245, "")</f>
        <v/>
      </c>
    </row>
    <row r="246">
      <c r="B246" s="8" t="n"/>
      <c r="C246" s="9">
        <f>IFERROR(_xll.ciqfunctions.udf.CIQ(mh_ticker, "IQ_LASTSALEPRICE", B246), "")</f>
        <v/>
      </c>
      <c r="D246" s="10">
        <f>IFERROR(_xll.ciqfunctions.udf.CIQ(mh_ticker, "IQ_SHARESOUTSTANDING_OUT", B246), "")</f>
        <v/>
      </c>
      <c r="E246" s="11">
        <f>IFERROR(_xll.ciqfunctions.udf.CIQ(mh_ticker, "IQ_CASH_EQUIV", , B246), "")</f>
        <v/>
      </c>
      <c r="F246" s="11">
        <f>IFERROR(_xll.ciqfunctions.udf.CIQ(mh_ticker, "IQ_ST_INVEST", , B246), "")</f>
        <v/>
      </c>
      <c r="G246" s="11">
        <f>IFERROR(_xll.ciqfunctions.udf.CIQ(mh_ticker, "IQ_TOTAL_DEBT_EXCL_OPER_LEASES", , B246), "")</f>
        <v/>
      </c>
      <c r="H246" s="11">
        <f>IFERROR(_xll.ciqfunctions.udf.CIQ(mh_ticker, "IQ_PREF_EQUITY", , B246), "")</f>
        <v/>
      </c>
      <c r="I246" s="11">
        <f>IFERROR(_xll.ciqfunctions.udf.CIQ(mh_ticker, "IQ_MINORITY_INTEREST", , B246), "")</f>
        <v/>
      </c>
      <c r="J246" s="11">
        <f>IFERROR(_xll.ciqfunctions.udf.CIQ(mh_ticker, "IQ_EQUITY_METHOD", , B246), "")</f>
        <v/>
      </c>
      <c r="K246" s="11">
        <f>IFERROR(_xll.ciqfunctions.udf.CIQ(mh_ticker, "IQ_LT_Mark_Securities", , B246), "")</f>
        <v/>
      </c>
      <c r="L246" s="12">
        <f>IFERROR(C246*D246, "")</f>
        <v/>
      </c>
      <c r="M246" s="12">
        <f>IFERROR(L246-E246-F246+G246+H246+I246-J246-K246, "")</f>
        <v/>
      </c>
      <c r="N246" s="11">
        <f>IFERROR(_xll.ciqfunctions.udf.CIQ(mh_ticker, "IQ_EBITDA_EST", IQ_NTM, B246, , , "USD"), "")</f>
        <v/>
      </c>
      <c r="O246" s="13">
        <f>IFERROR(M246/N246, "")</f>
        <v/>
      </c>
    </row>
    <row r="247">
      <c r="B247" s="8" t="n"/>
      <c r="C247" s="9">
        <f>IFERROR(_xll.ciqfunctions.udf.CIQ(mh_ticker, "IQ_LASTSALEPRICE", B247), "")</f>
        <v/>
      </c>
      <c r="D247" s="10">
        <f>IFERROR(_xll.ciqfunctions.udf.CIQ(mh_ticker, "IQ_SHARESOUTSTANDING_OUT", B247), "")</f>
        <v/>
      </c>
      <c r="E247" s="11">
        <f>IFERROR(_xll.ciqfunctions.udf.CIQ(mh_ticker, "IQ_CASH_EQUIV", , B247), "")</f>
        <v/>
      </c>
      <c r="F247" s="11">
        <f>IFERROR(_xll.ciqfunctions.udf.CIQ(mh_ticker, "IQ_ST_INVEST", , B247), "")</f>
        <v/>
      </c>
      <c r="G247" s="11">
        <f>IFERROR(_xll.ciqfunctions.udf.CIQ(mh_ticker, "IQ_TOTAL_DEBT_EXCL_OPER_LEASES", , B247), "")</f>
        <v/>
      </c>
      <c r="H247" s="11">
        <f>IFERROR(_xll.ciqfunctions.udf.CIQ(mh_ticker, "IQ_PREF_EQUITY", , B247), "")</f>
        <v/>
      </c>
      <c r="I247" s="11">
        <f>IFERROR(_xll.ciqfunctions.udf.CIQ(mh_ticker, "IQ_MINORITY_INTEREST", , B247), "")</f>
        <v/>
      </c>
      <c r="J247" s="11">
        <f>IFERROR(_xll.ciqfunctions.udf.CIQ(mh_ticker, "IQ_EQUITY_METHOD", , B247), "")</f>
        <v/>
      </c>
      <c r="K247" s="11">
        <f>IFERROR(_xll.ciqfunctions.udf.CIQ(mh_ticker, "IQ_LT_Mark_Securities", , B247), "")</f>
        <v/>
      </c>
      <c r="L247" s="12">
        <f>IFERROR(C247*D247, "")</f>
        <v/>
      </c>
      <c r="M247" s="12">
        <f>IFERROR(L247-E247-F247+G247+H247+I247-J247-K247, "")</f>
        <v/>
      </c>
      <c r="N247" s="11">
        <f>IFERROR(_xll.ciqfunctions.udf.CIQ(mh_ticker, "IQ_EBITDA_EST", IQ_NTM, B247, , , "USD"), "")</f>
        <v/>
      </c>
      <c r="O247" s="13">
        <f>IFERROR(M247/N247, "")</f>
        <v/>
      </c>
    </row>
    <row r="248">
      <c r="B248" s="8" t="n"/>
      <c r="C248" s="9">
        <f>IFERROR(_xll.ciqfunctions.udf.CIQ(mh_ticker, "IQ_LASTSALEPRICE", B248), "")</f>
        <v/>
      </c>
      <c r="D248" s="10">
        <f>IFERROR(_xll.ciqfunctions.udf.CIQ(mh_ticker, "IQ_SHARESOUTSTANDING_OUT", B248), "")</f>
        <v/>
      </c>
      <c r="E248" s="11">
        <f>IFERROR(_xll.ciqfunctions.udf.CIQ(mh_ticker, "IQ_CASH_EQUIV", , B248), "")</f>
        <v/>
      </c>
      <c r="F248" s="11">
        <f>IFERROR(_xll.ciqfunctions.udf.CIQ(mh_ticker, "IQ_ST_INVEST", , B248), "")</f>
        <v/>
      </c>
      <c r="G248" s="11">
        <f>IFERROR(_xll.ciqfunctions.udf.CIQ(mh_ticker, "IQ_TOTAL_DEBT_EXCL_OPER_LEASES", , B248), "")</f>
        <v/>
      </c>
      <c r="H248" s="11">
        <f>IFERROR(_xll.ciqfunctions.udf.CIQ(mh_ticker, "IQ_PREF_EQUITY", , B248), "")</f>
        <v/>
      </c>
      <c r="I248" s="11">
        <f>IFERROR(_xll.ciqfunctions.udf.CIQ(mh_ticker, "IQ_MINORITY_INTEREST", , B248), "")</f>
        <v/>
      </c>
      <c r="J248" s="11">
        <f>IFERROR(_xll.ciqfunctions.udf.CIQ(mh_ticker, "IQ_EQUITY_METHOD", , B248), "")</f>
        <v/>
      </c>
      <c r="K248" s="11">
        <f>IFERROR(_xll.ciqfunctions.udf.CIQ(mh_ticker, "IQ_LT_Mark_Securities", , B248), "")</f>
        <v/>
      </c>
      <c r="L248" s="12">
        <f>IFERROR(C248*D248, "")</f>
        <v/>
      </c>
      <c r="M248" s="12">
        <f>IFERROR(L248-E248-F248+G248+H248+I248-J248-K248, "")</f>
        <v/>
      </c>
      <c r="N248" s="11">
        <f>IFERROR(_xll.ciqfunctions.udf.CIQ(mh_ticker, "IQ_EBITDA_EST", IQ_NTM, B248, , , "USD"), "")</f>
        <v/>
      </c>
      <c r="O248" s="13">
        <f>IFERROR(M248/N248, "")</f>
        <v/>
      </c>
    </row>
    <row r="249">
      <c r="B249" s="8" t="n"/>
      <c r="C249" s="9">
        <f>IFERROR(_xll.ciqfunctions.udf.CIQ(mh_ticker, "IQ_LASTSALEPRICE", B249), "")</f>
        <v/>
      </c>
      <c r="D249" s="10">
        <f>IFERROR(_xll.ciqfunctions.udf.CIQ(mh_ticker, "IQ_SHARESOUTSTANDING_OUT", B249), "")</f>
        <v/>
      </c>
      <c r="E249" s="11">
        <f>IFERROR(_xll.ciqfunctions.udf.CIQ(mh_ticker, "IQ_CASH_EQUIV", , B249), "")</f>
        <v/>
      </c>
      <c r="F249" s="11">
        <f>IFERROR(_xll.ciqfunctions.udf.CIQ(mh_ticker, "IQ_ST_INVEST", , B249), "")</f>
        <v/>
      </c>
      <c r="G249" s="11">
        <f>IFERROR(_xll.ciqfunctions.udf.CIQ(mh_ticker, "IQ_TOTAL_DEBT_EXCL_OPER_LEASES", , B249), "")</f>
        <v/>
      </c>
      <c r="H249" s="11">
        <f>IFERROR(_xll.ciqfunctions.udf.CIQ(mh_ticker, "IQ_PREF_EQUITY", , B249), "")</f>
        <v/>
      </c>
      <c r="I249" s="11">
        <f>IFERROR(_xll.ciqfunctions.udf.CIQ(mh_ticker, "IQ_MINORITY_INTEREST", , B249), "")</f>
        <v/>
      </c>
      <c r="J249" s="11">
        <f>IFERROR(_xll.ciqfunctions.udf.CIQ(mh_ticker, "IQ_EQUITY_METHOD", , B249), "")</f>
        <v/>
      </c>
      <c r="K249" s="11">
        <f>IFERROR(_xll.ciqfunctions.udf.CIQ(mh_ticker, "IQ_LT_Mark_Securities", , B249), "")</f>
        <v/>
      </c>
      <c r="L249" s="12">
        <f>IFERROR(C249*D249, "")</f>
        <v/>
      </c>
      <c r="M249" s="12">
        <f>IFERROR(L249-E249-F249+G249+H249+I249-J249-K249, "")</f>
        <v/>
      </c>
      <c r="N249" s="11">
        <f>IFERROR(_xll.ciqfunctions.udf.CIQ(mh_ticker, "IQ_EBITDA_EST", IQ_NTM, B249, , , "USD"), "")</f>
        <v/>
      </c>
      <c r="O249" s="13">
        <f>IFERROR(M249/N249, "")</f>
        <v/>
      </c>
    </row>
    <row r="250">
      <c r="B250" s="8" t="n"/>
      <c r="C250" s="9">
        <f>IFERROR(_xll.ciqfunctions.udf.CIQ(mh_ticker, "IQ_LASTSALEPRICE", B250), "")</f>
        <v/>
      </c>
      <c r="D250" s="10">
        <f>IFERROR(_xll.ciqfunctions.udf.CIQ(mh_ticker, "IQ_SHARESOUTSTANDING_OUT", B250), "")</f>
        <v/>
      </c>
      <c r="E250" s="11">
        <f>IFERROR(_xll.ciqfunctions.udf.CIQ(mh_ticker, "IQ_CASH_EQUIV", , B250), "")</f>
        <v/>
      </c>
      <c r="F250" s="11">
        <f>IFERROR(_xll.ciqfunctions.udf.CIQ(mh_ticker, "IQ_ST_INVEST", , B250), "")</f>
        <v/>
      </c>
      <c r="G250" s="11">
        <f>IFERROR(_xll.ciqfunctions.udf.CIQ(mh_ticker, "IQ_TOTAL_DEBT_EXCL_OPER_LEASES", , B250), "")</f>
        <v/>
      </c>
      <c r="H250" s="11">
        <f>IFERROR(_xll.ciqfunctions.udf.CIQ(mh_ticker, "IQ_PREF_EQUITY", , B250), "")</f>
        <v/>
      </c>
      <c r="I250" s="11">
        <f>IFERROR(_xll.ciqfunctions.udf.CIQ(mh_ticker, "IQ_MINORITY_INTEREST", , B250), "")</f>
        <v/>
      </c>
      <c r="J250" s="11">
        <f>IFERROR(_xll.ciqfunctions.udf.CIQ(mh_ticker, "IQ_EQUITY_METHOD", , B250), "")</f>
        <v/>
      </c>
      <c r="K250" s="11">
        <f>IFERROR(_xll.ciqfunctions.udf.CIQ(mh_ticker, "IQ_LT_Mark_Securities", , B250), "")</f>
        <v/>
      </c>
      <c r="L250" s="12">
        <f>IFERROR(C250*D250, "")</f>
        <v/>
      </c>
      <c r="M250" s="12">
        <f>IFERROR(L250-E250-F250+G250+H250+I250-J250-K250, "")</f>
        <v/>
      </c>
      <c r="N250" s="11">
        <f>IFERROR(_xll.ciqfunctions.udf.CIQ(mh_ticker, "IQ_EBITDA_EST", IQ_NTM, B250, , , "USD"), "")</f>
        <v/>
      </c>
      <c r="O250" s="13">
        <f>IFERROR(M250/N250, "")</f>
        <v/>
      </c>
    </row>
    <row r="251">
      <c r="B251" s="8" t="n"/>
      <c r="C251" s="9">
        <f>IFERROR(_xll.ciqfunctions.udf.CIQ(mh_ticker, "IQ_LASTSALEPRICE", B251), "")</f>
        <v/>
      </c>
      <c r="D251" s="10">
        <f>IFERROR(_xll.ciqfunctions.udf.CIQ(mh_ticker, "IQ_SHARESOUTSTANDING_OUT", B251), "")</f>
        <v/>
      </c>
      <c r="E251" s="11">
        <f>IFERROR(_xll.ciqfunctions.udf.CIQ(mh_ticker, "IQ_CASH_EQUIV", , B251), "")</f>
        <v/>
      </c>
      <c r="F251" s="11">
        <f>IFERROR(_xll.ciqfunctions.udf.CIQ(mh_ticker, "IQ_ST_INVEST", , B251), "")</f>
        <v/>
      </c>
      <c r="G251" s="11">
        <f>IFERROR(_xll.ciqfunctions.udf.CIQ(mh_ticker, "IQ_TOTAL_DEBT_EXCL_OPER_LEASES", , B251), "")</f>
        <v/>
      </c>
      <c r="H251" s="11">
        <f>IFERROR(_xll.ciqfunctions.udf.CIQ(mh_ticker, "IQ_PREF_EQUITY", , B251), "")</f>
        <v/>
      </c>
      <c r="I251" s="11">
        <f>IFERROR(_xll.ciqfunctions.udf.CIQ(mh_ticker, "IQ_MINORITY_INTEREST", , B251), "")</f>
        <v/>
      </c>
      <c r="J251" s="11">
        <f>IFERROR(_xll.ciqfunctions.udf.CIQ(mh_ticker, "IQ_EQUITY_METHOD", , B251), "")</f>
        <v/>
      </c>
      <c r="K251" s="11">
        <f>IFERROR(_xll.ciqfunctions.udf.CIQ(mh_ticker, "IQ_LT_Mark_Securities", , B251), "")</f>
        <v/>
      </c>
      <c r="L251" s="12">
        <f>IFERROR(C251*D251, "")</f>
        <v/>
      </c>
      <c r="M251" s="12">
        <f>IFERROR(L251-E251-F251+G251+H251+I251-J251-K251, "")</f>
        <v/>
      </c>
      <c r="N251" s="11">
        <f>IFERROR(_xll.ciqfunctions.udf.CIQ(mh_ticker, "IQ_EBITDA_EST", IQ_NTM, B251, , , "USD"), "")</f>
        <v/>
      </c>
      <c r="O251" s="13">
        <f>IFERROR(M251/N251, "")</f>
        <v/>
      </c>
    </row>
    <row r="252">
      <c r="B252" s="8" t="n"/>
      <c r="C252" s="9">
        <f>IFERROR(_xll.ciqfunctions.udf.CIQ(mh_ticker, "IQ_LASTSALEPRICE", B252), "")</f>
        <v/>
      </c>
      <c r="D252" s="10">
        <f>IFERROR(_xll.ciqfunctions.udf.CIQ(mh_ticker, "IQ_SHARESOUTSTANDING_OUT", B252), "")</f>
        <v/>
      </c>
      <c r="E252" s="11">
        <f>IFERROR(_xll.ciqfunctions.udf.CIQ(mh_ticker, "IQ_CASH_EQUIV", , B252), "")</f>
        <v/>
      </c>
      <c r="F252" s="11">
        <f>IFERROR(_xll.ciqfunctions.udf.CIQ(mh_ticker, "IQ_ST_INVEST", , B252), "")</f>
        <v/>
      </c>
      <c r="G252" s="11">
        <f>IFERROR(_xll.ciqfunctions.udf.CIQ(mh_ticker, "IQ_TOTAL_DEBT_EXCL_OPER_LEASES", , B252), "")</f>
        <v/>
      </c>
      <c r="H252" s="11">
        <f>IFERROR(_xll.ciqfunctions.udf.CIQ(mh_ticker, "IQ_PREF_EQUITY", , B252), "")</f>
        <v/>
      </c>
      <c r="I252" s="11">
        <f>IFERROR(_xll.ciqfunctions.udf.CIQ(mh_ticker, "IQ_MINORITY_INTEREST", , B252), "")</f>
        <v/>
      </c>
      <c r="J252" s="11">
        <f>IFERROR(_xll.ciqfunctions.udf.CIQ(mh_ticker, "IQ_EQUITY_METHOD", , B252), "")</f>
        <v/>
      </c>
      <c r="K252" s="11">
        <f>IFERROR(_xll.ciqfunctions.udf.CIQ(mh_ticker, "IQ_LT_Mark_Securities", , B252), "")</f>
        <v/>
      </c>
      <c r="L252" s="12">
        <f>IFERROR(C252*D252, "")</f>
        <v/>
      </c>
      <c r="M252" s="12">
        <f>IFERROR(L252-E252-F252+G252+H252+I252-J252-K252, "")</f>
        <v/>
      </c>
      <c r="N252" s="11">
        <f>IFERROR(_xll.ciqfunctions.udf.CIQ(mh_ticker, "IQ_EBITDA_EST", IQ_NTM, B252, , , "USD"), "")</f>
        <v/>
      </c>
      <c r="O252" s="13">
        <f>IFERROR(M252/N252, "")</f>
        <v/>
      </c>
    </row>
    <row r="253">
      <c r="B253" s="8" t="n"/>
      <c r="C253" s="9">
        <f>IFERROR(_xll.ciqfunctions.udf.CIQ(mh_ticker, "IQ_LASTSALEPRICE", B253), "")</f>
        <v/>
      </c>
      <c r="D253" s="10">
        <f>IFERROR(_xll.ciqfunctions.udf.CIQ(mh_ticker, "IQ_SHARESOUTSTANDING_OUT", B253), "")</f>
        <v/>
      </c>
      <c r="E253" s="11">
        <f>IFERROR(_xll.ciqfunctions.udf.CIQ(mh_ticker, "IQ_CASH_EQUIV", , B253), "")</f>
        <v/>
      </c>
      <c r="F253" s="11">
        <f>IFERROR(_xll.ciqfunctions.udf.CIQ(mh_ticker, "IQ_ST_INVEST", , B253), "")</f>
        <v/>
      </c>
      <c r="G253" s="11">
        <f>IFERROR(_xll.ciqfunctions.udf.CIQ(mh_ticker, "IQ_TOTAL_DEBT_EXCL_OPER_LEASES", , B253), "")</f>
        <v/>
      </c>
      <c r="H253" s="11">
        <f>IFERROR(_xll.ciqfunctions.udf.CIQ(mh_ticker, "IQ_PREF_EQUITY", , B253), "")</f>
        <v/>
      </c>
      <c r="I253" s="11">
        <f>IFERROR(_xll.ciqfunctions.udf.CIQ(mh_ticker, "IQ_MINORITY_INTEREST", , B253), "")</f>
        <v/>
      </c>
      <c r="J253" s="11">
        <f>IFERROR(_xll.ciqfunctions.udf.CIQ(mh_ticker, "IQ_EQUITY_METHOD", , B253), "")</f>
        <v/>
      </c>
      <c r="K253" s="11">
        <f>IFERROR(_xll.ciqfunctions.udf.CIQ(mh_ticker, "IQ_LT_Mark_Securities", , B253), "")</f>
        <v/>
      </c>
      <c r="L253" s="12">
        <f>IFERROR(C253*D253, "")</f>
        <v/>
      </c>
      <c r="M253" s="12">
        <f>IFERROR(L253-E253-F253+G253+H253+I253-J253-K253, "")</f>
        <v/>
      </c>
      <c r="N253" s="11">
        <f>IFERROR(_xll.ciqfunctions.udf.CIQ(mh_ticker, "IQ_EBITDA_EST", IQ_NTM, B253, , , "USD"), "")</f>
        <v/>
      </c>
      <c r="O253" s="13">
        <f>IFERROR(M253/N253, "")</f>
        <v/>
      </c>
    </row>
    <row r="254">
      <c r="B254" s="8" t="n"/>
      <c r="C254" s="9">
        <f>IFERROR(_xll.ciqfunctions.udf.CIQ(mh_ticker, "IQ_LASTSALEPRICE", B254), "")</f>
        <v/>
      </c>
      <c r="D254" s="10">
        <f>IFERROR(_xll.ciqfunctions.udf.CIQ(mh_ticker, "IQ_SHARESOUTSTANDING_OUT", B254), "")</f>
        <v/>
      </c>
      <c r="E254" s="11">
        <f>IFERROR(_xll.ciqfunctions.udf.CIQ(mh_ticker, "IQ_CASH_EQUIV", , B254), "")</f>
        <v/>
      </c>
      <c r="F254" s="11">
        <f>IFERROR(_xll.ciqfunctions.udf.CIQ(mh_ticker, "IQ_ST_INVEST", , B254), "")</f>
        <v/>
      </c>
      <c r="G254" s="11">
        <f>IFERROR(_xll.ciqfunctions.udf.CIQ(mh_ticker, "IQ_TOTAL_DEBT_EXCL_OPER_LEASES", , B254), "")</f>
        <v/>
      </c>
      <c r="H254" s="11">
        <f>IFERROR(_xll.ciqfunctions.udf.CIQ(mh_ticker, "IQ_PREF_EQUITY", , B254), "")</f>
        <v/>
      </c>
      <c r="I254" s="11">
        <f>IFERROR(_xll.ciqfunctions.udf.CIQ(mh_ticker, "IQ_MINORITY_INTEREST", , B254), "")</f>
        <v/>
      </c>
      <c r="J254" s="11">
        <f>IFERROR(_xll.ciqfunctions.udf.CIQ(mh_ticker, "IQ_EQUITY_METHOD", , B254), "")</f>
        <v/>
      </c>
      <c r="K254" s="11">
        <f>IFERROR(_xll.ciqfunctions.udf.CIQ(mh_ticker, "IQ_LT_Mark_Securities", , B254), "")</f>
        <v/>
      </c>
      <c r="L254" s="12">
        <f>IFERROR(C254*D254, "")</f>
        <v/>
      </c>
      <c r="M254" s="12">
        <f>IFERROR(L254-E254-F254+G254+H254+I254-J254-K254, "")</f>
        <v/>
      </c>
      <c r="N254" s="11">
        <f>IFERROR(_xll.ciqfunctions.udf.CIQ(mh_ticker, "IQ_EBITDA_EST", IQ_NTM, B254, , , "USD"), "")</f>
        <v/>
      </c>
      <c r="O254" s="13">
        <f>IFERROR(M254/N254, "")</f>
        <v/>
      </c>
    </row>
    <row r="255">
      <c r="B255" s="8" t="n"/>
      <c r="C255" s="9">
        <f>IFERROR(_xll.ciqfunctions.udf.CIQ(mh_ticker, "IQ_LASTSALEPRICE", B255), "")</f>
        <v/>
      </c>
      <c r="D255" s="10">
        <f>IFERROR(_xll.ciqfunctions.udf.CIQ(mh_ticker, "IQ_SHARESOUTSTANDING_OUT", B255), "")</f>
        <v/>
      </c>
      <c r="E255" s="11">
        <f>IFERROR(_xll.ciqfunctions.udf.CIQ(mh_ticker, "IQ_CASH_EQUIV", , B255), "")</f>
        <v/>
      </c>
      <c r="F255" s="11">
        <f>IFERROR(_xll.ciqfunctions.udf.CIQ(mh_ticker, "IQ_ST_INVEST", , B255), "")</f>
        <v/>
      </c>
      <c r="G255" s="11">
        <f>IFERROR(_xll.ciqfunctions.udf.CIQ(mh_ticker, "IQ_TOTAL_DEBT_EXCL_OPER_LEASES", , B255), "")</f>
        <v/>
      </c>
      <c r="H255" s="11">
        <f>IFERROR(_xll.ciqfunctions.udf.CIQ(mh_ticker, "IQ_PREF_EQUITY", , B255), "")</f>
        <v/>
      </c>
      <c r="I255" s="11">
        <f>IFERROR(_xll.ciqfunctions.udf.CIQ(mh_ticker, "IQ_MINORITY_INTEREST", , B255), "")</f>
        <v/>
      </c>
      <c r="J255" s="11">
        <f>IFERROR(_xll.ciqfunctions.udf.CIQ(mh_ticker, "IQ_EQUITY_METHOD", , B255), "")</f>
        <v/>
      </c>
      <c r="K255" s="11">
        <f>IFERROR(_xll.ciqfunctions.udf.CIQ(mh_ticker, "IQ_LT_Mark_Securities", , B255), "")</f>
        <v/>
      </c>
      <c r="L255" s="12">
        <f>IFERROR(C255*D255, "")</f>
        <v/>
      </c>
      <c r="M255" s="12">
        <f>IFERROR(L255-E255-F255+G255+H255+I255-J255-K255, "")</f>
        <v/>
      </c>
      <c r="N255" s="11">
        <f>IFERROR(_xll.ciqfunctions.udf.CIQ(mh_ticker, "IQ_EBITDA_EST", IQ_NTM, B255, , , "USD"), "")</f>
        <v/>
      </c>
      <c r="O255" s="13">
        <f>IFERROR(M255/N255, "")</f>
        <v/>
      </c>
    </row>
    <row r="256">
      <c r="B256" s="8" t="n"/>
      <c r="C256" s="9">
        <f>IFERROR(_xll.ciqfunctions.udf.CIQ(mh_ticker, "IQ_LASTSALEPRICE", B256), "")</f>
        <v/>
      </c>
      <c r="D256" s="10">
        <f>IFERROR(_xll.ciqfunctions.udf.CIQ(mh_ticker, "IQ_SHARESOUTSTANDING_OUT", B256), "")</f>
        <v/>
      </c>
      <c r="E256" s="11">
        <f>IFERROR(_xll.ciqfunctions.udf.CIQ(mh_ticker, "IQ_CASH_EQUIV", , B256), "")</f>
        <v/>
      </c>
      <c r="F256" s="11">
        <f>IFERROR(_xll.ciqfunctions.udf.CIQ(mh_ticker, "IQ_ST_INVEST", , B256), "")</f>
        <v/>
      </c>
      <c r="G256" s="11">
        <f>IFERROR(_xll.ciqfunctions.udf.CIQ(mh_ticker, "IQ_TOTAL_DEBT_EXCL_OPER_LEASES", , B256), "")</f>
        <v/>
      </c>
      <c r="H256" s="11">
        <f>IFERROR(_xll.ciqfunctions.udf.CIQ(mh_ticker, "IQ_PREF_EQUITY", , B256), "")</f>
        <v/>
      </c>
      <c r="I256" s="11">
        <f>IFERROR(_xll.ciqfunctions.udf.CIQ(mh_ticker, "IQ_MINORITY_INTEREST", , B256), "")</f>
        <v/>
      </c>
      <c r="J256" s="11">
        <f>IFERROR(_xll.ciqfunctions.udf.CIQ(mh_ticker, "IQ_EQUITY_METHOD", , B256), "")</f>
        <v/>
      </c>
      <c r="K256" s="11">
        <f>IFERROR(_xll.ciqfunctions.udf.CIQ(mh_ticker, "IQ_LT_Mark_Securities", , B256), "")</f>
        <v/>
      </c>
      <c r="L256" s="12">
        <f>IFERROR(C256*D256, "")</f>
        <v/>
      </c>
      <c r="M256" s="12">
        <f>IFERROR(L256-E256-F256+G256+H256+I256-J256-K256, "")</f>
        <v/>
      </c>
      <c r="N256" s="11">
        <f>IFERROR(_xll.ciqfunctions.udf.CIQ(mh_ticker, "IQ_EBITDA_EST", IQ_NTM, B256, , , "USD"), "")</f>
        <v/>
      </c>
      <c r="O256" s="13">
        <f>IFERROR(M256/N256, "")</f>
        <v/>
      </c>
    </row>
    <row r="257">
      <c r="B257" s="8" t="n"/>
      <c r="C257" s="9">
        <f>IFERROR(_xll.ciqfunctions.udf.CIQ(mh_ticker, "IQ_LASTSALEPRICE", B257), "")</f>
        <v/>
      </c>
      <c r="D257" s="10">
        <f>IFERROR(_xll.ciqfunctions.udf.CIQ(mh_ticker, "IQ_SHARESOUTSTANDING_OUT", B257), "")</f>
        <v/>
      </c>
      <c r="E257" s="11">
        <f>IFERROR(_xll.ciqfunctions.udf.CIQ(mh_ticker, "IQ_CASH_EQUIV", , B257), "")</f>
        <v/>
      </c>
      <c r="F257" s="11">
        <f>IFERROR(_xll.ciqfunctions.udf.CIQ(mh_ticker, "IQ_ST_INVEST", , B257), "")</f>
        <v/>
      </c>
      <c r="G257" s="11">
        <f>IFERROR(_xll.ciqfunctions.udf.CIQ(mh_ticker, "IQ_TOTAL_DEBT_EXCL_OPER_LEASES", , B257), "")</f>
        <v/>
      </c>
      <c r="H257" s="11">
        <f>IFERROR(_xll.ciqfunctions.udf.CIQ(mh_ticker, "IQ_PREF_EQUITY", , B257), "")</f>
        <v/>
      </c>
      <c r="I257" s="11">
        <f>IFERROR(_xll.ciqfunctions.udf.CIQ(mh_ticker, "IQ_MINORITY_INTEREST", , B257), "")</f>
        <v/>
      </c>
      <c r="J257" s="11">
        <f>IFERROR(_xll.ciqfunctions.udf.CIQ(mh_ticker, "IQ_EQUITY_METHOD", , B257), "")</f>
        <v/>
      </c>
      <c r="K257" s="11">
        <f>IFERROR(_xll.ciqfunctions.udf.CIQ(mh_ticker, "IQ_LT_Mark_Securities", , B257), "")</f>
        <v/>
      </c>
      <c r="L257" s="12">
        <f>IFERROR(C257*D257, "")</f>
        <v/>
      </c>
      <c r="M257" s="12">
        <f>IFERROR(L257-E257-F257+G257+H257+I257-J257-K257, "")</f>
        <v/>
      </c>
      <c r="N257" s="11">
        <f>IFERROR(_xll.ciqfunctions.udf.CIQ(mh_ticker, "IQ_EBITDA_EST", IQ_NTM, B257, , , "USD"), "")</f>
        <v/>
      </c>
      <c r="O257" s="13">
        <f>IFERROR(M257/N257, "")</f>
        <v/>
      </c>
    </row>
    <row r="258">
      <c r="B258" s="8" t="n"/>
      <c r="C258" s="9">
        <f>IFERROR(_xll.ciqfunctions.udf.CIQ(mh_ticker, "IQ_LASTSALEPRICE", B258), "")</f>
        <v/>
      </c>
      <c r="D258" s="10">
        <f>IFERROR(_xll.ciqfunctions.udf.CIQ(mh_ticker, "IQ_SHARESOUTSTANDING_OUT", B258), "")</f>
        <v/>
      </c>
      <c r="E258" s="11">
        <f>IFERROR(_xll.ciqfunctions.udf.CIQ(mh_ticker, "IQ_CASH_EQUIV", , B258), "")</f>
        <v/>
      </c>
      <c r="F258" s="11">
        <f>IFERROR(_xll.ciqfunctions.udf.CIQ(mh_ticker, "IQ_ST_INVEST", , B258), "")</f>
        <v/>
      </c>
      <c r="G258" s="11">
        <f>IFERROR(_xll.ciqfunctions.udf.CIQ(mh_ticker, "IQ_TOTAL_DEBT_EXCL_OPER_LEASES", , B258), "")</f>
        <v/>
      </c>
      <c r="H258" s="11">
        <f>IFERROR(_xll.ciqfunctions.udf.CIQ(mh_ticker, "IQ_PREF_EQUITY", , B258), "")</f>
        <v/>
      </c>
      <c r="I258" s="11">
        <f>IFERROR(_xll.ciqfunctions.udf.CIQ(mh_ticker, "IQ_MINORITY_INTEREST", , B258), "")</f>
        <v/>
      </c>
      <c r="J258" s="11">
        <f>IFERROR(_xll.ciqfunctions.udf.CIQ(mh_ticker, "IQ_EQUITY_METHOD", , B258), "")</f>
        <v/>
      </c>
      <c r="K258" s="11">
        <f>IFERROR(_xll.ciqfunctions.udf.CIQ(mh_ticker, "IQ_LT_Mark_Securities", , B258), "")</f>
        <v/>
      </c>
      <c r="L258" s="12">
        <f>IFERROR(C258*D258, "")</f>
        <v/>
      </c>
      <c r="M258" s="12">
        <f>IFERROR(L258-E258-F258+G258+H258+I258-J258-K258, "")</f>
        <v/>
      </c>
      <c r="N258" s="11">
        <f>IFERROR(_xll.ciqfunctions.udf.CIQ(mh_ticker, "IQ_EBITDA_EST", IQ_NTM, B258, , , "USD"), "")</f>
        <v/>
      </c>
      <c r="O258" s="13">
        <f>IFERROR(M258/N258, "")</f>
        <v/>
      </c>
    </row>
    <row r="259">
      <c r="B259" s="8" t="n"/>
      <c r="C259" s="9">
        <f>IFERROR(_xll.ciqfunctions.udf.CIQ(mh_ticker, "IQ_LASTSALEPRICE", B259), "")</f>
        <v/>
      </c>
      <c r="D259" s="10">
        <f>IFERROR(_xll.ciqfunctions.udf.CIQ(mh_ticker, "IQ_SHARESOUTSTANDING_OUT", B259), "")</f>
        <v/>
      </c>
      <c r="E259" s="11">
        <f>IFERROR(_xll.ciqfunctions.udf.CIQ(mh_ticker, "IQ_CASH_EQUIV", , B259), "")</f>
        <v/>
      </c>
      <c r="F259" s="11">
        <f>IFERROR(_xll.ciqfunctions.udf.CIQ(mh_ticker, "IQ_ST_INVEST", , B259), "")</f>
        <v/>
      </c>
      <c r="G259" s="11">
        <f>IFERROR(_xll.ciqfunctions.udf.CIQ(mh_ticker, "IQ_TOTAL_DEBT_EXCL_OPER_LEASES", , B259), "")</f>
        <v/>
      </c>
      <c r="H259" s="11">
        <f>IFERROR(_xll.ciqfunctions.udf.CIQ(mh_ticker, "IQ_PREF_EQUITY", , B259), "")</f>
        <v/>
      </c>
      <c r="I259" s="11">
        <f>IFERROR(_xll.ciqfunctions.udf.CIQ(mh_ticker, "IQ_MINORITY_INTEREST", , B259), "")</f>
        <v/>
      </c>
      <c r="J259" s="11">
        <f>IFERROR(_xll.ciqfunctions.udf.CIQ(mh_ticker, "IQ_EQUITY_METHOD", , B259), "")</f>
        <v/>
      </c>
      <c r="K259" s="11">
        <f>IFERROR(_xll.ciqfunctions.udf.CIQ(mh_ticker, "IQ_LT_Mark_Securities", , B259), "")</f>
        <v/>
      </c>
      <c r="L259" s="12">
        <f>IFERROR(C259*D259, "")</f>
        <v/>
      </c>
      <c r="M259" s="12">
        <f>IFERROR(L259-E259-F259+G259+H259+I259-J259-K259, "")</f>
        <v/>
      </c>
      <c r="N259" s="11">
        <f>IFERROR(_xll.ciqfunctions.udf.CIQ(mh_ticker, "IQ_EBITDA_EST", IQ_NTM, B259, , , "USD"), "")</f>
        <v/>
      </c>
      <c r="O259" s="13">
        <f>IFERROR(M259/N259, "")</f>
        <v/>
      </c>
    </row>
    <row r="260">
      <c r="B260" s="8" t="n"/>
      <c r="C260" s="9">
        <f>IFERROR(_xll.ciqfunctions.udf.CIQ(mh_ticker, "IQ_LASTSALEPRICE", B260), "")</f>
        <v/>
      </c>
      <c r="D260" s="10">
        <f>IFERROR(_xll.ciqfunctions.udf.CIQ(mh_ticker, "IQ_SHARESOUTSTANDING_OUT", B260), "")</f>
        <v/>
      </c>
      <c r="E260" s="11">
        <f>IFERROR(_xll.ciqfunctions.udf.CIQ(mh_ticker, "IQ_CASH_EQUIV", , B260), "")</f>
        <v/>
      </c>
      <c r="F260" s="11">
        <f>IFERROR(_xll.ciqfunctions.udf.CIQ(mh_ticker, "IQ_ST_INVEST", , B260), "")</f>
        <v/>
      </c>
      <c r="G260" s="11">
        <f>IFERROR(_xll.ciqfunctions.udf.CIQ(mh_ticker, "IQ_TOTAL_DEBT_EXCL_OPER_LEASES", , B260), "")</f>
        <v/>
      </c>
      <c r="H260" s="11">
        <f>IFERROR(_xll.ciqfunctions.udf.CIQ(mh_ticker, "IQ_PREF_EQUITY", , B260), "")</f>
        <v/>
      </c>
      <c r="I260" s="11">
        <f>IFERROR(_xll.ciqfunctions.udf.CIQ(mh_ticker, "IQ_MINORITY_INTEREST", , B260), "")</f>
        <v/>
      </c>
      <c r="J260" s="11">
        <f>IFERROR(_xll.ciqfunctions.udf.CIQ(mh_ticker, "IQ_EQUITY_METHOD", , B260), "")</f>
        <v/>
      </c>
      <c r="K260" s="11">
        <f>IFERROR(_xll.ciqfunctions.udf.CIQ(mh_ticker, "IQ_LT_Mark_Securities", , B260), "")</f>
        <v/>
      </c>
      <c r="L260" s="12">
        <f>IFERROR(C260*D260, "")</f>
        <v/>
      </c>
      <c r="M260" s="12">
        <f>IFERROR(L260-E260-F260+G260+H260+I260-J260-K260, "")</f>
        <v/>
      </c>
      <c r="N260" s="11">
        <f>IFERROR(_xll.ciqfunctions.udf.CIQ(mh_ticker, "IQ_EBITDA_EST", IQ_NTM, B260, , , "USD"), "")</f>
        <v/>
      </c>
      <c r="O260" s="13">
        <f>IFERROR(M260/N260, "")</f>
        <v/>
      </c>
    </row>
    <row r="261">
      <c r="B261" s="8" t="n"/>
      <c r="C261" s="9">
        <f>IFERROR(_xll.ciqfunctions.udf.CIQ(mh_ticker, "IQ_LASTSALEPRICE", B261), "")</f>
        <v/>
      </c>
      <c r="D261" s="10">
        <f>IFERROR(_xll.ciqfunctions.udf.CIQ(mh_ticker, "IQ_SHARESOUTSTANDING_OUT", B261), "")</f>
        <v/>
      </c>
      <c r="E261" s="11">
        <f>IFERROR(_xll.ciqfunctions.udf.CIQ(mh_ticker, "IQ_CASH_EQUIV", , B261), "")</f>
        <v/>
      </c>
      <c r="F261" s="11">
        <f>IFERROR(_xll.ciqfunctions.udf.CIQ(mh_ticker, "IQ_ST_INVEST", , B261), "")</f>
        <v/>
      </c>
      <c r="G261" s="11">
        <f>IFERROR(_xll.ciqfunctions.udf.CIQ(mh_ticker, "IQ_TOTAL_DEBT_EXCL_OPER_LEASES", , B261), "")</f>
        <v/>
      </c>
      <c r="H261" s="11">
        <f>IFERROR(_xll.ciqfunctions.udf.CIQ(mh_ticker, "IQ_PREF_EQUITY", , B261), "")</f>
        <v/>
      </c>
      <c r="I261" s="11">
        <f>IFERROR(_xll.ciqfunctions.udf.CIQ(mh_ticker, "IQ_MINORITY_INTEREST", , B261), "")</f>
        <v/>
      </c>
      <c r="J261" s="11">
        <f>IFERROR(_xll.ciqfunctions.udf.CIQ(mh_ticker, "IQ_EQUITY_METHOD", , B261), "")</f>
        <v/>
      </c>
      <c r="K261" s="11">
        <f>IFERROR(_xll.ciqfunctions.udf.CIQ(mh_ticker, "IQ_LT_Mark_Securities", , B261), "")</f>
        <v/>
      </c>
      <c r="L261" s="12">
        <f>IFERROR(C261*D261, "")</f>
        <v/>
      </c>
      <c r="M261" s="12">
        <f>IFERROR(L261-E261-F261+G261+H261+I261-J261-K261, "")</f>
        <v/>
      </c>
      <c r="N261" s="11">
        <f>IFERROR(_xll.ciqfunctions.udf.CIQ(mh_ticker, "IQ_EBITDA_EST", IQ_NTM, B261, , , "USD"), "")</f>
        <v/>
      </c>
      <c r="O261" s="13">
        <f>IFERROR(M261/N261, "")</f>
        <v/>
      </c>
    </row>
    <row r="262">
      <c r="B262" s="8" t="n"/>
      <c r="C262" s="9">
        <f>IFERROR(_xll.ciqfunctions.udf.CIQ(mh_ticker, "IQ_LASTSALEPRICE", B262), "")</f>
        <v/>
      </c>
      <c r="D262" s="10">
        <f>IFERROR(_xll.ciqfunctions.udf.CIQ(mh_ticker, "IQ_SHARESOUTSTANDING_OUT", B262), "")</f>
        <v/>
      </c>
      <c r="E262" s="11">
        <f>IFERROR(_xll.ciqfunctions.udf.CIQ(mh_ticker, "IQ_CASH_EQUIV", , B262), "")</f>
        <v/>
      </c>
      <c r="F262" s="11">
        <f>IFERROR(_xll.ciqfunctions.udf.CIQ(mh_ticker, "IQ_ST_INVEST", , B262), "")</f>
        <v/>
      </c>
      <c r="G262" s="11">
        <f>IFERROR(_xll.ciqfunctions.udf.CIQ(mh_ticker, "IQ_TOTAL_DEBT_EXCL_OPER_LEASES", , B262), "")</f>
        <v/>
      </c>
      <c r="H262" s="11">
        <f>IFERROR(_xll.ciqfunctions.udf.CIQ(mh_ticker, "IQ_PREF_EQUITY", , B262), "")</f>
        <v/>
      </c>
      <c r="I262" s="11">
        <f>IFERROR(_xll.ciqfunctions.udf.CIQ(mh_ticker, "IQ_MINORITY_INTEREST", , B262), "")</f>
        <v/>
      </c>
      <c r="J262" s="11">
        <f>IFERROR(_xll.ciqfunctions.udf.CIQ(mh_ticker, "IQ_EQUITY_METHOD", , B262), "")</f>
        <v/>
      </c>
      <c r="K262" s="11">
        <f>IFERROR(_xll.ciqfunctions.udf.CIQ(mh_ticker, "IQ_LT_Mark_Securities", , B262), "")</f>
        <v/>
      </c>
      <c r="L262" s="12">
        <f>IFERROR(C262*D262, "")</f>
        <v/>
      </c>
      <c r="M262" s="12">
        <f>IFERROR(L262-E262-F262+G262+H262+I262-J262-K262, "")</f>
        <v/>
      </c>
      <c r="N262" s="11">
        <f>IFERROR(_xll.ciqfunctions.udf.CIQ(mh_ticker, "IQ_EBITDA_EST", IQ_NTM, B262, , , "USD"), "")</f>
        <v/>
      </c>
      <c r="O262" s="13">
        <f>IFERROR(M262/N262, "")</f>
        <v/>
      </c>
    </row>
    <row r="263">
      <c r="B263" s="8" t="n"/>
      <c r="C263" s="9">
        <f>IFERROR(_xll.ciqfunctions.udf.CIQ(mh_ticker, "IQ_LASTSALEPRICE", B263), "")</f>
        <v/>
      </c>
      <c r="D263" s="10">
        <f>IFERROR(_xll.ciqfunctions.udf.CIQ(mh_ticker, "IQ_SHARESOUTSTANDING_OUT", B263), "")</f>
        <v/>
      </c>
      <c r="E263" s="11">
        <f>IFERROR(_xll.ciqfunctions.udf.CIQ(mh_ticker, "IQ_CASH_EQUIV", , B263), "")</f>
        <v/>
      </c>
      <c r="F263" s="11">
        <f>IFERROR(_xll.ciqfunctions.udf.CIQ(mh_ticker, "IQ_ST_INVEST", , B263), "")</f>
        <v/>
      </c>
      <c r="G263" s="11">
        <f>IFERROR(_xll.ciqfunctions.udf.CIQ(mh_ticker, "IQ_TOTAL_DEBT_EXCL_OPER_LEASES", , B263), "")</f>
        <v/>
      </c>
      <c r="H263" s="11">
        <f>IFERROR(_xll.ciqfunctions.udf.CIQ(mh_ticker, "IQ_PREF_EQUITY", , B263), "")</f>
        <v/>
      </c>
      <c r="I263" s="11">
        <f>IFERROR(_xll.ciqfunctions.udf.CIQ(mh_ticker, "IQ_MINORITY_INTEREST", , B263), "")</f>
        <v/>
      </c>
      <c r="J263" s="11">
        <f>IFERROR(_xll.ciqfunctions.udf.CIQ(mh_ticker, "IQ_EQUITY_METHOD", , B263), "")</f>
        <v/>
      </c>
      <c r="K263" s="11">
        <f>IFERROR(_xll.ciqfunctions.udf.CIQ(mh_ticker, "IQ_LT_Mark_Securities", , B263), "")</f>
        <v/>
      </c>
      <c r="L263" s="12">
        <f>IFERROR(C263*D263, "")</f>
        <v/>
      </c>
      <c r="M263" s="12">
        <f>IFERROR(L263-E263-F263+G263+H263+I263-J263-K263, "")</f>
        <v/>
      </c>
      <c r="N263" s="11">
        <f>IFERROR(_xll.ciqfunctions.udf.CIQ(mh_ticker, "IQ_EBITDA_EST", IQ_NTM, B263, , , "USD"), "")</f>
        <v/>
      </c>
      <c r="O263" s="13">
        <f>IFERROR(M263/N263, "")</f>
        <v/>
      </c>
    </row>
    <row r="264">
      <c r="B264" s="8" t="n"/>
      <c r="C264" s="9">
        <f>IFERROR(_xll.ciqfunctions.udf.CIQ(mh_ticker, "IQ_LASTSALEPRICE", B264), "")</f>
        <v/>
      </c>
      <c r="D264" s="10">
        <f>IFERROR(_xll.ciqfunctions.udf.CIQ(mh_ticker, "IQ_SHARESOUTSTANDING_OUT", B264), "")</f>
        <v/>
      </c>
      <c r="E264" s="11">
        <f>IFERROR(_xll.ciqfunctions.udf.CIQ(mh_ticker, "IQ_CASH_EQUIV", , B264), "")</f>
        <v/>
      </c>
      <c r="F264" s="11">
        <f>IFERROR(_xll.ciqfunctions.udf.CIQ(mh_ticker, "IQ_ST_INVEST", , B264), "")</f>
        <v/>
      </c>
      <c r="G264" s="11">
        <f>IFERROR(_xll.ciqfunctions.udf.CIQ(mh_ticker, "IQ_TOTAL_DEBT_EXCL_OPER_LEASES", , B264), "")</f>
        <v/>
      </c>
      <c r="H264" s="11">
        <f>IFERROR(_xll.ciqfunctions.udf.CIQ(mh_ticker, "IQ_PREF_EQUITY", , B264), "")</f>
        <v/>
      </c>
      <c r="I264" s="11">
        <f>IFERROR(_xll.ciqfunctions.udf.CIQ(mh_ticker, "IQ_MINORITY_INTEREST", , B264), "")</f>
        <v/>
      </c>
      <c r="J264" s="11">
        <f>IFERROR(_xll.ciqfunctions.udf.CIQ(mh_ticker, "IQ_EQUITY_METHOD", , B264), "")</f>
        <v/>
      </c>
      <c r="K264" s="11">
        <f>IFERROR(_xll.ciqfunctions.udf.CIQ(mh_ticker, "IQ_LT_Mark_Securities", , B264), "")</f>
        <v/>
      </c>
      <c r="L264" s="12">
        <f>IFERROR(C264*D264, "")</f>
        <v/>
      </c>
      <c r="M264" s="12">
        <f>IFERROR(L264-E264-F264+G264+H264+I264-J264-K264, "")</f>
        <v/>
      </c>
      <c r="N264" s="11">
        <f>IFERROR(_xll.ciqfunctions.udf.CIQ(mh_ticker, "IQ_EBITDA_EST", IQ_NTM, B264, , , "USD"), "")</f>
        <v/>
      </c>
      <c r="O264" s="13">
        <f>IFERROR(M264/N264, "")</f>
        <v/>
      </c>
    </row>
    <row r="265">
      <c r="B265" s="8" t="n"/>
      <c r="C265" s="9">
        <f>IFERROR(_xll.ciqfunctions.udf.CIQ(mh_ticker, "IQ_LASTSALEPRICE", B265), "")</f>
        <v/>
      </c>
      <c r="D265" s="10">
        <f>IFERROR(_xll.ciqfunctions.udf.CIQ(mh_ticker, "IQ_SHARESOUTSTANDING_OUT", B265), "")</f>
        <v/>
      </c>
      <c r="E265" s="11">
        <f>IFERROR(_xll.ciqfunctions.udf.CIQ(mh_ticker, "IQ_CASH_EQUIV", , B265), "")</f>
        <v/>
      </c>
      <c r="F265" s="11">
        <f>IFERROR(_xll.ciqfunctions.udf.CIQ(mh_ticker, "IQ_ST_INVEST", , B265), "")</f>
        <v/>
      </c>
      <c r="G265" s="11">
        <f>IFERROR(_xll.ciqfunctions.udf.CIQ(mh_ticker, "IQ_TOTAL_DEBT_EXCL_OPER_LEASES", , B265), "")</f>
        <v/>
      </c>
      <c r="H265" s="11">
        <f>IFERROR(_xll.ciqfunctions.udf.CIQ(mh_ticker, "IQ_PREF_EQUITY", , B265), "")</f>
        <v/>
      </c>
      <c r="I265" s="11">
        <f>IFERROR(_xll.ciqfunctions.udf.CIQ(mh_ticker, "IQ_MINORITY_INTEREST", , B265), "")</f>
        <v/>
      </c>
      <c r="J265" s="11">
        <f>IFERROR(_xll.ciqfunctions.udf.CIQ(mh_ticker, "IQ_EQUITY_METHOD", , B265), "")</f>
        <v/>
      </c>
      <c r="K265" s="11">
        <f>IFERROR(_xll.ciqfunctions.udf.CIQ(mh_ticker, "IQ_LT_Mark_Securities", , B265), "")</f>
        <v/>
      </c>
      <c r="L265" s="12">
        <f>IFERROR(C265*D265, "")</f>
        <v/>
      </c>
      <c r="M265" s="12">
        <f>IFERROR(L265-E265-F265+G265+H265+I265-J265-K265, "")</f>
        <v/>
      </c>
      <c r="N265" s="11">
        <f>IFERROR(_xll.ciqfunctions.udf.CIQ(mh_ticker, "IQ_EBITDA_EST", IQ_NTM, B265, , , "USD"), "")</f>
        <v/>
      </c>
      <c r="O265" s="13">
        <f>IFERROR(M265/N265, "")</f>
        <v/>
      </c>
    </row>
    <row r="266">
      <c r="B266" s="8" t="n"/>
      <c r="C266" s="9">
        <f>IFERROR(_xll.ciqfunctions.udf.CIQ(mh_ticker, "IQ_LASTSALEPRICE", B266), "")</f>
        <v/>
      </c>
      <c r="D266" s="10">
        <f>IFERROR(_xll.ciqfunctions.udf.CIQ(mh_ticker, "IQ_SHARESOUTSTANDING_OUT", B266), "")</f>
        <v/>
      </c>
      <c r="E266" s="11">
        <f>IFERROR(_xll.ciqfunctions.udf.CIQ(mh_ticker, "IQ_CASH_EQUIV", , B266), "")</f>
        <v/>
      </c>
      <c r="F266" s="11">
        <f>IFERROR(_xll.ciqfunctions.udf.CIQ(mh_ticker, "IQ_ST_INVEST", , B266), "")</f>
        <v/>
      </c>
      <c r="G266" s="11">
        <f>IFERROR(_xll.ciqfunctions.udf.CIQ(mh_ticker, "IQ_TOTAL_DEBT_EXCL_OPER_LEASES", , B266), "")</f>
        <v/>
      </c>
      <c r="H266" s="11">
        <f>IFERROR(_xll.ciqfunctions.udf.CIQ(mh_ticker, "IQ_PREF_EQUITY", , B266), "")</f>
        <v/>
      </c>
      <c r="I266" s="11">
        <f>IFERROR(_xll.ciqfunctions.udf.CIQ(mh_ticker, "IQ_MINORITY_INTEREST", , B266), "")</f>
        <v/>
      </c>
      <c r="J266" s="11">
        <f>IFERROR(_xll.ciqfunctions.udf.CIQ(mh_ticker, "IQ_EQUITY_METHOD", , B266), "")</f>
        <v/>
      </c>
      <c r="K266" s="11">
        <f>IFERROR(_xll.ciqfunctions.udf.CIQ(mh_ticker, "IQ_LT_Mark_Securities", , B266), "")</f>
        <v/>
      </c>
      <c r="L266" s="12">
        <f>IFERROR(C266*D266, "")</f>
        <v/>
      </c>
      <c r="M266" s="12">
        <f>IFERROR(L266-E266-F266+G266+H266+I266-J266-K266, "")</f>
        <v/>
      </c>
      <c r="N266" s="11">
        <f>IFERROR(_xll.ciqfunctions.udf.CIQ(mh_ticker, "IQ_EBITDA_EST", IQ_NTM, B266, , , "USD"), "")</f>
        <v/>
      </c>
      <c r="O266" s="13">
        <f>IFERROR(M266/N266, "")</f>
        <v/>
      </c>
    </row>
    <row r="267">
      <c r="B267" s="8" t="n"/>
      <c r="C267" s="9">
        <f>IFERROR(_xll.ciqfunctions.udf.CIQ(mh_ticker, "IQ_LASTSALEPRICE", B267), "")</f>
        <v/>
      </c>
      <c r="D267" s="10">
        <f>IFERROR(_xll.ciqfunctions.udf.CIQ(mh_ticker, "IQ_SHARESOUTSTANDING_OUT", B267), "")</f>
        <v/>
      </c>
      <c r="E267" s="11">
        <f>IFERROR(_xll.ciqfunctions.udf.CIQ(mh_ticker, "IQ_CASH_EQUIV", , B267), "")</f>
        <v/>
      </c>
      <c r="F267" s="11">
        <f>IFERROR(_xll.ciqfunctions.udf.CIQ(mh_ticker, "IQ_ST_INVEST", , B267), "")</f>
        <v/>
      </c>
      <c r="G267" s="11">
        <f>IFERROR(_xll.ciqfunctions.udf.CIQ(mh_ticker, "IQ_TOTAL_DEBT_EXCL_OPER_LEASES", , B267), "")</f>
        <v/>
      </c>
      <c r="H267" s="11">
        <f>IFERROR(_xll.ciqfunctions.udf.CIQ(mh_ticker, "IQ_PREF_EQUITY", , B267), "")</f>
        <v/>
      </c>
      <c r="I267" s="11">
        <f>IFERROR(_xll.ciqfunctions.udf.CIQ(mh_ticker, "IQ_MINORITY_INTEREST", , B267), "")</f>
        <v/>
      </c>
      <c r="J267" s="11">
        <f>IFERROR(_xll.ciqfunctions.udf.CIQ(mh_ticker, "IQ_EQUITY_METHOD", , B267), "")</f>
        <v/>
      </c>
      <c r="K267" s="11">
        <f>IFERROR(_xll.ciqfunctions.udf.CIQ(mh_ticker, "IQ_LT_Mark_Securities", , B267), "")</f>
        <v/>
      </c>
      <c r="L267" s="12">
        <f>IFERROR(C267*D267, "")</f>
        <v/>
      </c>
      <c r="M267" s="12">
        <f>IFERROR(L267-E267-F267+G267+H267+I267-J267-K267, "")</f>
        <v/>
      </c>
      <c r="N267" s="11">
        <f>IFERROR(_xll.ciqfunctions.udf.CIQ(mh_ticker, "IQ_EBITDA_EST", IQ_NTM, B267, , , "USD"), "")</f>
        <v/>
      </c>
      <c r="O267" s="13">
        <f>IFERROR(M267/N267, "")</f>
        <v/>
      </c>
    </row>
    <row r="268">
      <c r="B268" s="8" t="n"/>
      <c r="C268" s="9">
        <f>IFERROR(_xll.ciqfunctions.udf.CIQ(mh_ticker, "IQ_LASTSALEPRICE", B268), "")</f>
        <v/>
      </c>
      <c r="D268" s="10">
        <f>IFERROR(_xll.ciqfunctions.udf.CIQ(mh_ticker, "IQ_SHARESOUTSTANDING_OUT", B268), "")</f>
        <v/>
      </c>
      <c r="E268" s="11">
        <f>IFERROR(_xll.ciqfunctions.udf.CIQ(mh_ticker, "IQ_CASH_EQUIV", , B268), "")</f>
        <v/>
      </c>
      <c r="F268" s="11">
        <f>IFERROR(_xll.ciqfunctions.udf.CIQ(mh_ticker, "IQ_ST_INVEST", , B268), "")</f>
        <v/>
      </c>
      <c r="G268" s="11">
        <f>IFERROR(_xll.ciqfunctions.udf.CIQ(mh_ticker, "IQ_TOTAL_DEBT_EXCL_OPER_LEASES", , B268), "")</f>
        <v/>
      </c>
      <c r="H268" s="11">
        <f>IFERROR(_xll.ciqfunctions.udf.CIQ(mh_ticker, "IQ_PREF_EQUITY", , B268), "")</f>
        <v/>
      </c>
      <c r="I268" s="11">
        <f>IFERROR(_xll.ciqfunctions.udf.CIQ(mh_ticker, "IQ_MINORITY_INTEREST", , B268), "")</f>
        <v/>
      </c>
      <c r="J268" s="11">
        <f>IFERROR(_xll.ciqfunctions.udf.CIQ(mh_ticker, "IQ_EQUITY_METHOD", , B268), "")</f>
        <v/>
      </c>
      <c r="K268" s="11">
        <f>IFERROR(_xll.ciqfunctions.udf.CIQ(mh_ticker, "IQ_LT_Mark_Securities", , B268), "")</f>
        <v/>
      </c>
      <c r="L268" s="12">
        <f>IFERROR(C268*D268, "")</f>
        <v/>
      </c>
      <c r="M268" s="12">
        <f>IFERROR(L268-E268-F268+G268+H268+I268-J268-K268, "")</f>
        <v/>
      </c>
      <c r="N268" s="11">
        <f>IFERROR(_xll.ciqfunctions.udf.CIQ(mh_ticker, "IQ_EBITDA_EST", IQ_NTM, B268, , , "USD"), "")</f>
        <v/>
      </c>
      <c r="O268" s="13">
        <f>IFERROR(M268/N268, "")</f>
        <v/>
      </c>
    </row>
    <row r="269">
      <c r="B269" s="8" t="n"/>
      <c r="C269" s="9">
        <f>IFERROR(_xll.ciqfunctions.udf.CIQ(mh_ticker, "IQ_LASTSALEPRICE", B269), "")</f>
        <v/>
      </c>
      <c r="D269" s="10">
        <f>IFERROR(_xll.ciqfunctions.udf.CIQ(mh_ticker, "IQ_SHARESOUTSTANDING_OUT", B269), "")</f>
        <v/>
      </c>
      <c r="E269" s="11">
        <f>IFERROR(_xll.ciqfunctions.udf.CIQ(mh_ticker, "IQ_CASH_EQUIV", , B269), "")</f>
        <v/>
      </c>
      <c r="F269" s="11">
        <f>IFERROR(_xll.ciqfunctions.udf.CIQ(mh_ticker, "IQ_ST_INVEST", , B269), "")</f>
        <v/>
      </c>
      <c r="G269" s="11">
        <f>IFERROR(_xll.ciqfunctions.udf.CIQ(mh_ticker, "IQ_TOTAL_DEBT_EXCL_OPER_LEASES", , B269), "")</f>
        <v/>
      </c>
      <c r="H269" s="11">
        <f>IFERROR(_xll.ciqfunctions.udf.CIQ(mh_ticker, "IQ_PREF_EQUITY", , B269), "")</f>
        <v/>
      </c>
      <c r="I269" s="11">
        <f>IFERROR(_xll.ciqfunctions.udf.CIQ(mh_ticker, "IQ_MINORITY_INTEREST", , B269), "")</f>
        <v/>
      </c>
      <c r="J269" s="11">
        <f>IFERROR(_xll.ciqfunctions.udf.CIQ(mh_ticker, "IQ_EQUITY_METHOD", , B269), "")</f>
        <v/>
      </c>
      <c r="K269" s="11">
        <f>IFERROR(_xll.ciqfunctions.udf.CIQ(mh_ticker, "IQ_LT_Mark_Securities", , B269), "")</f>
        <v/>
      </c>
      <c r="L269" s="12">
        <f>IFERROR(C269*D269, "")</f>
        <v/>
      </c>
      <c r="M269" s="12">
        <f>IFERROR(L269-E269-F269+G269+H269+I269-J269-K269, "")</f>
        <v/>
      </c>
      <c r="N269" s="11">
        <f>IFERROR(_xll.ciqfunctions.udf.CIQ(mh_ticker, "IQ_EBITDA_EST", IQ_NTM, B269, , , "USD"), "")</f>
        <v/>
      </c>
      <c r="O269" s="13">
        <f>IFERROR(M269/N269, "")</f>
        <v/>
      </c>
    </row>
    <row r="270">
      <c r="B270" s="8" t="n"/>
      <c r="C270" s="9">
        <f>IFERROR(_xll.ciqfunctions.udf.CIQ(mh_ticker, "IQ_LASTSALEPRICE", B270), "")</f>
        <v/>
      </c>
      <c r="D270" s="10">
        <f>IFERROR(_xll.ciqfunctions.udf.CIQ(mh_ticker, "IQ_SHARESOUTSTANDING_OUT", B270), "")</f>
        <v/>
      </c>
      <c r="E270" s="11">
        <f>IFERROR(_xll.ciqfunctions.udf.CIQ(mh_ticker, "IQ_CASH_EQUIV", , B270), "")</f>
        <v/>
      </c>
      <c r="F270" s="11">
        <f>IFERROR(_xll.ciqfunctions.udf.CIQ(mh_ticker, "IQ_ST_INVEST", , B270), "")</f>
        <v/>
      </c>
      <c r="G270" s="11">
        <f>IFERROR(_xll.ciqfunctions.udf.CIQ(mh_ticker, "IQ_TOTAL_DEBT_EXCL_OPER_LEASES", , B270), "")</f>
        <v/>
      </c>
      <c r="H270" s="11">
        <f>IFERROR(_xll.ciqfunctions.udf.CIQ(mh_ticker, "IQ_PREF_EQUITY", , B270), "")</f>
        <v/>
      </c>
      <c r="I270" s="11">
        <f>IFERROR(_xll.ciqfunctions.udf.CIQ(mh_ticker, "IQ_MINORITY_INTEREST", , B270), "")</f>
        <v/>
      </c>
      <c r="J270" s="11">
        <f>IFERROR(_xll.ciqfunctions.udf.CIQ(mh_ticker, "IQ_EQUITY_METHOD", , B270), "")</f>
        <v/>
      </c>
      <c r="K270" s="11">
        <f>IFERROR(_xll.ciqfunctions.udf.CIQ(mh_ticker, "IQ_LT_Mark_Securities", , B270), "")</f>
        <v/>
      </c>
      <c r="L270" s="12">
        <f>IFERROR(C270*D270, "")</f>
        <v/>
      </c>
      <c r="M270" s="12">
        <f>IFERROR(L270-E270-F270+G270+H270+I270-J270-K270, "")</f>
        <v/>
      </c>
      <c r="N270" s="11">
        <f>IFERROR(_xll.ciqfunctions.udf.CIQ(mh_ticker, "IQ_EBITDA_EST", IQ_NTM, B270, , , "USD"), "")</f>
        <v/>
      </c>
      <c r="O270" s="13">
        <f>IFERROR(M270/N270, "")</f>
        <v/>
      </c>
    </row>
    <row r="271">
      <c r="B271" s="8" t="n"/>
      <c r="C271" s="9">
        <f>IFERROR(_xll.ciqfunctions.udf.CIQ(mh_ticker, "IQ_LASTSALEPRICE", B271), "")</f>
        <v/>
      </c>
      <c r="D271" s="10">
        <f>IFERROR(_xll.ciqfunctions.udf.CIQ(mh_ticker, "IQ_SHARESOUTSTANDING_OUT", B271), "")</f>
        <v/>
      </c>
      <c r="E271" s="11">
        <f>IFERROR(_xll.ciqfunctions.udf.CIQ(mh_ticker, "IQ_CASH_EQUIV", , B271), "")</f>
        <v/>
      </c>
      <c r="F271" s="11">
        <f>IFERROR(_xll.ciqfunctions.udf.CIQ(mh_ticker, "IQ_ST_INVEST", , B271), "")</f>
        <v/>
      </c>
      <c r="G271" s="11">
        <f>IFERROR(_xll.ciqfunctions.udf.CIQ(mh_ticker, "IQ_TOTAL_DEBT_EXCL_OPER_LEASES", , B271), "")</f>
        <v/>
      </c>
      <c r="H271" s="11">
        <f>IFERROR(_xll.ciqfunctions.udf.CIQ(mh_ticker, "IQ_PREF_EQUITY", , B271), "")</f>
        <v/>
      </c>
      <c r="I271" s="11">
        <f>IFERROR(_xll.ciqfunctions.udf.CIQ(mh_ticker, "IQ_MINORITY_INTEREST", , B271), "")</f>
        <v/>
      </c>
      <c r="J271" s="11">
        <f>IFERROR(_xll.ciqfunctions.udf.CIQ(mh_ticker, "IQ_EQUITY_METHOD", , B271), "")</f>
        <v/>
      </c>
      <c r="K271" s="11">
        <f>IFERROR(_xll.ciqfunctions.udf.CIQ(mh_ticker, "IQ_LT_Mark_Securities", , B271), "")</f>
        <v/>
      </c>
      <c r="L271" s="12">
        <f>IFERROR(C271*D271, "")</f>
        <v/>
      </c>
      <c r="M271" s="12">
        <f>IFERROR(L271-E271-F271+G271+H271+I271-J271-K271, "")</f>
        <v/>
      </c>
      <c r="N271" s="11">
        <f>IFERROR(_xll.ciqfunctions.udf.CIQ(mh_ticker, "IQ_EBITDA_EST", IQ_NTM, B271, , , "USD"), "")</f>
        <v/>
      </c>
      <c r="O271" s="13">
        <f>IFERROR(M271/N271, "")</f>
        <v/>
      </c>
    </row>
    <row r="272">
      <c r="B272" s="8" t="n"/>
      <c r="C272" s="9">
        <f>IFERROR(_xll.ciqfunctions.udf.CIQ(mh_ticker, "IQ_LASTSALEPRICE", B272), "")</f>
        <v/>
      </c>
      <c r="D272" s="10">
        <f>IFERROR(_xll.ciqfunctions.udf.CIQ(mh_ticker, "IQ_SHARESOUTSTANDING_OUT", B272), "")</f>
        <v/>
      </c>
      <c r="E272" s="11">
        <f>IFERROR(_xll.ciqfunctions.udf.CIQ(mh_ticker, "IQ_CASH_EQUIV", , B272), "")</f>
        <v/>
      </c>
      <c r="F272" s="11">
        <f>IFERROR(_xll.ciqfunctions.udf.CIQ(mh_ticker, "IQ_ST_INVEST", , B272), "")</f>
        <v/>
      </c>
      <c r="G272" s="11">
        <f>IFERROR(_xll.ciqfunctions.udf.CIQ(mh_ticker, "IQ_TOTAL_DEBT_EXCL_OPER_LEASES", , B272), "")</f>
        <v/>
      </c>
      <c r="H272" s="11">
        <f>IFERROR(_xll.ciqfunctions.udf.CIQ(mh_ticker, "IQ_PREF_EQUITY", , B272), "")</f>
        <v/>
      </c>
      <c r="I272" s="11">
        <f>IFERROR(_xll.ciqfunctions.udf.CIQ(mh_ticker, "IQ_MINORITY_INTEREST", , B272), "")</f>
        <v/>
      </c>
      <c r="J272" s="11">
        <f>IFERROR(_xll.ciqfunctions.udf.CIQ(mh_ticker, "IQ_EQUITY_METHOD", , B272), "")</f>
        <v/>
      </c>
      <c r="K272" s="11">
        <f>IFERROR(_xll.ciqfunctions.udf.CIQ(mh_ticker, "IQ_LT_Mark_Securities", , B272), "")</f>
        <v/>
      </c>
      <c r="L272" s="12">
        <f>IFERROR(C272*D272, "")</f>
        <v/>
      </c>
      <c r="M272" s="12">
        <f>IFERROR(L272-E272-F272+G272+H272+I272-J272-K272, "")</f>
        <v/>
      </c>
      <c r="N272" s="11">
        <f>IFERROR(_xll.ciqfunctions.udf.CIQ(mh_ticker, "IQ_EBITDA_EST", IQ_NTM, B272, , , "USD"), "")</f>
        <v/>
      </c>
      <c r="O272" s="13">
        <f>IFERROR(M272/N272, "")</f>
        <v/>
      </c>
    </row>
    <row r="273">
      <c r="B273" s="8" t="n"/>
      <c r="C273" s="9">
        <f>IFERROR(_xll.ciqfunctions.udf.CIQ(mh_ticker, "IQ_LASTSALEPRICE", B273), "")</f>
        <v/>
      </c>
      <c r="D273" s="10">
        <f>IFERROR(_xll.ciqfunctions.udf.CIQ(mh_ticker, "IQ_SHARESOUTSTANDING_OUT", B273), "")</f>
        <v/>
      </c>
      <c r="E273" s="11">
        <f>IFERROR(_xll.ciqfunctions.udf.CIQ(mh_ticker, "IQ_CASH_EQUIV", , B273), "")</f>
        <v/>
      </c>
      <c r="F273" s="11">
        <f>IFERROR(_xll.ciqfunctions.udf.CIQ(mh_ticker, "IQ_ST_INVEST", , B273), "")</f>
        <v/>
      </c>
      <c r="G273" s="11">
        <f>IFERROR(_xll.ciqfunctions.udf.CIQ(mh_ticker, "IQ_TOTAL_DEBT_EXCL_OPER_LEASES", , B273), "")</f>
        <v/>
      </c>
      <c r="H273" s="11">
        <f>IFERROR(_xll.ciqfunctions.udf.CIQ(mh_ticker, "IQ_PREF_EQUITY", , B273), "")</f>
        <v/>
      </c>
      <c r="I273" s="11">
        <f>IFERROR(_xll.ciqfunctions.udf.CIQ(mh_ticker, "IQ_MINORITY_INTEREST", , B273), "")</f>
        <v/>
      </c>
      <c r="J273" s="11">
        <f>IFERROR(_xll.ciqfunctions.udf.CIQ(mh_ticker, "IQ_EQUITY_METHOD", , B273), "")</f>
        <v/>
      </c>
      <c r="K273" s="11">
        <f>IFERROR(_xll.ciqfunctions.udf.CIQ(mh_ticker, "IQ_LT_Mark_Securities", , B273), "")</f>
        <v/>
      </c>
      <c r="L273" s="12">
        <f>IFERROR(C273*D273, "")</f>
        <v/>
      </c>
      <c r="M273" s="12">
        <f>IFERROR(L273-E273-F273+G273+H273+I273-J273-K273, "")</f>
        <v/>
      </c>
      <c r="N273" s="11">
        <f>IFERROR(_xll.ciqfunctions.udf.CIQ(mh_ticker, "IQ_EBITDA_EST", IQ_NTM, B273, , , "USD"), "")</f>
        <v/>
      </c>
      <c r="O273" s="13">
        <f>IFERROR(M273/N273, "")</f>
        <v/>
      </c>
    </row>
    <row r="274">
      <c r="B274" s="8" t="n"/>
      <c r="C274" s="9">
        <f>IFERROR(_xll.ciqfunctions.udf.CIQ(mh_ticker, "IQ_LASTSALEPRICE", B274), "")</f>
        <v/>
      </c>
      <c r="D274" s="10">
        <f>IFERROR(_xll.ciqfunctions.udf.CIQ(mh_ticker, "IQ_SHARESOUTSTANDING_OUT", B274), "")</f>
        <v/>
      </c>
      <c r="E274" s="11">
        <f>IFERROR(_xll.ciqfunctions.udf.CIQ(mh_ticker, "IQ_CASH_EQUIV", , B274), "")</f>
        <v/>
      </c>
      <c r="F274" s="11">
        <f>IFERROR(_xll.ciqfunctions.udf.CIQ(mh_ticker, "IQ_ST_INVEST", , B274), "")</f>
        <v/>
      </c>
      <c r="G274" s="11">
        <f>IFERROR(_xll.ciqfunctions.udf.CIQ(mh_ticker, "IQ_TOTAL_DEBT_EXCL_OPER_LEASES", , B274), "")</f>
        <v/>
      </c>
      <c r="H274" s="11">
        <f>IFERROR(_xll.ciqfunctions.udf.CIQ(mh_ticker, "IQ_PREF_EQUITY", , B274), "")</f>
        <v/>
      </c>
      <c r="I274" s="11">
        <f>IFERROR(_xll.ciqfunctions.udf.CIQ(mh_ticker, "IQ_MINORITY_INTEREST", , B274), "")</f>
        <v/>
      </c>
      <c r="J274" s="11">
        <f>IFERROR(_xll.ciqfunctions.udf.CIQ(mh_ticker, "IQ_EQUITY_METHOD", , B274), "")</f>
        <v/>
      </c>
      <c r="K274" s="11">
        <f>IFERROR(_xll.ciqfunctions.udf.CIQ(mh_ticker, "IQ_LT_Mark_Securities", , B274), "")</f>
        <v/>
      </c>
      <c r="L274" s="12">
        <f>IFERROR(C274*D274, "")</f>
        <v/>
      </c>
      <c r="M274" s="12">
        <f>IFERROR(L274-E274-F274+G274+H274+I274-J274-K274, "")</f>
        <v/>
      </c>
      <c r="N274" s="11">
        <f>IFERROR(_xll.ciqfunctions.udf.CIQ(mh_ticker, "IQ_EBITDA_EST", IQ_NTM, B274, , , "USD"), "")</f>
        <v/>
      </c>
      <c r="O274" s="13">
        <f>IFERROR(M274/N274, "")</f>
        <v/>
      </c>
    </row>
    <row r="275">
      <c r="B275" s="8" t="n"/>
      <c r="C275" s="9">
        <f>IFERROR(_xll.ciqfunctions.udf.CIQ(mh_ticker, "IQ_LASTSALEPRICE", B275), "")</f>
        <v/>
      </c>
      <c r="D275" s="10">
        <f>IFERROR(_xll.ciqfunctions.udf.CIQ(mh_ticker, "IQ_SHARESOUTSTANDING_OUT", B275), "")</f>
        <v/>
      </c>
      <c r="E275" s="11">
        <f>IFERROR(_xll.ciqfunctions.udf.CIQ(mh_ticker, "IQ_CASH_EQUIV", , B275), "")</f>
        <v/>
      </c>
      <c r="F275" s="11">
        <f>IFERROR(_xll.ciqfunctions.udf.CIQ(mh_ticker, "IQ_ST_INVEST", , B275), "")</f>
        <v/>
      </c>
      <c r="G275" s="11">
        <f>IFERROR(_xll.ciqfunctions.udf.CIQ(mh_ticker, "IQ_TOTAL_DEBT_EXCL_OPER_LEASES", , B275), "")</f>
        <v/>
      </c>
      <c r="H275" s="11">
        <f>IFERROR(_xll.ciqfunctions.udf.CIQ(mh_ticker, "IQ_PREF_EQUITY", , B275), "")</f>
        <v/>
      </c>
      <c r="I275" s="11">
        <f>IFERROR(_xll.ciqfunctions.udf.CIQ(mh_ticker, "IQ_MINORITY_INTEREST", , B275), "")</f>
        <v/>
      </c>
      <c r="J275" s="11">
        <f>IFERROR(_xll.ciqfunctions.udf.CIQ(mh_ticker, "IQ_EQUITY_METHOD", , B275), "")</f>
        <v/>
      </c>
      <c r="K275" s="11">
        <f>IFERROR(_xll.ciqfunctions.udf.CIQ(mh_ticker, "IQ_LT_Mark_Securities", , B275), "")</f>
        <v/>
      </c>
      <c r="L275" s="12">
        <f>IFERROR(C275*D275, "")</f>
        <v/>
      </c>
      <c r="M275" s="12">
        <f>IFERROR(L275-E275-F275+G275+H275+I275-J275-K275, "")</f>
        <v/>
      </c>
      <c r="N275" s="11">
        <f>IFERROR(_xll.ciqfunctions.udf.CIQ(mh_ticker, "IQ_EBITDA_EST", IQ_NTM, B275, , , "USD"), "")</f>
        <v/>
      </c>
      <c r="O275" s="13">
        <f>IFERROR(M275/N275, "")</f>
        <v/>
      </c>
    </row>
    <row r="276">
      <c r="B276" s="8" t="n"/>
      <c r="C276" s="9">
        <f>IFERROR(_xll.ciqfunctions.udf.CIQ(mh_ticker, "IQ_LASTSALEPRICE", B276), "")</f>
        <v/>
      </c>
      <c r="D276" s="10">
        <f>IFERROR(_xll.ciqfunctions.udf.CIQ(mh_ticker, "IQ_SHARESOUTSTANDING_OUT", B276), "")</f>
        <v/>
      </c>
      <c r="E276" s="11">
        <f>IFERROR(_xll.ciqfunctions.udf.CIQ(mh_ticker, "IQ_CASH_EQUIV", , B276), "")</f>
        <v/>
      </c>
      <c r="F276" s="11">
        <f>IFERROR(_xll.ciqfunctions.udf.CIQ(mh_ticker, "IQ_ST_INVEST", , B276), "")</f>
        <v/>
      </c>
      <c r="G276" s="11">
        <f>IFERROR(_xll.ciqfunctions.udf.CIQ(mh_ticker, "IQ_TOTAL_DEBT_EXCL_OPER_LEASES", , B276), "")</f>
        <v/>
      </c>
      <c r="H276" s="11">
        <f>IFERROR(_xll.ciqfunctions.udf.CIQ(mh_ticker, "IQ_PREF_EQUITY", , B276), "")</f>
        <v/>
      </c>
      <c r="I276" s="11">
        <f>IFERROR(_xll.ciqfunctions.udf.CIQ(mh_ticker, "IQ_MINORITY_INTEREST", , B276), "")</f>
        <v/>
      </c>
      <c r="J276" s="11">
        <f>IFERROR(_xll.ciqfunctions.udf.CIQ(mh_ticker, "IQ_EQUITY_METHOD", , B276), "")</f>
        <v/>
      </c>
      <c r="K276" s="11">
        <f>IFERROR(_xll.ciqfunctions.udf.CIQ(mh_ticker, "IQ_LT_Mark_Securities", , B276), "")</f>
        <v/>
      </c>
      <c r="L276" s="12">
        <f>IFERROR(C276*D276, "")</f>
        <v/>
      </c>
      <c r="M276" s="12">
        <f>IFERROR(L276-E276-F276+G276+H276+I276-J276-K276, "")</f>
        <v/>
      </c>
      <c r="N276" s="11">
        <f>IFERROR(_xll.ciqfunctions.udf.CIQ(mh_ticker, "IQ_EBITDA_EST", IQ_NTM, B276, , , "USD"), "")</f>
        <v/>
      </c>
      <c r="O276" s="13">
        <f>IFERROR(M276/N276, "")</f>
        <v/>
      </c>
    </row>
    <row r="277">
      <c r="B277" s="8" t="n"/>
      <c r="C277" s="9">
        <f>IFERROR(_xll.ciqfunctions.udf.CIQ(mh_ticker, "IQ_LASTSALEPRICE", B277), "")</f>
        <v/>
      </c>
      <c r="D277" s="10">
        <f>IFERROR(_xll.ciqfunctions.udf.CIQ(mh_ticker, "IQ_SHARESOUTSTANDING_OUT", B277), "")</f>
        <v/>
      </c>
      <c r="E277" s="11">
        <f>IFERROR(_xll.ciqfunctions.udf.CIQ(mh_ticker, "IQ_CASH_EQUIV", , B277), "")</f>
        <v/>
      </c>
      <c r="F277" s="11">
        <f>IFERROR(_xll.ciqfunctions.udf.CIQ(mh_ticker, "IQ_ST_INVEST", , B277), "")</f>
        <v/>
      </c>
      <c r="G277" s="11">
        <f>IFERROR(_xll.ciqfunctions.udf.CIQ(mh_ticker, "IQ_TOTAL_DEBT_EXCL_OPER_LEASES", , B277), "")</f>
        <v/>
      </c>
      <c r="H277" s="11">
        <f>IFERROR(_xll.ciqfunctions.udf.CIQ(mh_ticker, "IQ_PREF_EQUITY", , B277), "")</f>
        <v/>
      </c>
      <c r="I277" s="11">
        <f>IFERROR(_xll.ciqfunctions.udf.CIQ(mh_ticker, "IQ_MINORITY_INTEREST", , B277), "")</f>
        <v/>
      </c>
      <c r="J277" s="11">
        <f>IFERROR(_xll.ciqfunctions.udf.CIQ(mh_ticker, "IQ_EQUITY_METHOD", , B277), "")</f>
        <v/>
      </c>
      <c r="K277" s="11">
        <f>IFERROR(_xll.ciqfunctions.udf.CIQ(mh_ticker, "IQ_LT_Mark_Securities", , B277), "")</f>
        <v/>
      </c>
      <c r="L277" s="12">
        <f>IFERROR(C277*D277, "")</f>
        <v/>
      </c>
      <c r="M277" s="12">
        <f>IFERROR(L277-E277-F277+G277+H277+I277-J277-K277, "")</f>
        <v/>
      </c>
      <c r="N277" s="11">
        <f>IFERROR(_xll.ciqfunctions.udf.CIQ(mh_ticker, "IQ_EBITDA_EST", IQ_NTM, B277, , , "USD"), "")</f>
        <v/>
      </c>
      <c r="O277" s="13">
        <f>IFERROR(M277/N277, "")</f>
        <v/>
      </c>
    </row>
    <row r="278">
      <c r="B278" s="8" t="n"/>
      <c r="C278" s="9">
        <f>IFERROR(_xll.ciqfunctions.udf.CIQ(mh_ticker, "IQ_LASTSALEPRICE", B278), "")</f>
        <v/>
      </c>
      <c r="D278" s="10">
        <f>IFERROR(_xll.ciqfunctions.udf.CIQ(mh_ticker, "IQ_SHARESOUTSTANDING_OUT", B278), "")</f>
        <v/>
      </c>
      <c r="E278" s="11">
        <f>IFERROR(_xll.ciqfunctions.udf.CIQ(mh_ticker, "IQ_CASH_EQUIV", , B278), "")</f>
        <v/>
      </c>
      <c r="F278" s="11">
        <f>IFERROR(_xll.ciqfunctions.udf.CIQ(mh_ticker, "IQ_ST_INVEST", , B278), "")</f>
        <v/>
      </c>
      <c r="G278" s="11">
        <f>IFERROR(_xll.ciqfunctions.udf.CIQ(mh_ticker, "IQ_TOTAL_DEBT_EXCL_OPER_LEASES", , B278), "")</f>
        <v/>
      </c>
      <c r="H278" s="11">
        <f>IFERROR(_xll.ciqfunctions.udf.CIQ(mh_ticker, "IQ_PREF_EQUITY", , B278), "")</f>
        <v/>
      </c>
      <c r="I278" s="11">
        <f>IFERROR(_xll.ciqfunctions.udf.CIQ(mh_ticker, "IQ_MINORITY_INTEREST", , B278), "")</f>
        <v/>
      </c>
      <c r="J278" s="11">
        <f>IFERROR(_xll.ciqfunctions.udf.CIQ(mh_ticker, "IQ_EQUITY_METHOD", , B278), "")</f>
        <v/>
      </c>
      <c r="K278" s="11">
        <f>IFERROR(_xll.ciqfunctions.udf.CIQ(mh_ticker, "IQ_LT_Mark_Securities", , B278), "")</f>
        <v/>
      </c>
      <c r="L278" s="12">
        <f>IFERROR(C278*D278, "")</f>
        <v/>
      </c>
      <c r="M278" s="12">
        <f>IFERROR(L278-E278-F278+G278+H278+I278-J278-K278, "")</f>
        <v/>
      </c>
      <c r="N278" s="11">
        <f>IFERROR(_xll.ciqfunctions.udf.CIQ(mh_ticker, "IQ_EBITDA_EST", IQ_NTM, B278, , , "USD"), "")</f>
        <v/>
      </c>
      <c r="O278" s="13">
        <f>IFERROR(M278/N278, "")</f>
        <v/>
      </c>
    </row>
    <row r="279">
      <c r="B279" s="8" t="n"/>
      <c r="C279" s="9">
        <f>IFERROR(_xll.ciqfunctions.udf.CIQ(mh_ticker, "IQ_LASTSALEPRICE", B279), "")</f>
        <v/>
      </c>
      <c r="D279" s="10">
        <f>IFERROR(_xll.ciqfunctions.udf.CIQ(mh_ticker, "IQ_SHARESOUTSTANDING_OUT", B279), "")</f>
        <v/>
      </c>
      <c r="E279" s="11">
        <f>IFERROR(_xll.ciqfunctions.udf.CIQ(mh_ticker, "IQ_CASH_EQUIV", , B279), "")</f>
        <v/>
      </c>
      <c r="F279" s="11">
        <f>IFERROR(_xll.ciqfunctions.udf.CIQ(mh_ticker, "IQ_ST_INVEST", , B279), "")</f>
        <v/>
      </c>
      <c r="G279" s="11">
        <f>IFERROR(_xll.ciqfunctions.udf.CIQ(mh_ticker, "IQ_TOTAL_DEBT_EXCL_OPER_LEASES", , B279), "")</f>
        <v/>
      </c>
      <c r="H279" s="11">
        <f>IFERROR(_xll.ciqfunctions.udf.CIQ(mh_ticker, "IQ_PREF_EQUITY", , B279), "")</f>
        <v/>
      </c>
      <c r="I279" s="11">
        <f>IFERROR(_xll.ciqfunctions.udf.CIQ(mh_ticker, "IQ_MINORITY_INTEREST", , B279), "")</f>
        <v/>
      </c>
      <c r="J279" s="11">
        <f>IFERROR(_xll.ciqfunctions.udf.CIQ(mh_ticker, "IQ_EQUITY_METHOD", , B279), "")</f>
        <v/>
      </c>
      <c r="K279" s="11">
        <f>IFERROR(_xll.ciqfunctions.udf.CIQ(mh_ticker, "IQ_LT_Mark_Securities", , B279), "")</f>
        <v/>
      </c>
      <c r="L279" s="12">
        <f>IFERROR(C279*D279, "")</f>
        <v/>
      </c>
      <c r="M279" s="12">
        <f>IFERROR(L279-E279-F279+G279+H279+I279-J279-K279, "")</f>
        <v/>
      </c>
      <c r="N279" s="11">
        <f>IFERROR(_xll.ciqfunctions.udf.CIQ(mh_ticker, "IQ_EBITDA_EST", IQ_NTM, B279, , , "USD"), "")</f>
        <v/>
      </c>
      <c r="O279" s="13">
        <f>IFERROR(M279/N279, "")</f>
        <v/>
      </c>
    </row>
    <row r="280">
      <c r="B280" s="8" t="n"/>
      <c r="C280" s="9">
        <f>IFERROR(_xll.ciqfunctions.udf.CIQ(mh_ticker, "IQ_LASTSALEPRICE", B280), "")</f>
        <v/>
      </c>
      <c r="D280" s="10">
        <f>IFERROR(_xll.ciqfunctions.udf.CIQ(mh_ticker, "IQ_SHARESOUTSTANDING_OUT", B280), "")</f>
        <v/>
      </c>
      <c r="E280" s="11">
        <f>IFERROR(_xll.ciqfunctions.udf.CIQ(mh_ticker, "IQ_CASH_EQUIV", , B280), "")</f>
        <v/>
      </c>
      <c r="F280" s="11">
        <f>IFERROR(_xll.ciqfunctions.udf.CIQ(mh_ticker, "IQ_ST_INVEST", , B280), "")</f>
        <v/>
      </c>
      <c r="G280" s="11">
        <f>IFERROR(_xll.ciqfunctions.udf.CIQ(mh_ticker, "IQ_TOTAL_DEBT_EXCL_OPER_LEASES", , B280), "")</f>
        <v/>
      </c>
      <c r="H280" s="11">
        <f>IFERROR(_xll.ciqfunctions.udf.CIQ(mh_ticker, "IQ_PREF_EQUITY", , B280), "")</f>
        <v/>
      </c>
      <c r="I280" s="11">
        <f>IFERROR(_xll.ciqfunctions.udf.CIQ(mh_ticker, "IQ_MINORITY_INTEREST", , B280), "")</f>
        <v/>
      </c>
      <c r="J280" s="11">
        <f>IFERROR(_xll.ciqfunctions.udf.CIQ(mh_ticker, "IQ_EQUITY_METHOD", , B280), "")</f>
        <v/>
      </c>
      <c r="K280" s="11">
        <f>IFERROR(_xll.ciqfunctions.udf.CIQ(mh_ticker, "IQ_LT_Mark_Securities", , B280), "")</f>
        <v/>
      </c>
      <c r="L280" s="12">
        <f>IFERROR(C280*D280, "")</f>
        <v/>
      </c>
      <c r="M280" s="12">
        <f>IFERROR(L280-E280-F280+G280+H280+I280-J280-K280, "")</f>
        <v/>
      </c>
      <c r="N280" s="11">
        <f>IFERROR(_xll.ciqfunctions.udf.CIQ(mh_ticker, "IQ_EBITDA_EST", IQ_NTM, B280, , , "USD"), "")</f>
        <v/>
      </c>
      <c r="O280" s="13">
        <f>IFERROR(M280/N280, "")</f>
        <v/>
      </c>
    </row>
    <row r="281">
      <c r="B281" s="8" t="n"/>
      <c r="C281" s="9">
        <f>IFERROR(_xll.ciqfunctions.udf.CIQ(mh_ticker, "IQ_LASTSALEPRICE", B281), "")</f>
        <v/>
      </c>
      <c r="D281" s="10">
        <f>IFERROR(_xll.ciqfunctions.udf.CIQ(mh_ticker, "IQ_SHARESOUTSTANDING_OUT", B281), "")</f>
        <v/>
      </c>
      <c r="E281" s="11">
        <f>IFERROR(_xll.ciqfunctions.udf.CIQ(mh_ticker, "IQ_CASH_EQUIV", , B281), "")</f>
        <v/>
      </c>
      <c r="F281" s="11">
        <f>IFERROR(_xll.ciqfunctions.udf.CIQ(mh_ticker, "IQ_ST_INVEST", , B281), "")</f>
        <v/>
      </c>
      <c r="G281" s="11">
        <f>IFERROR(_xll.ciqfunctions.udf.CIQ(mh_ticker, "IQ_TOTAL_DEBT_EXCL_OPER_LEASES", , B281), "")</f>
        <v/>
      </c>
      <c r="H281" s="11">
        <f>IFERROR(_xll.ciqfunctions.udf.CIQ(mh_ticker, "IQ_PREF_EQUITY", , B281), "")</f>
        <v/>
      </c>
      <c r="I281" s="11">
        <f>IFERROR(_xll.ciqfunctions.udf.CIQ(mh_ticker, "IQ_MINORITY_INTEREST", , B281), "")</f>
        <v/>
      </c>
      <c r="J281" s="11">
        <f>IFERROR(_xll.ciqfunctions.udf.CIQ(mh_ticker, "IQ_EQUITY_METHOD", , B281), "")</f>
        <v/>
      </c>
      <c r="K281" s="11">
        <f>IFERROR(_xll.ciqfunctions.udf.CIQ(mh_ticker, "IQ_LT_Mark_Securities", , B281), "")</f>
        <v/>
      </c>
      <c r="L281" s="12">
        <f>IFERROR(C281*D281, "")</f>
        <v/>
      </c>
      <c r="M281" s="12">
        <f>IFERROR(L281-E281-F281+G281+H281+I281-J281-K281, "")</f>
        <v/>
      </c>
      <c r="N281" s="11">
        <f>IFERROR(_xll.ciqfunctions.udf.CIQ(mh_ticker, "IQ_EBITDA_EST", IQ_NTM, B281, , , "USD"), "")</f>
        <v/>
      </c>
      <c r="O281" s="13">
        <f>IFERROR(M281/N281, "")</f>
        <v/>
      </c>
    </row>
    <row r="282">
      <c r="B282" s="8" t="n"/>
      <c r="C282" s="9">
        <f>IFERROR(_xll.ciqfunctions.udf.CIQ(mh_ticker, "IQ_LASTSALEPRICE", B282), "")</f>
        <v/>
      </c>
      <c r="D282" s="10">
        <f>IFERROR(_xll.ciqfunctions.udf.CIQ(mh_ticker, "IQ_SHARESOUTSTANDING_OUT", B282), "")</f>
        <v/>
      </c>
      <c r="E282" s="11">
        <f>IFERROR(_xll.ciqfunctions.udf.CIQ(mh_ticker, "IQ_CASH_EQUIV", , B282), "")</f>
        <v/>
      </c>
      <c r="F282" s="11">
        <f>IFERROR(_xll.ciqfunctions.udf.CIQ(mh_ticker, "IQ_ST_INVEST", , B282), "")</f>
        <v/>
      </c>
      <c r="G282" s="11">
        <f>IFERROR(_xll.ciqfunctions.udf.CIQ(mh_ticker, "IQ_TOTAL_DEBT_EXCL_OPER_LEASES", , B282), "")</f>
        <v/>
      </c>
      <c r="H282" s="11">
        <f>IFERROR(_xll.ciqfunctions.udf.CIQ(mh_ticker, "IQ_PREF_EQUITY", , B282), "")</f>
        <v/>
      </c>
      <c r="I282" s="11">
        <f>IFERROR(_xll.ciqfunctions.udf.CIQ(mh_ticker, "IQ_MINORITY_INTEREST", , B282), "")</f>
        <v/>
      </c>
      <c r="J282" s="11">
        <f>IFERROR(_xll.ciqfunctions.udf.CIQ(mh_ticker, "IQ_EQUITY_METHOD", , B282), "")</f>
        <v/>
      </c>
      <c r="K282" s="11">
        <f>IFERROR(_xll.ciqfunctions.udf.CIQ(mh_ticker, "IQ_LT_Mark_Securities", , B282), "")</f>
        <v/>
      </c>
      <c r="L282" s="12">
        <f>IFERROR(C282*D282, "")</f>
        <v/>
      </c>
      <c r="M282" s="12">
        <f>IFERROR(L282-E282-F282+G282+H282+I282-J282-K282, "")</f>
        <v/>
      </c>
      <c r="N282" s="11">
        <f>IFERROR(_xll.ciqfunctions.udf.CIQ(mh_ticker, "IQ_EBITDA_EST", IQ_NTM, B282, , , "USD"), "")</f>
        <v/>
      </c>
      <c r="O282" s="13">
        <f>IFERROR(M282/N282, "")</f>
        <v/>
      </c>
    </row>
    <row r="283">
      <c r="B283" s="8" t="n"/>
      <c r="C283" s="9">
        <f>IFERROR(_xll.ciqfunctions.udf.CIQ(mh_ticker, "IQ_LASTSALEPRICE", B283), "")</f>
        <v/>
      </c>
      <c r="D283" s="10">
        <f>IFERROR(_xll.ciqfunctions.udf.CIQ(mh_ticker, "IQ_SHARESOUTSTANDING_OUT", B283), "")</f>
        <v/>
      </c>
      <c r="E283" s="11">
        <f>IFERROR(_xll.ciqfunctions.udf.CIQ(mh_ticker, "IQ_CASH_EQUIV", , B283), "")</f>
        <v/>
      </c>
      <c r="F283" s="11">
        <f>IFERROR(_xll.ciqfunctions.udf.CIQ(mh_ticker, "IQ_ST_INVEST", , B283), "")</f>
        <v/>
      </c>
      <c r="G283" s="11">
        <f>IFERROR(_xll.ciqfunctions.udf.CIQ(mh_ticker, "IQ_TOTAL_DEBT_EXCL_OPER_LEASES", , B283), "")</f>
        <v/>
      </c>
      <c r="H283" s="11">
        <f>IFERROR(_xll.ciqfunctions.udf.CIQ(mh_ticker, "IQ_PREF_EQUITY", , B283), "")</f>
        <v/>
      </c>
      <c r="I283" s="11">
        <f>IFERROR(_xll.ciqfunctions.udf.CIQ(mh_ticker, "IQ_MINORITY_INTEREST", , B283), "")</f>
        <v/>
      </c>
      <c r="J283" s="11">
        <f>IFERROR(_xll.ciqfunctions.udf.CIQ(mh_ticker, "IQ_EQUITY_METHOD", , B283), "")</f>
        <v/>
      </c>
      <c r="K283" s="11">
        <f>IFERROR(_xll.ciqfunctions.udf.CIQ(mh_ticker, "IQ_LT_Mark_Securities", , B283), "")</f>
        <v/>
      </c>
      <c r="L283" s="12">
        <f>IFERROR(C283*D283, "")</f>
        <v/>
      </c>
      <c r="M283" s="12">
        <f>IFERROR(L283-E283-F283+G283+H283+I283-J283-K283, "")</f>
        <v/>
      </c>
      <c r="N283" s="11">
        <f>IFERROR(_xll.ciqfunctions.udf.CIQ(mh_ticker, "IQ_EBITDA_EST", IQ_NTM, B283, , , "USD"), "")</f>
        <v/>
      </c>
      <c r="O283" s="13">
        <f>IFERROR(M283/N283, "")</f>
        <v/>
      </c>
    </row>
    <row r="284">
      <c r="B284" s="8" t="n"/>
      <c r="C284" s="9">
        <f>IFERROR(_xll.ciqfunctions.udf.CIQ(mh_ticker, "IQ_LASTSALEPRICE", B284), "")</f>
        <v/>
      </c>
      <c r="D284" s="10">
        <f>IFERROR(_xll.ciqfunctions.udf.CIQ(mh_ticker, "IQ_SHARESOUTSTANDING_OUT", B284), "")</f>
        <v/>
      </c>
      <c r="E284" s="11">
        <f>IFERROR(_xll.ciqfunctions.udf.CIQ(mh_ticker, "IQ_CASH_EQUIV", , B284), "")</f>
        <v/>
      </c>
      <c r="F284" s="11">
        <f>IFERROR(_xll.ciqfunctions.udf.CIQ(mh_ticker, "IQ_ST_INVEST", , B284), "")</f>
        <v/>
      </c>
      <c r="G284" s="11">
        <f>IFERROR(_xll.ciqfunctions.udf.CIQ(mh_ticker, "IQ_TOTAL_DEBT_EXCL_OPER_LEASES", , B284), "")</f>
        <v/>
      </c>
      <c r="H284" s="11">
        <f>IFERROR(_xll.ciqfunctions.udf.CIQ(mh_ticker, "IQ_PREF_EQUITY", , B284), "")</f>
        <v/>
      </c>
      <c r="I284" s="11">
        <f>IFERROR(_xll.ciqfunctions.udf.CIQ(mh_ticker, "IQ_MINORITY_INTEREST", , B284), "")</f>
        <v/>
      </c>
      <c r="J284" s="11">
        <f>IFERROR(_xll.ciqfunctions.udf.CIQ(mh_ticker, "IQ_EQUITY_METHOD", , B284), "")</f>
        <v/>
      </c>
      <c r="K284" s="11">
        <f>IFERROR(_xll.ciqfunctions.udf.CIQ(mh_ticker, "IQ_LT_Mark_Securities", , B284), "")</f>
        <v/>
      </c>
      <c r="L284" s="12">
        <f>IFERROR(C284*D284, "")</f>
        <v/>
      </c>
      <c r="M284" s="12">
        <f>IFERROR(L284-E284-F284+G284+H284+I284-J284-K284, "")</f>
        <v/>
      </c>
      <c r="N284" s="11">
        <f>IFERROR(_xll.ciqfunctions.udf.CIQ(mh_ticker, "IQ_EBITDA_EST", IQ_NTM, B284, , , "USD"), "")</f>
        <v/>
      </c>
      <c r="O284" s="13">
        <f>IFERROR(M284/N284, "")</f>
        <v/>
      </c>
    </row>
    <row r="285">
      <c r="B285" s="8" t="n"/>
      <c r="C285" s="9">
        <f>IFERROR(_xll.ciqfunctions.udf.CIQ(mh_ticker, "IQ_LASTSALEPRICE", B285), "")</f>
        <v/>
      </c>
      <c r="D285" s="10">
        <f>IFERROR(_xll.ciqfunctions.udf.CIQ(mh_ticker, "IQ_SHARESOUTSTANDING_OUT", B285), "")</f>
        <v/>
      </c>
      <c r="E285" s="11">
        <f>IFERROR(_xll.ciqfunctions.udf.CIQ(mh_ticker, "IQ_CASH_EQUIV", , B285), "")</f>
        <v/>
      </c>
      <c r="F285" s="11">
        <f>IFERROR(_xll.ciqfunctions.udf.CIQ(mh_ticker, "IQ_ST_INVEST", , B285), "")</f>
        <v/>
      </c>
      <c r="G285" s="11">
        <f>IFERROR(_xll.ciqfunctions.udf.CIQ(mh_ticker, "IQ_TOTAL_DEBT_EXCL_OPER_LEASES", , B285), "")</f>
        <v/>
      </c>
      <c r="H285" s="11">
        <f>IFERROR(_xll.ciqfunctions.udf.CIQ(mh_ticker, "IQ_PREF_EQUITY", , B285), "")</f>
        <v/>
      </c>
      <c r="I285" s="11">
        <f>IFERROR(_xll.ciqfunctions.udf.CIQ(mh_ticker, "IQ_MINORITY_INTEREST", , B285), "")</f>
        <v/>
      </c>
      <c r="J285" s="11">
        <f>IFERROR(_xll.ciqfunctions.udf.CIQ(mh_ticker, "IQ_EQUITY_METHOD", , B285), "")</f>
        <v/>
      </c>
      <c r="K285" s="11">
        <f>IFERROR(_xll.ciqfunctions.udf.CIQ(mh_ticker, "IQ_LT_Mark_Securities", , B285), "")</f>
        <v/>
      </c>
      <c r="L285" s="12">
        <f>IFERROR(C285*D285, "")</f>
        <v/>
      </c>
      <c r="M285" s="12">
        <f>IFERROR(L285-E285-F285+G285+H285+I285-J285-K285, "")</f>
        <v/>
      </c>
      <c r="N285" s="11">
        <f>IFERROR(_xll.ciqfunctions.udf.CIQ(mh_ticker, "IQ_EBITDA_EST", IQ_NTM, B285, , , "USD"), "")</f>
        <v/>
      </c>
      <c r="O285" s="13">
        <f>IFERROR(M285/N285, "")</f>
        <v/>
      </c>
    </row>
    <row r="286">
      <c r="B286" s="8" t="n"/>
      <c r="C286" s="9">
        <f>IFERROR(_xll.ciqfunctions.udf.CIQ(mh_ticker, "IQ_LASTSALEPRICE", B286), "")</f>
        <v/>
      </c>
      <c r="D286" s="10">
        <f>IFERROR(_xll.ciqfunctions.udf.CIQ(mh_ticker, "IQ_SHARESOUTSTANDING_OUT", B286), "")</f>
        <v/>
      </c>
      <c r="E286" s="11">
        <f>IFERROR(_xll.ciqfunctions.udf.CIQ(mh_ticker, "IQ_CASH_EQUIV", , B286), "")</f>
        <v/>
      </c>
      <c r="F286" s="11">
        <f>IFERROR(_xll.ciqfunctions.udf.CIQ(mh_ticker, "IQ_ST_INVEST", , B286), "")</f>
        <v/>
      </c>
      <c r="G286" s="11">
        <f>IFERROR(_xll.ciqfunctions.udf.CIQ(mh_ticker, "IQ_TOTAL_DEBT_EXCL_OPER_LEASES", , B286), "")</f>
        <v/>
      </c>
      <c r="H286" s="11">
        <f>IFERROR(_xll.ciqfunctions.udf.CIQ(mh_ticker, "IQ_PREF_EQUITY", , B286), "")</f>
        <v/>
      </c>
      <c r="I286" s="11">
        <f>IFERROR(_xll.ciqfunctions.udf.CIQ(mh_ticker, "IQ_MINORITY_INTEREST", , B286), "")</f>
        <v/>
      </c>
      <c r="J286" s="11">
        <f>IFERROR(_xll.ciqfunctions.udf.CIQ(mh_ticker, "IQ_EQUITY_METHOD", , B286), "")</f>
        <v/>
      </c>
      <c r="K286" s="11">
        <f>IFERROR(_xll.ciqfunctions.udf.CIQ(mh_ticker, "IQ_LT_Mark_Securities", , B286), "")</f>
        <v/>
      </c>
      <c r="L286" s="12">
        <f>IFERROR(C286*D286, "")</f>
        <v/>
      </c>
      <c r="M286" s="12">
        <f>IFERROR(L286-E286-F286+G286+H286+I286-J286-K286, "")</f>
        <v/>
      </c>
      <c r="N286" s="11">
        <f>IFERROR(_xll.ciqfunctions.udf.CIQ(mh_ticker, "IQ_EBITDA_EST", IQ_NTM, B286, , , "USD"), "")</f>
        <v/>
      </c>
      <c r="O286" s="13">
        <f>IFERROR(M286/N286, "")</f>
        <v/>
      </c>
    </row>
    <row r="287">
      <c r="B287" s="8" t="n"/>
      <c r="C287" s="9">
        <f>IFERROR(_xll.ciqfunctions.udf.CIQ(mh_ticker, "IQ_LASTSALEPRICE", B287), "")</f>
        <v/>
      </c>
      <c r="D287" s="10">
        <f>IFERROR(_xll.ciqfunctions.udf.CIQ(mh_ticker, "IQ_SHARESOUTSTANDING_OUT", B287), "")</f>
        <v/>
      </c>
      <c r="E287" s="11">
        <f>IFERROR(_xll.ciqfunctions.udf.CIQ(mh_ticker, "IQ_CASH_EQUIV", , B287), "")</f>
        <v/>
      </c>
      <c r="F287" s="11">
        <f>IFERROR(_xll.ciqfunctions.udf.CIQ(mh_ticker, "IQ_ST_INVEST", , B287), "")</f>
        <v/>
      </c>
      <c r="G287" s="11">
        <f>IFERROR(_xll.ciqfunctions.udf.CIQ(mh_ticker, "IQ_TOTAL_DEBT_EXCL_OPER_LEASES", , B287), "")</f>
        <v/>
      </c>
      <c r="H287" s="11">
        <f>IFERROR(_xll.ciqfunctions.udf.CIQ(mh_ticker, "IQ_PREF_EQUITY", , B287), "")</f>
        <v/>
      </c>
      <c r="I287" s="11">
        <f>IFERROR(_xll.ciqfunctions.udf.CIQ(mh_ticker, "IQ_MINORITY_INTEREST", , B287), "")</f>
        <v/>
      </c>
      <c r="J287" s="11">
        <f>IFERROR(_xll.ciqfunctions.udf.CIQ(mh_ticker, "IQ_EQUITY_METHOD", , B287), "")</f>
        <v/>
      </c>
      <c r="K287" s="11">
        <f>IFERROR(_xll.ciqfunctions.udf.CIQ(mh_ticker, "IQ_LT_Mark_Securities", , B287), "")</f>
        <v/>
      </c>
      <c r="L287" s="12">
        <f>IFERROR(C287*D287, "")</f>
        <v/>
      </c>
      <c r="M287" s="12">
        <f>IFERROR(L287-E287-F287+G287+H287+I287-J287-K287, "")</f>
        <v/>
      </c>
      <c r="N287" s="11">
        <f>IFERROR(_xll.ciqfunctions.udf.CIQ(mh_ticker, "IQ_EBITDA_EST", IQ_NTM, B287, , , "USD"), "")</f>
        <v/>
      </c>
      <c r="O287" s="13">
        <f>IFERROR(M287/N287, "")</f>
        <v/>
      </c>
    </row>
    <row r="288">
      <c r="B288" s="8" t="n"/>
      <c r="C288" s="9">
        <f>IFERROR(_xll.ciqfunctions.udf.CIQ(mh_ticker, "IQ_LASTSALEPRICE", B288), "")</f>
        <v/>
      </c>
      <c r="D288" s="10">
        <f>IFERROR(_xll.ciqfunctions.udf.CIQ(mh_ticker, "IQ_SHARESOUTSTANDING_OUT", B288), "")</f>
        <v/>
      </c>
      <c r="E288" s="11">
        <f>IFERROR(_xll.ciqfunctions.udf.CIQ(mh_ticker, "IQ_CASH_EQUIV", , B288), "")</f>
        <v/>
      </c>
      <c r="F288" s="11">
        <f>IFERROR(_xll.ciqfunctions.udf.CIQ(mh_ticker, "IQ_ST_INVEST", , B288), "")</f>
        <v/>
      </c>
      <c r="G288" s="11">
        <f>IFERROR(_xll.ciqfunctions.udf.CIQ(mh_ticker, "IQ_TOTAL_DEBT_EXCL_OPER_LEASES", , B288), "")</f>
        <v/>
      </c>
      <c r="H288" s="11">
        <f>IFERROR(_xll.ciqfunctions.udf.CIQ(mh_ticker, "IQ_PREF_EQUITY", , B288), "")</f>
        <v/>
      </c>
      <c r="I288" s="11">
        <f>IFERROR(_xll.ciqfunctions.udf.CIQ(mh_ticker, "IQ_MINORITY_INTEREST", , B288), "")</f>
        <v/>
      </c>
      <c r="J288" s="11">
        <f>IFERROR(_xll.ciqfunctions.udf.CIQ(mh_ticker, "IQ_EQUITY_METHOD", , B288), "")</f>
        <v/>
      </c>
      <c r="K288" s="11">
        <f>IFERROR(_xll.ciqfunctions.udf.CIQ(mh_ticker, "IQ_LT_Mark_Securities", , B288), "")</f>
        <v/>
      </c>
      <c r="L288" s="12">
        <f>IFERROR(C288*D288, "")</f>
        <v/>
      </c>
      <c r="M288" s="12">
        <f>IFERROR(L288-E288-F288+G288+H288+I288-J288-K288, "")</f>
        <v/>
      </c>
      <c r="N288" s="11">
        <f>IFERROR(_xll.ciqfunctions.udf.CIQ(mh_ticker, "IQ_EBITDA_EST", IQ_NTM, B288, , , "USD"), "")</f>
        <v/>
      </c>
      <c r="O288" s="13">
        <f>IFERROR(M288/N288, "")</f>
        <v/>
      </c>
    </row>
    <row r="289">
      <c r="B289" s="8" t="n"/>
      <c r="C289" s="9">
        <f>IFERROR(_xll.ciqfunctions.udf.CIQ(mh_ticker, "IQ_LASTSALEPRICE", B289), "")</f>
        <v/>
      </c>
      <c r="D289" s="10">
        <f>IFERROR(_xll.ciqfunctions.udf.CIQ(mh_ticker, "IQ_SHARESOUTSTANDING_OUT", B289), "")</f>
        <v/>
      </c>
      <c r="E289" s="11">
        <f>IFERROR(_xll.ciqfunctions.udf.CIQ(mh_ticker, "IQ_CASH_EQUIV", , B289), "")</f>
        <v/>
      </c>
      <c r="F289" s="11">
        <f>IFERROR(_xll.ciqfunctions.udf.CIQ(mh_ticker, "IQ_ST_INVEST", , B289), "")</f>
        <v/>
      </c>
      <c r="G289" s="11">
        <f>IFERROR(_xll.ciqfunctions.udf.CIQ(mh_ticker, "IQ_TOTAL_DEBT_EXCL_OPER_LEASES", , B289), "")</f>
        <v/>
      </c>
      <c r="H289" s="11">
        <f>IFERROR(_xll.ciqfunctions.udf.CIQ(mh_ticker, "IQ_PREF_EQUITY", , B289), "")</f>
        <v/>
      </c>
      <c r="I289" s="11">
        <f>IFERROR(_xll.ciqfunctions.udf.CIQ(mh_ticker, "IQ_MINORITY_INTEREST", , B289), "")</f>
        <v/>
      </c>
      <c r="J289" s="11">
        <f>IFERROR(_xll.ciqfunctions.udf.CIQ(mh_ticker, "IQ_EQUITY_METHOD", , B289), "")</f>
        <v/>
      </c>
      <c r="K289" s="11">
        <f>IFERROR(_xll.ciqfunctions.udf.CIQ(mh_ticker, "IQ_LT_Mark_Securities", , B289), "")</f>
        <v/>
      </c>
      <c r="L289" s="12">
        <f>IFERROR(C289*D289, "")</f>
        <v/>
      </c>
      <c r="M289" s="12">
        <f>IFERROR(L289-E289-F289+G289+H289+I289-J289-K289, "")</f>
        <v/>
      </c>
      <c r="N289" s="11">
        <f>IFERROR(_xll.ciqfunctions.udf.CIQ(mh_ticker, "IQ_EBITDA_EST", IQ_NTM, B289, , , "USD"), "")</f>
        <v/>
      </c>
      <c r="O289" s="13">
        <f>IFERROR(M289/N289, "")</f>
        <v/>
      </c>
    </row>
    <row r="290">
      <c r="B290" s="8" t="n"/>
      <c r="C290" s="9">
        <f>IFERROR(_xll.ciqfunctions.udf.CIQ(mh_ticker, "IQ_LASTSALEPRICE", B290), "")</f>
        <v/>
      </c>
      <c r="D290" s="10">
        <f>IFERROR(_xll.ciqfunctions.udf.CIQ(mh_ticker, "IQ_SHARESOUTSTANDING_OUT", B290), "")</f>
        <v/>
      </c>
      <c r="E290" s="11">
        <f>IFERROR(_xll.ciqfunctions.udf.CIQ(mh_ticker, "IQ_CASH_EQUIV", , B290), "")</f>
        <v/>
      </c>
      <c r="F290" s="11">
        <f>IFERROR(_xll.ciqfunctions.udf.CIQ(mh_ticker, "IQ_ST_INVEST", , B290), "")</f>
        <v/>
      </c>
      <c r="G290" s="11">
        <f>IFERROR(_xll.ciqfunctions.udf.CIQ(mh_ticker, "IQ_TOTAL_DEBT_EXCL_OPER_LEASES", , B290), "")</f>
        <v/>
      </c>
      <c r="H290" s="11">
        <f>IFERROR(_xll.ciqfunctions.udf.CIQ(mh_ticker, "IQ_PREF_EQUITY", , B290), "")</f>
        <v/>
      </c>
      <c r="I290" s="11">
        <f>IFERROR(_xll.ciqfunctions.udf.CIQ(mh_ticker, "IQ_MINORITY_INTEREST", , B290), "")</f>
        <v/>
      </c>
      <c r="J290" s="11">
        <f>IFERROR(_xll.ciqfunctions.udf.CIQ(mh_ticker, "IQ_EQUITY_METHOD", , B290), "")</f>
        <v/>
      </c>
      <c r="K290" s="11">
        <f>IFERROR(_xll.ciqfunctions.udf.CIQ(mh_ticker, "IQ_LT_Mark_Securities", , B290), "")</f>
        <v/>
      </c>
      <c r="L290" s="12">
        <f>IFERROR(C290*D290, "")</f>
        <v/>
      </c>
      <c r="M290" s="12">
        <f>IFERROR(L290-E290-F290+G290+H290+I290-J290-K290, "")</f>
        <v/>
      </c>
      <c r="N290" s="11">
        <f>IFERROR(_xll.ciqfunctions.udf.CIQ(mh_ticker, "IQ_EBITDA_EST", IQ_NTM, B290, , , "USD"), "")</f>
        <v/>
      </c>
      <c r="O290" s="13">
        <f>IFERROR(M290/N290, "")</f>
        <v/>
      </c>
    </row>
    <row r="291">
      <c r="B291" s="8" t="n"/>
      <c r="C291" s="9">
        <f>IFERROR(_xll.ciqfunctions.udf.CIQ(mh_ticker, "IQ_LASTSALEPRICE", B291), "")</f>
        <v/>
      </c>
      <c r="D291" s="10">
        <f>IFERROR(_xll.ciqfunctions.udf.CIQ(mh_ticker, "IQ_SHARESOUTSTANDING_OUT", B291), "")</f>
        <v/>
      </c>
      <c r="E291" s="11">
        <f>IFERROR(_xll.ciqfunctions.udf.CIQ(mh_ticker, "IQ_CASH_EQUIV", , B291), "")</f>
        <v/>
      </c>
      <c r="F291" s="11">
        <f>IFERROR(_xll.ciqfunctions.udf.CIQ(mh_ticker, "IQ_ST_INVEST", , B291), "")</f>
        <v/>
      </c>
      <c r="G291" s="11">
        <f>IFERROR(_xll.ciqfunctions.udf.CIQ(mh_ticker, "IQ_TOTAL_DEBT_EXCL_OPER_LEASES", , B291), "")</f>
        <v/>
      </c>
      <c r="H291" s="11">
        <f>IFERROR(_xll.ciqfunctions.udf.CIQ(mh_ticker, "IQ_PREF_EQUITY", , B291), "")</f>
        <v/>
      </c>
      <c r="I291" s="11">
        <f>IFERROR(_xll.ciqfunctions.udf.CIQ(mh_ticker, "IQ_MINORITY_INTEREST", , B291), "")</f>
        <v/>
      </c>
      <c r="J291" s="11">
        <f>IFERROR(_xll.ciqfunctions.udf.CIQ(mh_ticker, "IQ_EQUITY_METHOD", , B291), "")</f>
        <v/>
      </c>
      <c r="K291" s="11">
        <f>IFERROR(_xll.ciqfunctions.udf.CIQ(mh_ticker, "IQ_LT_Mark_Securities", , B291), "")</f>
        <v/>
      </c>
      <c r="L291" s="12">
        <f>IFERROR(C291*D291, "")</f>
        <v/>
      </c>
      <c r="M291" s="12">
        <f>IFERROR(L291-E291-F291+G291+H291+I291-J291-K291, "")</f>
        <v/>
      </c>
      <c r="N291" s="11">
        <f>IFERROR(_xll.ciqfunctions.udf.CIQ(mh_ticker, "IQ_EBITDA_EST", IQ_NTM, B291, , , "USD"), "")</f>
        <v/>
      </c>
      <c r="O291" s="13">
        <f>IFERROR(M291/N291, "")</f>
        <v/>
      </c>
    </row>
    <row r="292">
      <c r="B292" s="8" t="n"/>
      <c r="C292" s="9">
        <f>IFERROR(_xll.ciqfunctions.udf.CIQ(mh_ticker, "IQ_LASTSALEPRICE", B292), "")</f>
        <v/>
      </c>
      <c r="D292" s="10">
        <f>IFERROR(_xll.ciqfunctions.udf.CIQ(mh_ticker, "IQ_SHARESOUTSTANDING_OUT", B292), "")</f>
        <v/>
      </c>
      <c r="E292" s="11">
        <f>IFERROR(_xll.ciqfunctions.udf.CIQ(mh_ticker, "IQ_CASH_EQUIV", , B292), "")</f>
        <v/>
      </c>
      <c r="F292" s="11">
        <f>IFERROR(_xll.ciqfunctions.udf.CIQ(mh_ticker, "IQ_ST_INVEST", , B292), "")</f>
        <v/>
      </c>
      <c r="G292" s="11">
        <f>IFERROR(_xll.ciqfunctions.udf.CIQ(mh_ticker, "IQ_TOTAL_DEBT_EXCL_OPER_LEASES", , B292), "")</f>
        <v/>
      </c>
      <c r="H292" s="11">
        <f>IFERROR(_xll.ciqfunctions.udf.CIQ(mh_ticker, "IQ_PREF_EQUITY", , B292), "")</f>
        <v/>
      </c>
      <c r="I292" s="11">
        <f>IFERROR(_xll.ciqfunctions.udf.CIQ(mh_ticker, "IQ_MINORITY_INTEREST", , B292), "")</f>
        <v/>
      </c>
      <c r="J292" s="11">
        <f>IFERROR(_xll.ciqfunctions.udf.CIQ(mh_ticker, "IQ_EQUITY_METHOD", , B292), "")</f>
        <v/>
      </c>
      <c r="K292" s="11">
        <f>IFERROR(_xll.ciqfunctions.udf.CIQ(mh_ticker, "IQ_LT_Mark_Securities", , B292), "")</f>
        <v/>
      </c>
      <c r="L292" s="12">
        <f>IFERROR(C292*D292, "")</f>
        <v/>
      </c>
      <c r="M292" s="12">
        <f>IFERROR(L292-E292-F292+G292+H292+I292-J292-K292, "")</f>
        <v/>
      </c>
      <c r="N292" s="11">
        <f>IFERROR(_xll.ciqfunctions.udf.CIQ(mh_ticker, "IQ_EBITDA_EST", IQ_NTM, B292, , , "USD"), "")</f>
        <v/>
      </c>
      <c r="O292" s="13">
        <f>IFERROR(M292/N292, "")</f>
        <v/>
      </c>
    </row>
    <row r="293">
      <c r="B293" s="8" t="n"/>
      <c r="C293" s="9">
        <f>IFERROR(_xll.ciqfunctions.udf.CIQ(mh_ticker, "IQ_LASTSALEPRICE", B293), "")</f>
        <v/>
      </c>
      <c r="D293" s="10">
        <f>IFERROR(_xll.ciqfunctions.udf.CIQ(mh_ticker, "IQ_SHARESOUTSTANDING_OUT", B293), "")</f>
        <v/>
      </c>
      <c r="E293" s="11">
        <f>IFERROR(_xll.ciqfunctions.udf.CIQ(mh_ticker, "IQ_CASH_EQUIV", , B293), "")</f>
        <v/>
      </c>
      <c r="F293" s="11">
        <f>IFERROR(_xll.ciqfunctions.udf.CIQ(mh_ticker, "IQ_ST_INVEST", , B293), "")</f>
        <v/>
      </c>
      <c r="G293" s="11">
        <f>IFERROR(_xll.ciqfunctions.udf.CIQ(mh_ticker, "IQ_TOTAL_DEBT_EXCL_OPER_LEASES", , B293), "")</f>
        <v/>
      </c>
      <c r="H293" s="11">
        <f>IFERROR(_xll.ciqfunctions.udf.CIQ(mh_ticker, "IQ_PREF_EQUITY", , B293), "")</f>
        <v/>
      </c>
      <c r="I293" s="11">
        <f>IFERROR(_xll.ciqfunctions.udf.CIQ(mh_ticker, "IQ_MINORITY_INTEREST", , B293), "")</f>
        <v/>
      </c>
      <c r="J293" s="11">
        <f>IFERROR(_xll.ciqfunctions.udf.CIQ(mh_ticker, "IQ_EQUITY_METHOD", , B293), "")</f>
        <v/>
      </c>
      <c r="K293" s="11">
        <f>IFERROR(_xll.ciqfunctions.udf.CIQ(mh_ticker, "IQ_LT_Mark_Securities", , B293), "")</f>
        <v/>
      </c>
      <c r="L293" s="12">
        <f>IFERROR(C293*D293, "")</f>
        <v/>
      </c>
      <c r="M293" s="12">
        <f>IFERROR(L293-E293-F293+G293+H293+I293-J293-K293, "")</f>
        <v/>
      </c>
      <c r="N293" s="11">
        <f>IFERROR(_xll.ciqfunctions.udf.CIQ(mh_ticker, "IQ_EBITDA_EST", IQ_NTM, B293, , , "USD"), "")</f>
        <v/>
      </c>
      <c r="O293" s="13">
        <f>IFERROR(M293/N293, "")</f>
        <v/>
      </c>
    </row>
    <row r="294">
      <c r="B294" s="8" t="n"/>
      <c r="C294" s="9">
        <f>IFERROR(_xll.ciqfunctions.udf.CIQ(mh_ticker, "IQ_LASTSALEPRICE", B294), "")</f>
        <v/>
      </c>
      <c r="D294" s="10">
        <f>IFERROR(_xll.ciqfunctions.udf.CIQ(mh_ticker, "IQ_SHARESOUTSTANDING_OUT", B294), "")</f>
        <v/>
      </c>
      <c r="E294" s="11">
        <f>IFERROR(_xll.ciqfunctions.udf.CIQ(mh_ticker, "IQ_CASH_EQUIV", , B294), "")</f>
        <v/>
      </c>
      <c r="F294" s="11">
        <f>IFERROR(_xll.ciqfunctions.udf.CIQ(mh_ticker, "IQ_ST_INVEST", , B294), "")</f>
        <v/>
      </c>
      <c r="G294" s="11">
        <f>IFERROR(_xll.ciqfunctions.udf.CIQ(mh_ticker, "IQ_TOTAL_DEBT_EXCL_OPER_LEASES", , B294), "")</f>
        <v/>
      </c>
      <c r="H294" s="11">
        <f>IFERROR(_xll.ciqfunctions.udf.CIQ(mh_ticker, "IQ_PREF_EQUITY", , B294), "")</f>
        <v/>
      </c>
      <c r="I294" s="11">
        <f>IFERROR(_xll.ciqfunctions.udf.CIQ(mh_ticker, "IQ_MINORITY_INTEREST", , B294), "")</f>
        <v/>
      </c>
      <c r="J294" s="11">
        <f>IFERROR(_xll.ciqfunctions.udf.CIQ(mh_ticker, "IQ_EQUITY_METHOD", , B294), "")</f>
        <v/>
      </c>
      <c r="K294" s="11">
        <f>IFERROR(_xll.ciqfunctions.udf.CIQ(mh_ticker, "IQ_LT_Mark_Securities", , B294), "")</f>
        <v/>
      </c>
      <c r="L294" s="12">
        <f>IFERROR(C294*D294, "")</f>
        <v/>
      </c>
      <c r="M294" s="12">
        <f>IFERROR(L294-E294-F294+G294+H294+I294-J294-K294, "")</f>
        <v/>
      </c>
      <c r="N294" s="11">
        <f>IFERROR(_xll.ciqfunctions.udf.CIQ(mh_ticker, "IQ_EBITDA_EST", IQ_NTM, B294, , , "USD"), "")</f>
        <v/>
      </c>
      <c r="O294" s="13">
        <f>IFERROR(M294/N294, "")</f>
        <v/>
      </c>
    </row>
    <row r="295">
      <c r="B295" s="8" t="n"/>
      <c r="C295" s="9">
        <f>IFERROR(_xll.ciqfunctions.udf.CIQ(mh_ticker, "IQ_LASTSALEPRICE", B295), "")</f>
        <v/>
      </c>
      <c r="D295" s="10">
        <f>IFERROR(_xll.ciqfunctions.udf.CIQ(mh_ticker, "IQ_SHARESOUTSTANDING_OUT", B295), "")</f>
        <v/>
      </c>
      <c r="E295" s="11">
        <f>IFERROR(_xll.ciqfunctions.udf.CIQ(mh_ticker, "IQ_CASH_EQUIV", , B295), "")</f>
        <v/>
      </c>
      <c r="F295" s="11">
        <f>IFERROR(_xll.ciqfunctions.udf.CIQ(mh_ticker, "IQ_ST_INVEST", , B295), "")</f>
        <v/>
      </c>
      <c r="G295" s="11">
        <f>IFERROR(_xll.ciqfunctions.udf.CIQ(mh_ticker, "IQ_TOTAL_DEBT_EXCL_OPER_LEASES", , B295), "")</f>
        <v/>
      </c>
      <c r="H295" s="11">
        <f>IFERROR(_xll.ciqfunctions.udf.CIQ(mh_ticker, "IQ_PREF_EQUITY", , B295), "")</f>
        <v/>
      </c>
      <c r="I295" s="11">
        <f>IFERROR(_xll.ciqfunctions.udf.CIQ(mh_ticker, "IQ_MINORITY_INTEREST", , B295), "")</f>
        <v/>
      </c>
      <c r="J295" s="11">
        <f>IFERROR(_xll.ciqfunctions.udf.CIQ(mh_ticker, "IQ_EQUITY_METHOD", , B295), "")</f>
        <v/>
      </c>
      <c r="K295" s="11">
        <f>IFERROR(_xll.ciqfunctions.udf.CIQ(mh_ticker, "IQ_LT_Mark_Securities", , B295), "")</f>
        <v/>
      </c>
      <c r="L295" s="12">
        <f>IFERROR(C295*D295, "")</f>
        <v/>
      </c>
      <c r="M295" s="12">
        <f>IFERROR(L295-E295-F295+G295+H295+I295-J295-K295, "")</f>
        <v/>
      </c>
      <c r="N295" s="11">
        <f>IFERROR(_xll.ciqfunctions.udf.CIQ(mh_ticker, "IQ_EBITDA_EST", IQ_NTM, B295, , , "USD"), "")</f>
        <v/>
      </c>
      <c r="O295" s="13">
        <f>IFERROR(M295/N295, "")</f>
        <v/>
      </c>
    </row>
    <row r="296">
      <c r="B296" s="8" t="n"/>
      <c r="C296" s="9">
        <f>IFERROR(_xll.ciqfunctions.udf.CIQ(mh_ticker, "IQ_LASTSALEPRICE", B296), "")</f>
        <v/>
      </c>
      <c r="D296" s="10">
        <f>IFERROR(_xll.ciqfunctions.udf.CIQ(mh_ticker, "IQ_SHARESOUTSTANDING_OUT", B296), "")</f>
        <v/>
      </c>
      <c r="E296" s="11">
        <f>IFERROR(_xll.ciqfunctions.udf.CIQ(mh_ticker, "IQ_CASH_EQUIV", , B296), "")</f>
        <v/>
      </c>
      <c r="F296" s="11">
        <f>IFERROR(_xll.ciqfunctions.udf.CIQ(mh_ticker, "IQ_ST_INVEST", , B296), "")</f>
        <v/>
      </c>
      <c r="G296" s="11">
        <f>IFERROR(_xll.ciqfunctions.udf.CIQ(mh_ticker, "IQ_TOTAL_DEBT_EXCL_OPER_LEASES", , B296), "")</f>
        <v/>
      </c>
      <c r="H296" s="11">
        <f>IFERROR(_xll.ciqfunctions.udf.CIQ(mh_ticker, "IQ_PREF_EQUITY", , B296), "")</f>
        <v/>
      </c>
      <c r="I296" s="11">
        <f>IFERROR(_xll.ciqfunctions.udf.CIQ(mh_ticker, "IQ_MINORITY_INTEREST", , B296), "")</f>
        <v/>
      </c>
      <c r="J296" s="11">
        <f>IFERROR(_xll.ciqfunctions.udf.CIQ(mh_ticker, "IQ_EQUITY_METHOD", , B296), "")</f>
        <v/>
      </c>
      <c r="K296" s="11">
        <f>IFERROR(_xll.ciqfunctions.udf.CIQ(mh_ticker, "IQ_LT_Mark_Securities", , B296), "")</f>
        <v/>
      </c>
      <c r="L296" s="12">
        <f>IFERROR(C296*D296, "")</f>
        <v/>
      </c>
      <c r="M296" s="12">
        <f>IFERROR(L296-E296-F296+G296+H296+I296-J296-K296, "")</f>
        <v/>
      </c>
      <c r="N296" s="11">
        <f>IFERROR(_xll.ciqfunctions.udf.CIQ(mh_ticker, "IQ_EBITDA_EST", IQ_NTM, B296, , , "USD"), "")</f>
        <v/>
      </c>
      <c r="O296" s="13">
        <f>IFERROR(M296/N296, "")</f>
        <v/>
      </c>
    </row>
    <row r="297">
      <c r="B297" s="8" t="n"/>
      <c r="C297" s="9">
        <f>IFERROR(_xll.ciqfunctions.udf.CIQ(mh_ticker, "IQ_LASTSALEPRICE", B297), "")</f>
        <v/>
      </c>
      <c r="D297" s="10">
        <f>IFERROR(_xll.ciqfunctions.udf.CIQ(mh_ticker, "IQ_SHARESOUTSTANDING_OUT", B297), "")</f>
        <v/>
      </c>
      <c r="E297" s="11">
        <f>IFERROR(_xll.ciqfunctions.udf.CIQ(mh_ticker, "IQ_CASH_EQUIV", , B297), "")</f>
        <v/>
      </c>
      <c r="F297" s="11">
        <f>IFERROR(_xll.ciqfunctions.udf.CIQ(mh_ticker, "IQ_ST_INVEST", , B297), "")</f>
        <v/>
      </c>
      <c r="G297" s="11">
        <f>IFERROR(_xll.ciqfunctions.udf.CIQ(mh_ticker, "IQ_TOTAL_DEBT_EXCL_OPER_LEASES", , B297), "")</f>
        <v/>
      </c>
      <c r="H297" s="11">
        <f>IFERROR(_xll.ciqfunctions.udf.CIQ(mh_ticker, "IQ_PREF_EQUITY", , B297), "")</f>
        <v/>
      </c>
      <c r="I297" s="11">
        <f>IFERROR(_xll.ciqfunctions.udf.CIQ(mh_ticker, "IQ_MINORITY_INTEREST", , B297), "")</f>
        <v/>
      </c>
      <c r="J297" s="11">
        <f>IFERROR(_xll.ciqfunctions.udf.CIQ(mh_ticker, "IQ_EQUITY_METHOD", , B297), "")</f>
        <v/>
      </c>
      <c r="K297" s="11">
        <f>IFERROR(_xll.ciqfunctions.udf.CIQ(mh_ticker, "IQ_LT_Mark_Securities", , B297), "")</f>
        <v/>
      </c>
      <c r="L297" s="12">
        <f>IFERROR(C297*D297, "")</f>
        <v/>
      </c>
      <c r="M297" s="12">
        <f>IFERROR(L297-E297-F297+G297+H297+I297-J297-K297, "")</f>
        <v/>
      </c>
      <c r="N297" s="11">
        <f>IFERROR(_xll.ciqfunctions.udf.CIQ(mh_ticker, "IQ_EBITDA_EST", IQ_NTM, B297, , , "USD"), "")</f>
        <v/>
      </c>
      <c r="O297" s="13">
        <f>IFERROR(M297/N297, "")</f>
        <v/>
      </c>
    </row>
    <row r="298">
      <c r="B298" s="8" t="n"/>
      <c r="C298" s="9">
        <f>IFERROR(_xll.ciqfunctions.udf.CIQ(mh_ticker, "IQ_LASTSALEPRICE", B298), "")</f>
        <v/>
      </c>
      <c r="D298" s="10">
        <f>IFERROR(_xll.ciqfunctions.udf.CIQ(mh_ticker, "IQ_SHARESOUTSTANDING_OUT", B298), "")</f>
        <v/>
      </c>
      <c r="E298" s="11">
        <f>IFERROR(_xll.ciqfunctions.udf.CIQ(mh_ticker, "IQ_CASH_EQUIV", , B298), "")</f>
        <v/>
      </c>
      <c r="F298" s="11">
        <f>IFERROR(_xll.ciqfunctions.udf.CIQ(mh_ticker, "IQ_ST_INVEST", , B298), "")</f>
        <v/>
      </c>
      <c r="G298" s="11">
        <f>IFERROR(_xll.ciqfunctions.udf.CIQ(mh_ticker, "IQ_TOTAL_DEBT_EXCL_OPER_LEASES", , B298), "")</f>
        <v/>
      </c>
      <c r="H298" s="11">
        <f>IFERROR(_xll.ciqfunctions.udf.CIQ(mh_ticker, "IQ_PREF_EQUITY", , B298), "")</f>
        <v/>
      </c>
      <c r="I298" s="11">
        <f>IFERROR(_xll.ciqfunctions.udf.CIQ(mh_ticker, "IQ_MINORITY_INTEREST", , B298), "")</f>
        <v/>
      </c>
      <c r="J298" s="11">
        <f>IFERROR(_xll.ciqfunctions.udf.CIQ(mh_ticker, "IQ_EQUITY_METHOD", , B298), "")</f>
        <v/>
      </c>
      <c r="K298" s="11">
        <f>IFERROR(_xll.ciqfunctions.udf.CIQ(mh_ticker, "IQ_LT_Mark_Securities", , B298), "")</f>
        <v/>
      </c>
      <c r="L298" s="12">
        <f>IFERROR(C298*D298, "")</f>
        <v/>
      </c>
      <c r="M298" s="12">
        <f>IFERROR(L298-E298-F298+G298+H298+I298-J298-K298, "")</f>
        <v/>
      </c>
      <c r="N298" s="11">
        <f>IFERROR(_xll.ciqfunctions.udf.CIQ(mh_ticker, "IQ_EBITDA_EST", IQ_NTM, B298, , , "USD"), "")</f>
        <v/>
      </c>
      <c r="O298" s="13">
        <f>IFERROR(M298/N298, "")</f>
        <v/>
      </c>
    </row>
    <row r="299">
      <c r="B299" s="8" t="n"/>
      <c r="C299" s="9">
        <f>IFERROR(_xll.ciqfunctions.udf.CIQ(mh_ticker, "IQ_LASTSALEPRICE", B299), "")</f>
        <v/>
      </c>
      <c r="D299" s="10">
        <f>IFERROR(_xll.ciqfunctions.udf.CIQ(mh_ticker, "IQ_SHARESOUTSTANDING_OUT", B299), "")</f>
        <v/>
      </c>
      <c r="E299" s="11">
        <f>IFERROR(_xll.ciqfunctions.udf.CIQ(mh_ticker, "IQ_CASH_EQUIV", , B299), "")</f>
        <v/>
      </c>
      <c r="F299" s="11">
        <f>IFERROR(_xll.ciqfunctions.udf.CIQ(mh_ticker, "IQ_ST_INVEST", , B299), "")</f>
        <v/>
      </c>
      <c r="G299" s="11">
        <f>IFERROR(_xll.ciqfunctions.udf.CIQ(mh_ticker, "IQ_TOTAL_DEBT_EXCL_OPER_LEASES", , B299), "")</f>
        <v/>
      </c>
      <c r="H299" s="11">
        <f>IFERROR(_xll.ciqfunctions.udf.CIQ(mh_ticker, "IQ_PREF_EQUITY", , B299), "")</f>
        <v/>
      </c>
      <c r="I299" s="11">
        <f>IFERROR(_xll.ciqfunctions.udf.CIQ(mh_ticker, "IQ_MINORITY_INTEREST", , B299), "")</f>
        <v/>
      </c>
      <c r="J299" s="11">
        <f>IFERROR(_xll.ciqfunctions.udf.CIQ(mh_ticker, "IQ_EQUITY_METHOD", , B299), "")</f>
        <v/>
      </c>
      <c r="K299" s="11">
        <f>IFERROR(_xll.ciqfunctions.udf.CIQ(mh_ticker, "IQ_LT_Mark_Securities", , B299), "")</f>
        <v/>
      </c>
      <c r="L299" s="12">
        <f>IFERROR(C299*D299, "")</f>
        <v/>
      </c>
      <c r="M299" s="12">
        <f>IFERROR(L299-E299-F299+G299+H299+I299-J299-K299, "")</f>
        <v/>
      </c>
      <c r="N299" s="11">
        <f>IFERROR(_xll.ciqfunctions.udf.CIQ(mh_ticker, "IQ_EBITDA_EST", IQ_NTM, B299, , , "USD"), "")</f>
        <v/>
      </c>
      <c r="O299" s="13">
        <f>IFERROR(M299/N299, "")</f>
        <v/>
      </c>
    </row>
    <row r="300">
      <c r="B300" s="8" t="n"/>
      <c r="C300" s="9">
        <f>IFERROR(_xll.ciqfunctions.udf.CIQ(mh_ticker, "IQ_LASTSALEPRICE", B300), "")</f>
        <v/>
      </c>
      <c r="D300" s="10">
        <f>IFERROR(_xll.ciqfunctions.udf.CIQ(mh_ticker, "IQ_SHARESOUTSTANDING_OUT", B300), "")</f>
        <v/>
      </c>
      <c r="E300" s="11">
        <f>IFERROR(_xll.ciqfunctions.udf.CIQ(mh_ticker, "IQ_CASH_EQUIV", , B300), "")</f>
        <v/>
      </c>
      <c r="F300" s="11">
        <f>IFERROR(_xll.ciqfunctions.udf.CIQ(mh_ticker, "IQ_ST_INVEST", , B300), "")</f>
        <v/>
      </c>
      <c r="G300" s="11">
        <f>IFERROR(_xll.ciqfunctions.udf.CIQ(mh_ticker, "IQ_TOTAL_DEBT_EXCL_OPER_LEASES", , B300), "")</f>
        <v/>
      </c>
      <c r="H300" s="11">
        <f>IFERROR(_xll.ciqfunctions.udf.CIQ(mh_ticker, "IQ_PREF_EQUITY", , B300), "")</f>
        <v/>
      </c>
      <c r="I300" s="11">
        <f>IFERROR(_xll.ciqfunctions.udf.CIQ(mh_ticker, "IQ_MINORITY_INTEREST", , B300), "")</f>
        <v/>
      </c>
      <c r="J300" s="11">
        <f>IFERROR(_xll.ciqfunctions.udf.CIQ(mh_ticker, "IQ_EQUITY_METHOD", , B300), "")</f>
        <v/>
      </c>
      <c r="K300" s="11">
        <f>IFERROR(_xll.ciqfunctions.udf.CIQ(mh_ticker, "IQ_LT_Mark_Securities", , B300), "")</f>
        <v/>
      </c>
      <c r="L300" s="12">
        <f>IFERROR(C300*D300, "")</f>
        <v/>
      </c>
      <c r="M300" s="12">
        <f>IFERROR(L300-E300-F300+G300+H300+I300-J300-K300, "")</f>
        <v/>
      </c>
      <c r="N300" s="11">
        <f>IFERROR(_xll.ciqfunctions.udf.CIQ(mh_ticker, "IQ_EBITDA_EST", IQ_NTM, B300, , , "USD"), "")</f>
        <v/>
      </c>
      <c r="O300" s="13">
        <f>IFERROR(M300/N300, "")</f>
        <v/>
      </c>
    </row>
    <row r="301">
      <c r="B301" s="8" t="n"/>
      <c r="C301" s="9">
        <f>IFERROR(_xll.ciqfunctions.udf.CIQ(mh_ticker, "IQ_LASTSALEPRICE", B301), "")</f>
        <v/>
      </c>
      <c r="D301" s="10">
        <f>IFERROR(_xll.ciqfunctions.udf.CIQ(mh_ticker, "IQ_SHARESOUTSTANDING_OUT", B301), "")</f>
        <v/>
      </c>
      <c r="E301" s="11">
        <f>IFERROR(_xll.ciqfunctions.udf.CIQ(mh_ticker, "IQ_CASH_EQUIV", , B301), "")</f>
        <v/>
      </c>
      <c r="F301" s="11">
        <f>IFERROR(_xll.ciqfunctions.udf.CIQ(mh_ticker, "IQ_ST_INVEST", , B301), "")</f>
        <v/>
      </c>
      <c r="G301" s="11">
        <f>IFERROR(_xll.ciqfunctions.udf.CIQ(mh_ticker, "IQ_TOTAL_DEBT_EXCL_OPER_LEASES", , B301), "")</f>
        <v/>
      </c>
      <c r="H301" s="11">
        <f>IFERROR(_xll.ciqfunctions.udf.CIQ(mh_ticker, "IQ_PREF_EQUITY", , B301), "")</f>
        <v/>
      </c>
      <c r="I301" s="11">
        <f>IFERROR(_xll.ciqfunctions.udf.CIQ(mh_ticker, "IQ_MINORITY_INTEREST", , B301), "")</f>
        <v/>
      </c>
      <c r="J301" s="11">
        <f>IFERROR(_xll.ciqfunctions.udf.CIQ(mh_ticker, "IQ_EQUITY_METHOD", , B301), "")</f>
        <v/>
      </c>
      <c r="K301" s="11">
        <f>IFERROR(_xll.ciqfunctions.udf.CIQ(mh_ticker, "IQ_LT_Mark_Securities", , B301), "")</f>
        <v/>
      </c>
      <c r="L301" s="12">
        <f>IFERROR(C301*D301, "")</f>
        <v/>
      </c>
      <c r="M301" s="12">
        <f>IFERROR(L301-E301-F301+G301+H301+I301-J301-K301, "")</f>
        <v/>
      </c>
      <c r="N301" s="11">
        <f>IFERROR(_xll.ciqfunctions.udf.CIQ(mh_ticker, "IQ_EBITDA_EST", IQ_NTM, B301, , , "USD"), "")</f>
        <v/>
      </c>
      <c r="O301" s="13">
        <f>IFERROR(M301/N301, "")</f>
        <v/>
      </c>
    </row>
    <row r="302">
      <c r="B302" s="8" t="n"/>
      <c r="C302" s="9">
        <f>IFERROR(_xll.ciqfunctions.udf.CIQ(mh_ticker, "IQ_LASTSALEPRICE", B302), "")</f>
        <v/>
      </c>
      <c r="D302" s="10">
        <f>IFERROR(_xll.ciqfunctions.udf.CIQ(mh_ticker, "IQ_SHARESOUTSTANDING_OUT", B302), "")</f>
        <v/>
      </c>
      <c r="E302" s="11">
        <f>IFERROR(_xll.ciqfunctions.udf.CIQ(mh_ticker, "IQ_CASH_EQUIV", , B302), "")</f>
        <v/>
      </c>
      <c r="F302" s="11">
        <f>IFERROR(_xll.ciqfunctions.udf.CIQ(mh_ticker, "IQ_ST_INVEST", , B302), "")</f>
        <v/>
      </c>
      <c r="G302" s="11">
        <f>IFERROR(_xll.ciqfunctions.udf.CIQ(mh_ticker, "IQ_TOTAL_DEBT_EXCL_OPER_LEASES", , B302), "")</f>
        <v/>
      </c>
      <c r="H302" s="11">
        <f>IFERROR(_xll.ciqfunctions.udf.CIQ(mh_ticker, "IQ_PREF_EQUITY", , B302), "")</f>
        <v/>
      </c>
      <c r="I302" s="11">
        <f>IFERROR(_xll.ciqfunctions.udf.CIQ(mh_ticker, "IQ_MINORITY_INTEREST", , B302), "")</f>
        <v/>
      </c>
      <c r="J302" s="11">
        <f>IFERROR(_xll.ciqfunctions.udf.CIQ(mh_ticker, "IQ_EQUITY_METHOD", , B302), "")</f>
        <v/>
      </c>
      <c r="K302" s="11">
        <f>IFERROR(_xll.ciqfunctions.udf.CIQ(mh_ticker, "IQ_LT_Mark_Securities", , B302), "")</f>
        <v/>
      </c>
      <c r="L302" s="12">
        <f>IFERROR(C302*D302, "")</f>
        <v/>
      </c>
      <c r="M302" s="12">
        <f>IFERROR(L302-E302-F302+G302+H302+I302-J302-K302, "")</f>
        <v/>
      </c>
      <c r="N302" s="11">
        <f>IFERROR(_xll.ciqfunctions.udf.CIQ(mh_ticker, "IQ_EBITDA_EST", IQ_NTM, B302, , , "USD"), "")</f>
        <v/>
      </c>
      <c r="O302" s="13">
        <f>IFERROR(M302/N302, "")</f>
        <v/>
      </c>
    </row>
    <row r="303">
      <c r="B303" s="8" t="n"/>
      <c r="C303" s="9">
        <f>IFERROR(_xll.ciqfunctions.udf.CIQ(mh_ticker, "IQ_LASTSALEPRICE", B303), "")</f>
        <v/>
      </c>
      <c r="D303" s="10">
        <f>IFERROR(_xll.ciqfunctions.udf.CIQ(mh_ticker, "IQ_SHARESOUTSTANDING_OUT", B303), "")</f>
        <v/>
      </c>
      <c r="E303" s="11">
        <f>IFERROR(_xll.ciqfunctions.udf.CIQ(mh_ticker, "IQ_CASH_EQUIV", , B303), "")</f>
        <v/>
      </c>
      <c r="F303" s="11">
        <f>IFERROR(_xll.ciqfunctions.udf.CIQ(mh_ticker, "IQ_ST_INVEST", , B303), "")</f>
        <v/>
      </c>
      <c r="G303" s="11">
        <f>IFERROR(_xll.ciqfunctions.udf.CIQ(mh_ticker, "IQ_TOTAL_DEBT_EXCL_OPER_LEASES", , B303), "")</f>
        <v/>
      </c>
      <c r="H303" s="11">
        <f>IFERROR(_xll.ciqfunctions.udf.CIQ(mh_ticker, "IQ_PREF_EQUITY", , B303), "")</f>
        <v/>
      </c>
      <c r="I303" s="11">
        <f>IFERROR(_xll.ciqfunctions.udf.CIQ(mh_ticker, "IQ_MINORITY_INTEREST", , B303), "")</f>
        <v/>
      </c>
      <c r="J303" s="11">
        <f>IFERROR(_xll.ciqfunctions.udf.CIQ(mh_ticker, "IQ_EQUITY_METHOD", , B303), "")</f>
        <v/>
      </c>
      <c r="K303" s="11">
        <f>IFERROR(_xll.ciqfunctions.udf.CIQ(mh_ticker, "IQ_LT_Mark_Securities", , B303), "")</f>
        <v/>
      </c>
      <c r="L303" s="12">
        <f>IFERROR(C303*D303, "")</f>
        <v/>
      </c>
      <c r="M303" s="12">
        <f>IFERROR(L303-E303-F303+G303+H303+I303-J303-K303, "")</f>
        <v/>
      </c>
      <c r="N303" s="11">
        <f>IFERROR(_xll.ciqfunctions.udf.CIQ(mh_ticker, "IQ_EBITDA_EST", IQ_NTM, B303, , , "USD"), "")</f>
        <v/>
      </c>
      <c r="O303" s="13">
        <f>IFERROR(M303/N303, "")</f>
        <v/>
      </c>
    </row>
    <row r="304">
      <c r="B304" s="8" t="n"/>
      <c r="C304" s="9">
        <f>IFERROR(_xll.ciqfunctions.udf.CIQ(mh_ticker, "IQ_LASTSALEPRICE", B304), "")</f>
        <v/>
      </c>
      <c r="D304" s="10">
        <f>IFERROR(_xll.ciqfunctions.udf.CIQ(mh_ticker, "IQ_SHARESOUTSTANDING_OUT", B304), "")</f>
        <v/>
      </c>
      <c r="E304" s="11">
        <f>IFERROR(_xll.ciqfunctions.udf.CIQ(mh_ticker, "IQ_CASH_EQUIV", , B304), "")</f>
        <v/>
      </c>
      <c r="F304" s="11">
        <f>IFERROR(_xll.ciqfunctions.udf.CIQ(mh_ticker, "IQ_ST_INVEST", , B304), "")</f>
        <v/>
      </c>
      <c r="G304" s="11">
        <f>IFERROR(_xll.ciqfunctions.udf.CIQ(mh_ticker, "IQ_TOTAL_DEBT_EXCL_OPER_LEASES", , B304), "")</f>
        <v/>
      </c>
      <c r="H304" s="11">
        <f>IFERROR(_xll.ciqfunctions.udf.CIQ(mh_ticker, "IQ_PREF_EQUITY", , B304), "")</f>
        <v/>
      </c>
      <c r="I304" s="11">
        <f>IFERROR(_xll.ciqfunctions.udf.CIQ(mh_ticker, "IQ_MINORITY_INTEREST", , B304), "")</f>
        <v/>
      </c>
      <c r="J304" s="11">
        <f>IFERROR(_xll.ciqfunctions.udf.CIQ(mh_ticker, "IQ_EQUITY_METHOD", , B304), "")</f>
        <v/>
      </c>
      <c r="K304" s="11">
        <f>IFERROR(_xll.ciqfunctions.udf.CIQ(mh_ticker, "IQ_LT_Mark_Securities", , B304), "")</f>
        <v/>
      </c>
      <c r="L304" s="12">
        <f>IFERROR(C304*D304, "")</f>
        <v/>
      </c>
      <c r="M304" s="12">
        <f>IFERROR(L304-E304-F304+G304+H304+I304-J304-K304, "")</f>
        <v/>
      </c>
      <c r="N304" s="11">
        <f>IFERROR(_xll.ciqfunctions.udf.CIQ(mh_ticker, "IQ_EBITDA_EST", IQ_NTM, B304, , , "USD"), "")</f>
        <v/>
      </c>
      <c r="O304" s="13">
        <f>IFERROR(M304/N304, "")</f>
        <v/>
      </c>
    </row>
    <row r="305">
      <c r="B305" s="8" t="n"/>
      <c r="C305" s="9">
        <f>IFERROR(_xll.ciqfunctions.udf.CIQ(mh_ticker, "IQ_LASTSALEPRICE", B305), "")</f>
        <v/>
      </c>
      <c r="D305" s="10">
        <f>IFERROR(_xll.ciqfunctions.udf.CIQ(mh_ticker, "IQ_SHARESOUTSTANDING_OUT", B305), "")</f>
        <v/>
      </c>
      <c r="E305" s="11">
        <f>IFERROR(_xll.ciqfunctions.udf.CIQ(mh_ticker, "IQ_CASH_EQUIV", , B305), "")</f>
        <v/>
      </c>
      <c r="F305" s="11">
        <f>IFERROR(_xll.ciqfunctions.udf.CIQ(mh_ticker, "IQ_ST_INVEST", , B305), "")</f>
        <v/>
      </c>
      <c r="G305" s="11">
        <f>IFERROR(_xll.ciqfunctions.udf.CIQ(mh_ticker, "IQ_TOTAL_DEBT_EXCL_OPER_LEASES", , B305), "")</f>
        <v/>
      </c>
      <c r="H305" s="11">
        <f>IFERROR(_xll.ciqfunctions.udf.CIQ(mh_ticker, "IQ_PREF_EQUITY", , B305), "")</f>
        <v/>
      </c>
      <c r="I305" s="11">
        <f>IFERROR(_xll.ciqfunctions.udf.CIQ(mh_ticker, "IQ_MINORITY_INTEREST", , B305), "")</f>
        <v/>
      </c>
      <c r="J305" s="11">
        <f>IFERROR(_xll.ciqfunctions.udf.CIQ(mh_ticker, "IQ_EQUITY_METHOD", , B305), "")</f>
        <v/>
      </c>
      <c r="K305" s="11">
        <f>IFERROR(_xll.ciqfunctions.udf.CIQ(mh_ticker, "IQ_LT_Mark_Securities", , B305), "")</f>
        <v/>
      </c>
      <c r="L305" s="12">
        <f>IFERROR(C305*D305, "")</f>
        <v/>
      </c>
      <c r="M305" s="12">
        <f>IFERROR(L305-E305-F305+G305+H305+I305-J305-K305, "")</f>
        <v/>
      </c>
      <c r="N305" s="11">
        <f>IFERROR(_xll.ciqfunctions.udf.CIQ(mh_ticker, "IQ_EBITDA_EST", IQ_NTM, B305, , , "USD"), "")</f>
        <v/>
      </c>
      <c r="O305" s="13">
        <f>IFERROR(M305/N305, "")</f>
        <v/>
      </c>
    </row>
    <row r="306">
      <c r="B306" s="8" t="n"/>
      <c r="C306" s="9">
        <f>IFERROR(_xll.ciqfunctions.udf.CIQ(mh_ticker, "IQ_LASTSALEPRICE", B306), "")</f>
        <v/>
      </c>
      <c r="D306" s="10">
        <f>IFERROR(_xll.ciqfunctions.udf.CIQ(mh_ticker, "IQ_SHARESOUTSTANDING_OUT", B306), "")</f>
        <v/>
      </c>
      <c r="E306" s="11">
        <f>IFERROR(_xll.ciqfunctions.udf.CIQ(mh_ticker, "IQ_CASH_EQUIV", , B306), "")</f>
        <v/>
      </c>
      <c r="F306" s="11">
        <f>IFERROR(_xll.ciqfunctions.udf.CIQ(mh_ticker, "IQ_ST_INVEST", , B306), "")</f>
        <v/>
      </c>
      <c r="G306" s="11">
        <f>IFERROR(_xll.ciqfunctions.udf.CIQ(mh_ticker, "IQ_TOTAL_DEBT_EXCL_OPER_LEASES", , B306), "")</f>
        <v/>
      </c>
      <c r="H306" s="11">
        <f>IFERROR(_xll.ciqfunctions.udf.CIQ(mh_ticker, "IQ_PREF_EQUITY", , B306), "")</f>
        <v/>
      </c>
      <c r="I306" s="11">
        <f>IFERROR(_xll.ciqfunctions.udf.CIQ(mh_ticker, "IQ_MINORITY_INTEREST", , B306), "")</f>
        <v/>
      </c>
      <c r="J306" s="11">
        <f>IFERROR(_xll.ciqfunctions.udf.CIQ(mh_ticker, "IQ_EQUITY_METHOD", , B306), "")</f>
        <v/>
      </c>
      <c r="K306" s="11">
        <f>IFERROR(_xll.ciqfunctions.udf.CIQ(mh_ticker, "IQ_LT_Mark_Securities", , B306), "")</f>
        <v/>
      </c>
      <c r="L306" s="12">
        <f>IFERROR(C306*D306, "")</f>
        <v/>
      </c>
      <c r="M306" s="12">
        <f>IFERROR(L306-E306-F306+G306+H306+I306-J306-K306, "")</f>
        <v/>
      </c>
      <c r="N306" s="11">
        <f>IFERROR(_xll.ciqfunctions.udf.CIQ(mh_ticker, "IQ_EBITDA_EST", IQ_NTM, B306, , , "USD"), "")</f>
        <v/>
      </c>
      <c r="O306" s="13">
        <f>IFERROR(M306/N306, "")</f>
        <v/>
      </c>
    </row>
    <row r="307">
      <c r="B307" s="8" t="n"/>
      <c r="C307" s="9">
        <f>IFERROR(_xll.ciqfunctions.udf.CIQ(mh_ticker, "IQ_LASTSALEPRICE", B307), "")</f>
        <v/>
      </c>
      <c r="D307" s="10">
        <f>IFERROR(_xll.ciqfunctions.udf.CIQ(mh_ticker, "IQ_SHARESOUTSTANDING_OUT", B307), "")</f>
        <v/>
      </c>
      <c r="E307" s="11">
        <f>IFERROR(_xll.ciqfunctions.udf.CIQ(mh_ticker, "IQ_CASH_EQUIV", , B307), "")</f>
        <v/>
      </c>
      <c r="F307" s="11">
        <f>IFERROR(_xll.ciqfunctions.udf.CIQ(mh_ticker, "IQ_ST_INVEST", , B307), "")</f>
        <v/>
      </c>
      <c r="G307" s="11">
        <f>IFERROR(_xll.ciqfunctions.udf.CIQ(mh_ticker, "IQ_TOTAL_DEBT_EXCL_OPER_LEASES", , B307), "")</f>
        <v/>
      </c>
      <c r="H307" s="11">
        <f>IFERROR(_xll.ciqfunctions.udf.CIQ(mh_ticker, "IQ_PREF_EQUITY", , B307), "")</f>
        <v/>
      </c>
      <c r="I307" s="11">
        <f>IFERROR(_xll.ciqfunctions.udf.CIQ(mh_ticker, "IQ_MINORITY_INTEREST", , B307), "")</f>
        <v/>
      </c>
      <c r="J307" s="11">
        <f>IFERROR(_xll.ciqfunctions.udf.CIQ(mh_ticker, "IQ_EQUITY_METHOD", , B307), "")</f>
        <v/>
      </c>
      <c r="K307" s="11">
        <f>IFERROR(_xll.ciqfunctions.udf.CIQ(mh_ticker, "IQ_LT_Mark_Securities", , B307), "")</f>
        <v/>
      </c>
      <c r="L307" s="12">
        <f>IFERROR(C307*D307, "")</f>
        <v/>
      </c>
      <c r="M307" s="12">
        <f>IFERROR(L307-E307-F307+G307+H307+I307-J307-K307, "")</f>
        <v/>
      </c>
      <c r="N307" s="11">
        <f>IFERROR(_xll.ciqfunctions.udf.CIQ(mh_ticker, "IQ_EBITDA_EST", IQ_NTM, B307, , , "USD"), "")</f>
        <v/>
      </c>
      <c r="O307" s="13">
        <f>IFERROR(M307/N307, "")</f>
        <v/>
      </c>
    </row>
    <row r="308">
      <c r="B308" s="8" t="n"/>
      <c r="C308" s="9">
        <f>IFERROR(_xll.ciqfunctions.udf.CIQ(mh_ticker, "IQ_LASTSALEPRICE", B308), "")</f>
        <v/>
      </c>
      <c r="D308" s="10">
        <f>IFERROR(_xll.ciqfunctions.udf.CIQ(mh_ticker, "IQ_SHARESOUTSTANDING_OUT", B308), "")</f>
        <v/>
      </c>
      <c r="E308" s="11">
        <f>IFERROR(_xll.ciqfunctions.udf.CIQ(mh_ticker, "IQ_CASH_EQUIV", , B308), "")</f>
        <v/>
      </c>
      <c r="F308" s="11">
        <f>IFERROR(_xll.ciqfunctions.udf.CIQ(mh_ticker, "IQ_ST_INVEST", , B308), "")</f>
        <v/>
      </c>
      <c r="G308" s="11">
        <f>IFERROR(_xll.ciqfunctions.udf.CIQ(mh_ticker, "IQ_TOTAL_DEBT_EXCL_OPER_LEASES", , B308), "")</f>
        <v/>
      </c>
      <c r="H308" s="11">
        <f>IFERROR(_xll.ciqfunctions.udf.CIQ(mh_ticker, "IQ_PREF_EQUITY", , B308), "")</f>
        <v/>
      </c>
      <c r="I308" s="11">
        <f>IFERROR(_xll.ciqfunctions.udf.CIQ(mh_ticker, "IQ_MINORITY_INTEREST", , B308), "")</f>
        <v/>
      </c>
      <c r="J308" s="11">
        <f>IFERROR(_xll.ciqfunctions.udf.CIQ(mh_ticker, "IQ_EQUITY_METHOD", , B308), "")</f>
        <v/>
      </c>
      <c r="K308" s="11">
        <f>IFERROR(_xll.ciqfunctions.udf.CIQ(mh_ticker, "IQ_LT_Mark_Securities", , B308), "")</f>
        <v/>
      </c>
      <c r="L308" s="12">
        <f>IFERROR(C308*D308, "")</f>
        <v/>
      </c>
      <c r="M308" s="12">
        <f>IFERROR(L308-E308-F308+G308+H308+I308-J308-K308, "")</f>
        <v/>
      </c>
      <c r="N308" s="11">
        <f>IFERROR(_xll.ciqfunctions.udf.CIQ(mh_ticker, "IQ_EBITDA_EST", IQ_NTM, B308, , , "USD"), "")</f>
        <v/>
      </c>
      <c r="O308" s="13">
        <f>IFERROR(M308/N308, "")</f>
        <v/>
      </c>
    </row>
    <row r="309">
      <c r="B309" s="8" t="n"/>
      <c r="C309" s="9">
        <f>IFERROR(_xll.ciqfunctions.udf.CIQ(mh_ticker, "IQ_LASTSALEPRICE", B309), "")</f>
        <v/>
      </c>
      <c r="D309" s="10">
        <f>IFERROR(_xll.ciqfunctions.udf.CIQ(mh_ticker, "IQ_SHARESOUTSTANDING_OUT", B309), "")</f>
        <v/>
      </c>
      <c r="E309" s="11">
        <f>IFERROR(_xll.ciqfunctions.udf.CIQ(mh_ticker, "IQ_CASH_EQUIV", , B309), "")</f>
        <v/>
      </c>
      <c r="F309" s="11">
        <f>IFERROR(_xll.ciqfunctions.udf.CIQ(mh_ticker, "IQ_ST_INVEST", , B309), "")</f>
        <v/>
      </c>
      <c r="G309" s="11">
        <f>IFERROR(_xll.ciqfunctions.udf.CIQ(mh_ticker, "IQ_TOTAL_DEBT_EXCL_OPER_LEASES", , B309), "")</f>
        <v/>
      </c>
      <c r="H309" s="11">
        <f>IFERROR(_xll.ciqfunctions.udf.CIQ(mh_ticker, "IQ_PREF_EQUITY", , B309), "")</f>
        <v/>
      </c>
      <c r="I309" s="11">
        <f>IFERROR(_xll.ciqfunctions.udf.CIQ(mh_ticker, "IQ_MINORITY_INTEREST", , B309), "")</f>
        <v/>
      </c>
      <c r="J309" s="11">
        <f>IFERROR(_xll.ciqfunctions.udf.CIQ(mh_ticker, "IQ_EQUITY_METHOD", , B309), "")</f>
        <v/>
      </c>
      <c r="K309" s="11">
        <f>IFERROR(_xll.ciqfunctions.udf.CIQ(mh_ticker, "IQ_LT_Mark_Securities", , B309), "")</f>
        <v/>
      </c>
      <c r="L309" s="12">
        <f>IFERROR(C309*D309, "")</f>
        <v/>
      </c>
      <c r="M309" s="12">
        <f>IFERROR(L309-E309-F309+G309+H309+I309-J309-K309, "")</f>
        <v/>
      </c>
      <c r="N309" s="11">
        <f>IFERROR(_xll.ciqfunctions.udf.CIQ(mh_ticker, "IQ_EBITDA_EST", IQ_NTM, B309, , , "USD"), "")</f>
        <v/>
      </c>
      <c r="O309" s="13">
        <f>IFERROR(M309/N309, "")</f>
        <v/>
      </c>
    </row>
    <row r="310">
      <c r="B310" s="8" t="n"/>
      <c r="C310" s="9">
        <f>IFERROR(_xll.ciqfunctions.udf.CIQ(mh_ticker, "IQ_LASTSALEPRICE", B310), "")</f>
        <v/>
      </c>
      <c r="D310" s="10">
        <f>IFERROR(_xll.ciqfunctions.udf.CIQ(mh_ticker, "IQ_SHARESOUTSTANDING_OUT", B310), "")</f>
        <v/>
      </c>
      <c r="E310" s="11">
        <f>IFERROR(_xll.ciqfunctions.udf.CIQ(mh_ticker, "IQ_CASH_EQUIV", , B310), "")</f>
        <v/>
      </c>
      <c r="F310" s="11">
        <f>IFERROR(_xll.ciqfunctions.udf.CIQ(mh_ticker, "IQ_ST_INVEST", , B310), "")</f>
        <v/>
      </c>
      <c r="G310" s="11">
        <f>IFERROR(_xll.ciqfunctions.udf.CIQ(mh_ticker, "IQ_TOTAL_DEBT_EXCL_OPER_LEASES", , B310), "")</f>
        <v/>
      </c>
      <c r="H310" s="11">
        <f>IFERROR(_xll.ciqfunctions.udf.CIQ(mh_ticker, "IQ_PREF_EQUITY", , B310), "")</f>
        <v/>
      </c>
      <c r="I310" s="11">
        <f>IFERROR(_xll.ciqfunctions.udf.CIQ(mh_ticker, "IQ_MINORITY_INTEREST", , B310), "")</f>
        <v/>
      </c>
      <c r="J310" s="11">
        <f>IFERROR(_xll.ciqfunctions.udf.CIQ(mh_ticker, "IQ_EQUITY_METHOD", , B310), "")</f>
        <v/>
      </c>
      <c r="K310" s="11">
        <f>IFERROR(_xll.ciqfunctions.udf.CIQ(mh_ticker, "IQ_LT_Mark_Securities", , B310), "")</f>
        <v/>
      </c>
      <c r="L310" s="12">
        <f>IFERROR(C310*D310, "")</f>
        <v/>
      </c>
      <c r="M310" s="12">
        <f>IFERROR(L310-E310-F310+G310+H310+I310-J310-K310, "")</f>
        <v/>
      </c>
      <c r="N310" s="11">
        <f>IFERROR(_xll.ciqfunctions.udf.CIQ(mh_ticker, "IQ_EBITDA_EST", IQ_NTM, B310, , , "USD"), "")</f>
        <v/>
      </c>
      <c r="O310" s="13">
        <f>IFERROR(M310/N310, "")</f>
        <v/>
      </c>
    </row>
    <row r="311">
      <c r="B311" s="8" t="n"/>
      <c r="C311" s="9">
        <f>IFERROR(_xll.ciqfunctions.udf.CIQ(mh_ticker, "IQ_LASTSALEPRICE", B311), "")</f>
        <v/>
      </c>
      <c r="D311" s="10">
        <f>IFERROR(_xll.ciqfunctions.udf.CIQ(mh_ticker, "IQ_SHARESOUTSTANDING_OUT", B311), "")</f>
        <v/>
      </c>
      <c r="E311" s="11">
        <f>IFERROR(_xll.ciqfunctions.udf.CIQ(mh_ticker, "IQ_CASH_EQUIV", , B311), "")</f>
        <v/>
      </c>
      <c r="F311" s="11">
        <f>IFERROR(_xll.ciqfunctions.udf.CIQ(mh_ticker, "IQ_ST_INVEST", , B311), "")</f>
        <v/>
      </c>
      <c r="G311" s="11">
        <f>IFERROR(_xll.ciqfunctions.udf.CIQ(mh_ticker, "IQ_TOTAL_DEBT_EXCL_OPER_LEASES", , B311), "")</f>
        <v/>
      </c>
      <c r="H311" s="11">
        <f>IFERROR(_xll.ciqfunctions.udf.CIQ(mh_ticker, "IQ_PREF_EQUITY", , B311), "")</f>
        <v/>
      </c>
      <c r="I311" s="11">
        <f>IFERROR(_xll.ciqfunctions.udf.CIQ(mh_ticker, "IQ_MINORITY_INTEREST", , B311), "")</f>
        <v/>
      </c>
      <c r="J311" s="11">
        <f>IFERROR(_xll.ciqfunctions.udf.CIQ(mh_ticker, "IQ_EQUITY_METHOD", , B311), "")</f>
        <v/>
      </c>
      <c r="K311" s="11">
        <f>IFERROR(_xll.ciqfunctions.udf.CIQ(mh_ticker, "IQ_LT_Mark_Securities", , B311), "")</f>
        <v/>
      </c>
      <c r="L311" s="12">
        <f>IFERROR(C311*D311, "")</f>
        <v/>
      </c>
      <c r="M311" s="12">
        <f>IFERROR(L311-E311-F311+G311+H311+I311-J311-K311, "")</f>
        <v/>
      </c>
      <c r="N311" s="11">
        <f>IFERROR(_xll.ciqfunctions.udf.CIQ(mh_ticker, "IQ_EBITDA_EST", IQ_NTM, B311, , , "USD"), "")</f>
        <v/>
      </c>
      <c r="O311" s="13">
        <f>IFERROR(M311/N311, "")</f>
        <v/>
      </c>
    </row>
    <row r="312">
      <c r="B312" s="8" t="n"/>
      <c r="C312" s="9">
        <f>IFERROR(_xll.ciqfunctions.udf.CIQ(mh_ticker, "IQ_LASTSALEPRICE", B312), "")</f>
        <v/>
      </c>
      <c r="D312" s="10">
        <f>IFERROR(_xll.ciqfunctions.udf.CIQ(mh_ticker, "IQ_SHARESOUTSTANDING_OUT", B312), "")</f>
        <v/>
      </c>
      <c r="E312" s="11">
        <f>IFERROR(_xll.ciqfunctions.udf.CIQ(mh_ticker, "IQ_CASH_EQUIV", , B312), "")</f>
        <v/>
      </c>
      <c r="F312" s="11">
        <f>IFERROR(_xll.ciqfunctions.udf.CIQ(mh_ticker, "IQ_ST_INVEST", , B312), "")</f>
        <v/>
      </c>
      <c r="G312" s="11">
        <f>IFERROR(_xll.ciqfunctions.udf.CIQ(mh_ticker, "IQ_TOTAL_DEBT_EXCL_OPER_LEASES", , B312), "")</f>
        <v/>
      </c>
      <c r="H312" s="11">
        <f>IFERROR(_xll.ciqfunctions.udf.CIQ(mh_ticker, "IQ_PREF_EQUITY", , B312), "")</f>
        <v/>
      </c>
      <c r="I312" s="11">
        <f>IFERROR(_xll.ciqfunctions.udf.CIQ(mh_ticker, "IQ_MINORITY_INTEREST", , B312), "")</f>
        <v/>
      </c>
      <c r="J312" s="11">
        <f>IFERROR(_xll.ciqfunctions.udf.CIQ(mh_ticker, "IQ_EQUITY_METHOD", , B312), "")</f>
        <v/>
      </c>
      <c r="K312" s="11">
        <f>IFERROR(_xll.ciqfunctions.udf.CIQ(mh_ticker, "IQ_LT_Mark_Securities", , B312), "")</f>
        <v/>
      </c>
      <c r="L312" s="12">
        <f>IFERROR(C312*D312, "")</f>
        <v/>
      </c>
      <c r="M312" s="12">
        <f>IFERROR(L312-E312-F312+G312+H312+I312-J312-K312, "")</f>
        <v/>
      </c>
      <c r="N312" s="11">
        <f>IFERROR(_xll.ciqfunctions.udf.CIQ(mh_ticker, "IQ_EBITDA_EST", IQ_NTM, B312, , , "USD"), "")</f>
        <v/>
      </c>
      <c r="O312" s="13">
        <f>IFERROR(M312/N312, "")</f>
        <v/>
      </c>
    </row>
    <row r="313">
      <c r="B313" s="8" t="n"/>
      <c r="C313" s="9">
        <f>IFERROR(_xll.ciqfunctions.udf.CIQ(mh_ticker, "IQ_LASTSALEPRICE", B313), "")</f>
        <v/>
      </c>
      <c r="D313" s="10">
        <f>IFERROR(_xll.ciqfunctions.udf.CIQ(mh_ticker, "IQ_SHARESOUTSTANDING_OUT", B313), "")</f>
        <v/>
      </c>
      <c r="E313" s="11">
        <f>IFERROR(_xll.ciqfunctions.udf.CIQ(mh_ticker, "IQ_CASH_EQUIV", , B313), "")</f>
        <v/>
      </c>
      <c r="F313" s="11">
        <f>IFERROR(_xll.ciqfunctions.udf.CIQ(mh_ticker, "IQ_ST_INVEST", , B313), "")</f>
        <v/>
      </c>
      <c r="G313" s="11">
        <f>IFERROR(_xll.ciqfunctions.udf.CIQ(mh_ticker, "IQ_TOTAL_DEBT_EXCL_OPER_LEASES", , B313), "")</f>
        <v/>
      </c>
      <c r="H313" s="11">
        <f>IFERROR(_xll.ciqfunctions.udf.CIQ(mh_ticker, "IQ_PREF_EQUITY", , B313), "")</f>
        <v/>
      </c>
      <c r="I313" s="11">
        <f>IFERROR(_xll.ciqfunctions.udf.CIQ(mh_ticker, "IQ_MINORITY_INTEREST", , B313), "")</f>
        <v/>
      </c>
      <c r="J313" s="11">
        <f>IFERROR(_xll.ciqfunctions.udf.CIQ(mh_ticker, "IQ_EQUITY_METHOD", , B313), "")</f>
        <v/>
      </c>
      <c r="K313" s="11">
        <f>IFERROR(_xll.ciqfunctions.udf.CIQ(mh_ticker, "IQ_LT_Mark_Securities", , B313), "")</f>
        <v/>
      </c>
      <c r="L313" s="12">
        <f>IFERROR(C313*D313, "")</f>
        <v/>
      </c>
      <c r="M313" s="12">
        <f>IFERROR(L313-E313-F313+G313+H313+I313-J313-K313, "")</f>
        <v/>
      </c>
      <c r="N313" s="11">
        <f>IFERROR(_xll.ciqfunctions.udf.CIQ(mh_ticker, "IQ_EBITDA_EST", IQ_NTM, B313, , , "USD"), "")</f>
        <v/>
      </c>
      <c r="O313" s="13">
        <f>IFERROR(M313/N313, "")</f>
        <v/>
      </c>
    </row>
    <row r="314">
      <c r="B314" s="8" t="n"/>
      <c r="C314" s="9">
        <f>IFERROR(_xll.ciqfunctions.udf.CIQ(mh_ticker, "IQ_LASTSALEPRICE", B314), "")</f>
        <v/>
      </c>
      <c r="D314" s="10">
        <f>IFERROR(_xll.ciqfunctions.udf.CIQ(mh_ticker, "IQ_SHARESOUTSTANDING_OUT", B314), "")</f>
        <v/>
      </c>
      <c r="E314" s="11">
        <f>IFERROR(_xll.ciqfunctions.udf.CIQ(mh_ticker, "IQ_CASH_EQUIV", , B314), "")</f>
        <v/>
      </c>
      <c r="F314" s="11">
        <f>IFERROR(_xll.ciqfunctions.udf.CIQ(mh_ticker, "IQ_ST_INVEST", , B314), "")</f>
        <v/>
      </c>
      <c r="G314" s="11">
        <f>IFERROR(_xll.ciqfunctions.udf.CIQ(mh_ticker, "IQ_TOTAL_DEBT_EXCL_OPER_LEASES", , B314), "")</f>
        <v/>
      </c>
      <c r="H314" s="11">
        <f>IFERROR(_xll.ciqfunctions.udf.CIQ(mh_ticker, "IQ_PREF_EQUITY", , B314), "")</f>
        <v/>
      </c>
      <c r="I314" s="11">
        <f>IFERROR(_xll.ciqfunctions.udf.CIQ(mh_ticker, "IQ_MINORITY_INTEREST", , B314), "")</f>
        <v/>
      </c>
      <c r="J314" s="11">
        <f>IFERROR(_xll.ciqfunctions.udf.CIQ(mh_ticker, "IQ_EQUITY_METHOD", , B314), "")</f>
        <v/>
      </c>
      <c r="K314" s="11">
        <f>IFERROR(_xll.ciqfunctions.udf.CIQ(mh_ticker, "IQ_LT_Mark_Securities", , B314), "")</f>
        <v/>
      </c>
      <c r="L314" s="12">
        <f>IFERROR(C314*D314, "")</f>
        <v/>
      </c>
      <c r="M314" s="12">
        <f>IFERROR(L314-E314-F314+G314+H314+I314-J314-K314, "")</f>
        <v/>
      </c>
      <c r="N314" s="11">
        <f>IFERROR(_xll.ciqfunctions.udf.CIQ(mh_ticker, "IQ_EBITDA_EST", IQ_NTM, B314, , , "USD"), "")</f>
        <v/>
      </c>
      <c r="O314" s="13">
        <f>IFERROR(M314/N314, "")</f>
        <v/>
      </c>
    </row>
    <row r="315">
      <c r="B315" s="8" t="n"/>
      <c r="C315" s="9">
        <f>IFERROR(_xll.ciqfunctions.udf.CIQ(mh_ticker, "IQ_LASTSALEPRICE", B315), "")</f>
        <v/>
      </c>
      <c r="D315" s="10">
        <f>IFERROR(_xll.ciqfunctions.udf.CIQ(mh_ticker, "IQ_SHARESOUTSTANDING_OUT", B315), "")</f>
        <v/>
      </c>
      <c r="E315" s="11">
        <f>IFERROR(_xll.ciqfunctions.udf.CIQ(mh_ticker, "IQ_CASH_EQUIV", , B315), "")</f>
        <v/>
      </c>
      <c r="F315" s="11">
        <f>IFERROR(_xll.ciqfunctions.udf.CIQ(mh_ticker, "IQ_ST_INVEST", , B315), "")</f>
        <v/>
      </c>
      <c r="G315" s="11">
        <f>IFERROR(_xll.ciqfunctions.udf.CIQ(mh_ticker, "IQ_TOTAL_DEBT_EXCL_OPER_LEASES", , B315), "")</f>
        <v/>
      </c>
      <c r="H315" s="11">
        <f>IFERROR(_xll.ciqfunctions.udf.CIQ(mh_ticker, "IQ_PREF_EQUITY", , B315), "")</f>
        <v/>
      </c>
      <c r="I315" s="11">
        <f>IFERROR(_xll.ciqfunctions.udf.CIQ(mh_ticker, "IQ_MINORITY_INTEREST", , B315), "")</f>
        <v/>
      </c>
      <c r="J315" s="11">
        <f>IFERROR(_xll.ciqfunctions.udf.CIQ(mh_ticker, "IQ_EQUITY_METHOD", , B315), "")</f>
        <v/>
      </c>
      <c r="K315" s="11">
        <f>IFERROR(_xll.ciqfunctions.udf.CIQ(mh_ticker, "IQ_LT_Mark_Securities", , B315), "")</f>
        <v/>
      </c>
      <c r="L315" s="12">
        <f>IFERROR(C315*D315, "")</f>
        <v/>
      </c>
      <c r="M315" s="12">
        <f>IFERROR(L315-E315-F315+G315+H315+I315-J315-K315, "")</f>
        <v/>
      </c>
      <c r="N315" s="11">
        <f>IFERROR(_xll.ciqfunctions.udf.CIQ(mh_ticker, "IQ_EBITDA_EST", IQ_NTM, B315, , , "USD"), "")</f>
        <v/>
      </c>
      <c r="O315" s="13">
        <f>IFERROR(M315/N315, "")</f>
        <v/>
      </c>
    </row>
    <row r="316">
      <c r="B316" s="8" t="n"/>
      <c r="C316" s="9">
        <f>IFERROR(_xll.ciqfunctions.udf.CIQ(mh_ticker, "IQ_LASTSALEPRICE", B316), "")</f>
        <v/>
      </c>
      <c r="D316" s="10">
        <f>IFERROR(_xll.ciqfunctions.udf.CIQ(mh_ticker, "IQ_SHARESOUTSTANDING_OUT", B316), "")</f>
        <v/>
      </c>
      <c r="E316" s="11">
        <f>IFERROR(_xll.ciqfunctions.udf.CIQ(mh_ticker, "IQ_CASH_EQUIV", , B316), "")</f>
        <v/>
      </c>
      <c r="F316" s="11">
        <f>IFERROR(_xll.ciqfunctions.udf.CIQ(mh_ticker, "IQ_ST_INVEST", , B316), "")</f>
        <v/>
      </c>
      <c r="G316" s="11">
        <f>IFERROR(_xll.ciqfunctions.udf.CIQ(mh_ticker, "IQ_TOTAL_DEBT_EXCL_OPER_LEASES", , B316), "")</f>
        <v/>
      </c>
      <c r="H316" s="11">
        <f>IFERROR(_xll.ciqfunctions.udf.CIQ(mh_ticker, "IQ_PREF_EQUITY", , B316), "")</f>
        <v/>
      </c>
      <c r="I316" s="11">
        <f>IFERROR(_xll.ciqfunctions.udf.CIQ(mh_ticker, "IQ_MINORITY_INTEREST", , B316), "")</f>
        <v/>
      </c>
      <c r="J316" s="11">
        <f>IFERROR(_xll.ciqfunctions.udf.CIQ(mh_ticker, "IQ_EQUITY_METHOD", , B316), "")</f>
        <v/>
      </c>
      <c r="K316" s="11">
        <f>IFERROR(_xll.ciqfunctions.udf.CIQ(mh_ticker, "IQ_LT_Mark_Securities", , B316), "")</f>
        <v/>
      </c>
      <c r="L316" s="12">
        <f>IFERROR(C316*D316, "")</f>
        <v/>
      </c>
      <c r="M316" s="12">
        <f>IFERROR(L316-E316-F316+G316+H316+I316-J316-K316, "")</f>
        <v/>
      </c>
      <c r="N316" s="11">
        <f>IFERROR(_xll.ciqfunctions.udf.CIQ(mh_ticker, "IQ_EBITDA_EST", IQ_NTM, B316, , , "USD"), "")</f>
        <v/>
      </c>
      <c r="O316" s="13">
        <f>IFERROR(M316/N316, "")</f>
        <v/>
      </c>
    </row>
    <row r="317">
      <c r="B317" s="8" t="n"/>
      <c r="C317" s="9">
        <f>IFERROR(_xll.ciqfunctions.udf.CIQ(mh_ticker, "IQ_LASTSALEPRICE", B317), "")</f>
        <v/>
      </c>
      <c r="D317" s="10">
        <f>IFERROR(_xll.ciqfunctions.udf.CIQ(mh_ticker, "IQ_SHARESOUTSTANDING_OUT", B317), "")</f>
        <v/>
      </c>
      <c r="E317" s="11">
        <f>IFERROR(_xll.ciqfunctions.udf.CIQ(mh_ticker, "IQ_CASH_EQUIV", , B317), "")</f>
        <v/>
      </c>
      <c r="F317" s="11">
        <f>IFERROR(_xll.ciqfunctions.udf.CIQ(mh_ticker, "IQ_ST_INVEST", , B317), "")</f>
        <v/>
      </c>
      <c r="G317" s="11">
        <f>IFERROR(_xll.ciqfunctions.udf.CIQ(mh_ticker, "IQ_TOTAL_DEBT_EXCL_OPER_LEASES", , B317), "")</f>
        <v/>
      </c>
      <c r="H317" s="11">
        <f>IFERROR(_xll.ciqfunctions.udf.CIQ(mh_ticker, "IQ_PREF_EQUITY", , B317), "")</f>
        <v/>
      </c>
      <c r="I317" s="11">
        <f>IFERROR(_xll.ciqfunctions.udf.CIQ(mh_ticker, "IQ_MINORITY_INTEREST", , B317), "")</f>
        <v/>
      </c>
      <c r="J317" s="11">
        <f>IFERROR(_xll.ciqfunctions.udf.CIQ(mh_ticker, "IQ_EQUITY_METHOD", , B317), "")</f>
        <v/>
      </c>
      <c r="K317" s="11">
        <f>IFERROR(_xll.ciqfunctions.udf.CIQ(mh_ticker, "IQ_LT_Mark_Securities", , B317), "")</f>
        <v/>
      </c>
      <c r="L317" s="12">
        <f>IFERROR(C317*D317, "")</f>
        <v/>
      </c>
      <c r="M317" s="12">
        <f>IFERROR(L317-E317-F317+G317+H317+I317-J317-K317, "")</f>
        <v/>
      </c>
      <c r="N317" s="11">
        <f>IFERROR(_xll.ciqfunctions.udf.CIQ(mh_ticker, "IQ_EBITDA_EST", IQ_NTM, B317, , , "USD"), "")</f>
        <v/>
      </c>
      <c r="O317" s="13">
        <f>IFERROR(M317/N317, "")</f>
        <v/>
      </c>
    </row>
    <row r="318">
      <c r="B318" s="8" t="n"/>
      <c r="C318" s="9">
        <f>IFERROR(_xll.ciqfunctions.udf.CIQ(mh_ticker, "IQ_LASTSALEPRICE", B318), "")</f>
        <v/>
      </c>
      <c r="D318" s="10">
        <f>IFERROR(_xll.ciqfunctions.udf.CIQ(mh_ticker, "IQ_SHARESOUTSTANDING_OUT", B318), "")</f>
        <v/>
      </c>
      <c r="E318" s="11">
        <f>IFERROR(_xll.ciqfunctions.udf.CIQ(mh_ticker, "IQ_CASH_EQUIV", , B318), "")</f>
        <v/>
      </c>
      <c r="F318" s="11">
        <f>IFERROR(_xll.ciqfunctions.udf.CIQ(mh_ticker, "IQ_ST_INVEST", , B318), "")</f>
        <v/>
      </c>
      <c r="G318" s="11">
        <f>IFERROR(_xll.ciqfunctions.udf.CIQ(mh_ticker, "IQ_TOTAL_DEBT_EXCL_OPER_LEASES", , B318), "")</f>
        <v/>
      </c>
      <c r="H318" s="11">
        <f>IFERROR(_xll.ciqfunctions.udf.CIQ(mh_ticker, "IQ_PREF_EQUITY", , B318), "")</f>
        <v/>
      </c>
      <c r="I318" s="11">
        <f>IFERROR(_xll.ciqfunctions.udf.CIQ(mh_ticker, "IQ_MINORITY_INTEREST", , B318), "")</f>
        <v/>
      </c>
      <c r="J318" s="11">
        <f>IFERROR(_xll.ciqfunctions.udf.CIQ(mh_ticker, "IQ_EQUITY_METHOD", , B318), "")</f>
        <v/>
      </c>
      <c r="K318" s="11">
        <f>IFERROR(_xll.ciqfunctions.udf.CIQ(mh_ticker, "IQ_LT_Mark_Securities", , B318), "")</f>
        <v/>
      </c>
      <c r="L318" s="12">
        <f>IFERROR(C318*D318, "")</f>
        <v/>
      </c>
      <c r="M318" s="12">
        <f>IFERROR(L318-E318-F318+G318+H318+I318-J318-K318, "")</f>
        <v/>
      </c>
      <c r="N318" s="11">
        <f>IFERROR(_xll.ciqfunctions.udf.CIQ(mh_ticker, "IQ_EBITDA_EST", IQ_NTM, B318, , , "USD"), "")</f>
        <v/>
      </c>
      <c r="O318" s="13">
        <f>IFERROR(M318/N318, "")</f>
        <v/>
      </c>
    </row>
    <row r="319">
      <c r="B319" s="8" t="n"/>
      <c r="C319" s="9">
        <f>IFERROR(_xll.ciqfunctions.udf.CIQ(mh_ticker, "IQ_LASTSALEPRICE", B319), "")</f>
        <v/>
      </c>
      <c r="D319" s="10">
        <f>IFERROR(_xll.ciqfunctions.udf.CIQ(mh_ticker, "IQ_SHARESOUTSTANDING_OUT", B319), "")</f>
        <v/>
      </c>
      <c r="E319" s="11">
        <f>IFERROR(_xll.ciqfunctions.udf.CIQ(mh_ticker, "IQ_CASH_EQUIV", , B319), "")</f>
        <v/>
      </c>
      <c r="F319" s="11">
        <f>IFERROR(_xll.ciqfunctions.udf.CIQ(mh_ticker, "IQ_ST_INVEST", , B319), "")</f>
        <v/>
      </c>
      <c r="G319" s="11">
        <f>IFERROR(_xll.ciqfunctions.udf.CIQ(mh_ticker, "IQ_TOTAL_DEBT_EXCL_OPER_LEASES", , B319), "")</f>
        <v/>
      </c>
      <c r="H319" s="11">
        <f>IFERROR(_xll.ciqfunctions.udf.CIQ(mh_ticker, "IQ_PREF_EQUITY", , B319), "")</f>
        <v/>
      </c>
      <c r="I319" s="11">
        <f>IFERROR(_xll.ciqfunctions.udf.CIQ(mh_ticker, "IQ_MINORITY_INTEREST", , B319), "")</f>
        <v/>
      </c>
      <c r="J319" s="11">
        <f>IFERROR(_xll.ciqfunctions.udf.CIQ(mh_ticker, "IQ_EQUITY_METHOD", , B319), "")</f>
        <v/>
      </c>
      <c r="K319" s="11">
        <f>IFERROR(_xll.ciqfunctions.udf.CIQ(mh_ticker, "IQ_LT_Mark_Securities", , B319), "")</f>
        <v/>
      </c>
      <c r="L319" s="12">
        <f>IFERROR(C319*D319, "")</f>
        <v/>
      </c>
      <c r="M319" s="12">
        <f>IFERROR(L319-E319-F319+G319+H319+I319-J319-K319, "")</f>
        <v/>
      </c>
      <c r="N319" s="11">
        <f>IFERROR(_xll.ciqfunctions.udf.CIQ(mh_ticker, "IQ_EBITDA_EST", IQ_NTM, B319, , , "USD"), "")</f>
        <v/>
      </c>
      <c r="O319" s="13">
        <f>IFERROR(M319/N319, "")</f>
        <v/>
      </c>
    </row>
    <row r="320">
      <c r="B320" s="8" t="n"/>
      <c r="C320" s="9">
        <f>IFERROR(_xll.ciqfunctions.udf.CIQ(mh_ticker, "IQ_LASTSALEPRICE", B320), "")</f>
        <v/>
      </c>
      <c r="D320" s="10">
        <f>IFERROR(_xll.ciqfunctions.udf.CIQ(mh_ticker, "IQ_SHARESOUTSTANDING_OUT", B320), "")</f>
        <v/>
      </c>
      <c r="E320" s="11">
        <f>IFERROR(_xll.ciqfunctions.udf.CIQ(mh_ticker, "IQ_CASH_EQUIV", , B320), "")</f>
        <v/>
      </c>
      <c r="F320" s="11">
        <f>IFERROR(_xll.ciqfunctions.udf.CIQ(mh_ticker, "IQ_ST_INVEST", , B320), "")</f>
        <v/>
      </c>
      <c r="G320" s="11">
        <f>IFERROR(_xll.ciqfunctions.udf.CIQ(mh_ticker, "IQ_TOTAL_DEBT_EXCL_OPER_LEASES", , B320), "")</f>
        <v/>
      </c>
      <c r="H320" s="11">
        <f>IFERROR(_xll.ciqfunctions.udf.CIQ(mh_ticker, "IQ_PREF_EQUITY", , B320), "")</f>
        <v/>
      </c>
      <c r="I320" s="11">
        <f>IFERROR(_xll.ciqfunctions.udf.CIQ(mh_ticker, "IQ_MINORITY_INTEREST", , B320), "")</f>
        <v/>
      </c>
      <c r="J320" s="11">
        <f>IFERROR(_xll.ciqfunctions.udf.CIQ(mh_ticker, "IQ_EQUITY_METHOD", , B320), "")</f>
        <v/>
      </c>
      <c r="K320" s="11">
        <f>IFERROR(_xll.ciqfunctions.udf.CIQ(mh_ticker, "IQ_LT_Mark_Securities", , B320), "")</f>
        <v/>
      </c>
      <c r="L320" s="12">
        <f>IFERROR(C320*D320, "")</f>
        <v/>
      </c>
      <c r="M320" s="12">
        <f>IFERROR(L320-E320-F320+G320+H320+I320-J320-K320, "")</f>
        <v/>
      </c>
      <c r="N320" s="11">
        <f>IFERROR(_xll.ciqfunctions.udf.CIQ(mh_ticker, "IQ_EBITDA_EST", IQ_NTM, B320, , , "USD"), "")</f>
        <v/>
      </c>
      <c r="O320" s="13">
        <f>IFERROR(M320/N320, "")</f>
        <v/>
      </c>
    </row>
    <row r="321">
      <c r="B321" s="8" t="n"/>
      <c r="C321" s="9">
        <f>IFERROR(_xll.ciqfunctions.udf.CIQ(mh_ticker, "IQ_LASTSALEPRICE", B321), "")</f>
        <v/>
      </c>
      <c r="D321" s="10">
        <f>IFERROR(_xll.ciqfunctions.udf.CIQ(mh_ticker, "IQ_SHARESOUTSTANDING_OUT", B321), "")</f>
        <v/>
      </c>
      <c r="E321" s="11">
        <f>IFERROR(_xll.ciqfunctions.udf.CIQ(mh_ticker, "IQ_CASH_EQUIV", , B321), "")</f>
        <v/>
      </c>
      <c r="F321" s="11">
        <f>IFERROR(_xll.ciqfunctions.udf.CIQ(mh_ticker, "IQ_ST_INVEST", , B321), "")</f>
        <v/>
      </c>
      <c r="G321" s="11">
        <f>IFERROR(_xll.ciqfunctions.udf.CIQ(mh_ticker, "IQ_TOTAL_DEBT_EXCL_OPER_LEASES", , B321), "")</f>
        <v/>
      </c>
      <c r="H321" s="11">
        <f>IFERROR(_xll.ciqfunctions.udf.CIQ(mh_ticker, "IQ_PREF_EQUITY", , B321), "")</f>
        <v/>
      </c>
      <c r="I321" s="11">
        <f>IFERROR(_xll.ciqfunctions.udf.CIQ(mh_ticker, "IQ_MINORITY_INTEREST", , B321), "")</f>
        <v/>
      </c>
      <c r="J321" s="11">
        <f>IFERROR(_xll.ciqfunctions.udf.CIQ(mh_ticker, "IQ_EQUITY_METHOD", , B321), "")</f>
        <v/>
      </c>
      <c r="K321" s="11">
        <f>IFERROR(_xll.ciqfunctions.udf.CIQ(mh_ticker, "IQ_LT_Mark_Securities", , B321), "")</f>
        <v/>
      </c>
      <c r="L321" s="12">
        <f>IFERROR(C321*D321, "")</f>
        <v/>
      </c>
      <c r="M321" s="12">
        <f>IFERROR(L321-E321-F321+G321+H321+I321-J321-K321, "")</f>
        <v/>
      </c>
      <c r="N321" s="11">
        <f>IFERROR(_xll.ciqfunctions.udf.CIQ(mh_ticker, "IQ_EBITDA_EST", IQ_NTM, B321, , , "USD"), "")</f>
        <v/>
      </c>
      <c r="O321" s="13">
        <f>IFERROR(M321/N321, "")</f>
        <v/>
      </c>
    </row>
    <row r="322">
      <c r="B322" s="8" t="n"/>
      <c r="C322" s="9">
        <f>IFERROR(_xll.ciqfunctions.udf.CIQ(mh_ticker, "IQ_LASTSALEPRICE", B322), "")</f>
        <v/>
      </c>
      <c r="D322" s="10">
        <f>IFERROR(_xll.ciqfunctions.udf.CIQ(mh_ticker, "IQ_SHARESOUTSTANDING_OUT", B322), "")</f>
        <v/>
      </c>
      <c r="E322" s="11">
        <f>IFERROR(_xll.ciqfunctions.udf.CIQ(mh_ticker, "IQ_CASH_EQUIV", , B322), "")</f>
        <v/>
      </c>
      <c r="F322" s="11">
        <f>IFERROR(_xll.ciqfunctions.udf.CIQ(mh_ticker, "IQ_ST_INVEST", , B322), "")</f>
        <v/>
      </c>
      <c r="G322" s="11">
        <f>IFERROR(_xll.ciqfunctions.udf.CIQ(mh_ticker, "IQ_TOTAL_DEBT_EXCL_OPER_LEASES", , B322), "")</f>
        <v/>
      </c>
      <c r="H322" s="11">
        <f>IFERROR(_xll.ciqfunctions.udf.CIQ(mh_ticker, "IQ_PREF_EQUITY", , B322), "")</f>
        <v/>
      </c>
      <c r="I322" s="11">
        <f>IFERROR(_xll.ciqfunctions.udf.CIQ(mh_ticker, "IQ_MINORITY_INTEREST", , B322), "")</f>
        <v/>
      </c>
      <c r="J322" s="11">
        <f>IFERROR(_xll.ciqfunctions.udf.CIQ(mh_ticker, "IQ_EQUITY_METHOD", , B322), "")</f>
        <v/>
      </c>
      <c r="K322" s="11">
        <f>IFERROR(_xll.ciqfunctions.udf.CIQ(mh_ticker, "IQ_LT_Mark_Securities", , B322), "")</f>
        <v/>
      </c>
      <c r="L322" s="12">
        <f>IFERROR(C322*D322, "")</f>
        <v/>
      </c>
      <c r="M322" s="12">
        <f>IFERROR(L322-E322-F322+G322+H322+I322-J322-K322, "")</f>
        <v/>
      </c>
      <c r="N322" s="11">
        <f>IFERROR(_xll.ciqfunctions.udf.CIQ(mh_ticker, "IQ_EBITDA_EST", IQ_NTM, B322, , , "USD"), "")</f>
        <v/>
      </c>
      <c r="O322" s="13">
        <f>IFERROR(M322/N322, "")</f>
        <v/>
      </c>
    </row>
    <row r="323">
      <c r="B323" s="8" t="n"/>
      <c r="C323" s="9">
        <f>IFERROR(_xll.ciqfunctions.udf.CIQ(mh_ticker, "IQ_LASTSALEPRICE", B323), "")</f>
        <v/>
      </c>
      <c r="D323" s="10">
        <f>IFERROR(_xll.ciqfunctions.udf.CIQ(mh_ticker, "IQ_SHARESOUTSTANDING_OUT", B323), "")</f>
        <v/>
      </c>
      <c r="E323" s="11">
        <f>IFERROR(_xll.ciqfunctions.udf.CIQ(mh_ticker, "IQ_CASH_EQUIV", , B323), "")</f>
        <v/>
      </c>
      <c r="F323" s="11">
        <f>IFERROR(_xll.ciqfunctions.udf.CIQ(mh_ticker, "IQ_ST_INVEST", , B323), "")</f>
        <v/>
      </c>
      <c r="G323" s="11">
        <f>IFERROR(_xll.ciqfunctions.udf.CIQ(mh_ticker, "IQ_TOTAL_DEBT_EXCL_OPER_LEASES", , B323), "")</f>
        <v/>
      </c>
      <c r="H323" s="11">
        <f>IFERROR(_xll.ciqfunctions.udf.CIQ(mh_ticker, "IQ_PREF_EQUITY", , B323), "")</f>
        <v/>
      </c>
      <c r="I323" s="11">
        <f>IFERROR(_xll.ciqfunctions.udf.CIQ(mh_ticker, "IQ_MINORITY_INTEREST", , B323), "")</f>
        <v/>
      </c>
      <c r="J323" s="11">
        <f>IFERROR(_xll.ciqfunctions.udf.CIQ(mh_ticker, "IQ_EQUITY_METHOD", , B323), "")</f>
        <v/>
      </c>
      <c r="K323" s="11">
        <f>IFERROR(_xll.ciqfunctions.udf.CIQ(mh_ticker, "IQ_LT_Mark_Securities", , B323), "")</f>
        <v/>
      </c>
      <c r="L323" s="12">
        <f>IFERROR(C323*D323, "")</f>
        <v/>
      </c>
      <c r="M323" s="12">
        <f>IFERROR(L323-E323-F323+G323+H323+I323-J323-K323, "")</f>
        <v/>
      </c>
      <c r="N323" s="11">
        <f>IFERROR(_xll.ciqfunctions.udf.CIQ(mh_ticker, "IQ_EBITDA_EST", IQ_NTM, B323, , , "USD"), "")</f>
        <v/>
      </c>
      <c r="O323" s="13">
        <f>IFERROR(M323/N323, "")</f>
        <v/>
      </c>
    </row>
    <row r="324">
      <c r="B324" s="8" t="n"/>
      <c r="C324" s="9">
        <f>IFERROR(_xll.ciqfunctions.udf.CIQ(mh_ticker, "IQ_LASTSALEPRICE", B324), "")</f>
        <v/>
      </c>
      <c r="D324" s="10">
        <f>IFERROR(_xll.ciqfunctions.udf.CIQ(mh_ticker, "IQ_SHARESOUTSTANDING_OUT", B324), "")</f>
        <v/>
      </c>
      <c r="E324" s="11">
        <f>IFERROR(_xll.ciqfunctions.udf.CIQ(mh_ticker, "IQ_CASH_EQUIV", , B324), "")</f>
        <v/>
      </c>
      <c r="F324" s="11">
        <f>IFERROR(_xll.ciqfunctions.udf.CIQ(mh_ticker, "IQ_ST_INVEST", , B324), "")</f>
        <v/>
      </c>
      <c r="G324" s="11">
        <f>IFERROR(_xll.ciqfunctions.udf.CIQ(mh_ticker, "IQ_TOTAL_DEBT_EXCL_OPER_LEASES", , B324), "")</f>
        <v/>
      </c>
      <c r="H324" s="11">
        <f>IFERROR(_xll.ciqfunctions.udf.CIQ(mh_ticker, "IQ_PREF_EQUITY", , B324), "")</f>
        <v/>
      </c>
      <c r="I324" s="11">
        <f>IFERROR(_xll.ciqfunctions.udf.CIQ(mh_ticker, "IQ_MINORITY_INTEREST", , B324), "")</f>
        <v/>
      </c>
      <c r="J324" s="11">
        <f>IFERROR(_xll.ciqfunctions.udf.CIQ(mh_ticker, "IQ_EQUITY_METHOD", , B324), "")</f>
        <v/>
      </c>
      <c r="K324" s="11">
        <f>IFERROR(_xll.ciqfunctions.udf.CIQ(mh_ticker, "IQ_LT_Mark_Securities", , B324), "")</f>
        <v/>
      </c>
      <c r="L324" s="12">
        <f>IFERROR(C324*D324, "")</f>
        <v/>
      </c>
      <c r="M324" s="12">
        <f>IFERROR(L324-E324-F324+G324+H324+I324-J324-K324, "")</f>
        <v/>
      </c>
      <c r="N324" s="11">
        <f>IFERROR(_xll.ciqfunctions.udf.CIQ(mh_ticker, "IQ_EBITDA_EST", IQ_NTM, B324, , , "USD"), "")</f>
        <v/>
      </c>
      <c r="O324" s="13">
        <f>IFERROR(M324/N324, "")</f>
        <v/>
      </c>
    </row>
    <row r="325">
      <c r="B325" s="8" t="n"/>
      <c r="C325" s="9">
        <f>IFERROR(_xll.ciqfunctions.udf.CIQ(mh_ticker, "IQ_LASTSALEPRICE", B325), "")</f>
        <v/>
      </c>
      <c r="D325" s="10">
        <f>IFERROR(_xll.ciqfunctions.udf.CIQ(mh_ticker, "IQ_SHARESOUTSTANDING_OUT", B325), "")</f>
        <v/>
      </c>
      <c r="E325" s="11">
        <f>IFERROR(_xll.ciqfunctions.udf.CIQ(mh_ticker, "IQ_CASH_EQUIV", , B325), "")</f>
        <v/>
      </c>
      <c r="F325" s="11">
        <f>IFERROR(_xll.ciqfunctions.udf.CIQ(mh_ticker, "IQ_ST_INVEST", , B325), "")</f>
        <v/>
      </c>
      <c r="G325" s="11">
        <f>IFERROR(_xll.ciqfunctions.udf.CIQ(mh_ticker, "IQ_TOTAL_DEBT_EXCL_OPER_LEASES", , B325), "")</f>
        <v/>
      </c>
      <c r="H325" s="11">
        <f>IFERROR(_xll.ciqfunctions.udf.CIQ(mh_ticker, "IQ_PREF_EQUITY", , B325), "")</f>
        <v/>
      </c>
      <c r="I325" s="11">
        <f>IFERROR(_xll.ciqfunctions.udf.CIQ(mh_ticker, "IQ_MINORITY_INTEREST", , B325), "")</f>
        <v/>
      </c>
      <c r="J325" s="11">
        <f>IFERROR(_xll.ciqfunctions.udf.CIQ(mh_ticker, "IQ_EQUITY_METHOD", , B325), "")</f>
        <v/>
      </c>
      <c r="K325" s="11">
        <f>IFERROR(_xll.ciqfunctions.udf.CIQ(mh_ticker, "IQ_LT_Mark_Securities", , B325), "")</f>
        <v/>
      </c>
      <c r="L325" s="12">
        <f>IFERROR(C325*D325, "")</f>
        <v/>
      </c>
      <c r="M325" s="12">
        <f>IFERROR(L325-E325-F325+G325+H325+I325-J325-K325, "")</f>
        <v/>
      </c>
      <c r="N325" s="11">
        <f>IFERROR(_xll.ciqfunctions.udf.CIQ(mh_ticker, "IQ_EBITDA_EST", IQ_NTM, B325, , , "USD"), "")</f>
        <v/>
      </c>
      <c r="O325" s="13">
        <f>IFERROR(M325/N325, "")</f>
        <v/>
      </c>
    </row>
    <row r="326">
      <c r="B326" s="8" t="n"/>
      <c r="C326" s="9">
        <f>IFERROR(_xll.ciqfunctions.udf.CIQ(mh_ticker, "IQ_LASTSALEPRICE", B326), "")</f>
        <v/>
      </c>
      <c r="D326" s="10">
        <f>IFERROR(_xll.ciqfunctions.udf.CIQ(mh_ticker, "IQ_SHARESOUTSTANDING_OUT", B326), "")</f>
        <v/>
      </c>
      <c r="E326" s="11">
        <f>IFERROR(_xll.ciqfunctions.udf.CIQ(mh_ticker, "IQ_CASH_EQUIV", , B326), "")</f>
        <v/>
      </c>
      <c r="F326" s="11">
        <f>IFERROR(_xll.ciqfunctions.udf.CIQ(mh_ticker, "IQ_ST_INVEST", , B326), "")</f>
        <v/>
      </c>
      <c r="G326" s="11">
        <f>IFERROR(_xll.ciqfunctions.udf.CIQ(mh_ticker, "IQ_TOTAL_DEBT_EXCL_OPER_LEASES", , B326), "")</f>
        <v/>
      </c>
      <c r="H326" s="11">
        <f>IFERROR(_xll.ciqfunctions.udf.CIQ(mh_ticker, "IQ_PREF_EQUITY", , B326), "")</f>
        <v/>
      </c>
      <c r="I326" s="11">
        <f>IFERROR(_xll.ciqfunctions.udf.CIQ(mh_ticker, "IQ_MINORITY_INTEREST", , B326), "")</f>
        <v/>
      </c>
      <c r="J326" s="11">
        <f>IFERROR(_xll.ciqfunctions.udf.CIQ(mh_ticker, "IQ_EQUITY_METHOD", , B326), "")</f>
        <v/>
      </c>
      <c r="K326" s="11">
        <f>IFERROR(_xll.ciqfunctions.udf.CIQ(mh_ticker, "IQ_LT_Mark_Securities", , B326), "")</f>
        <v/>
      </c>
      <c r="L326" s="12">
        <f>IFERROR(C326*D326, "")</f>
        <v/>
      </c>
      <c r="M326" s="12">
        <f>IFERROR(L326-E326-F326+G326+H326+I326-J326-K326, "")</f>
        <v/>
      </c>
      <c r="N326" s="11">
        <f>IFERROR(_xll.ciqfunctions.udf.CIQ(mh_ticker, "IQ_EBITDA_EST", IQ_NTM, B326, , , "USD"), "")</f>
        <v/>
      </c>
      <c r="O326" s="13">
        <f>IFERROR(M326/N326, "")</f>
        <v/>
      </c>
    </row>
    <row r="327">
      <c r="B327" s="8" t="n"/>
      <c r="C327" s="9">
        <f>IFERROR(_xll.ciqfunctions.udf.CIQ(mh_ticker, "IQ_LASTSALEPRICE", B327), "")</f>
        <v/>
      </c>
      <c r="D327" s="10">
        <f>IFERROR(_xll.ciqfunctions.udf.CIQ(mh_ticker, "IQ_SHARESOUTSTANDING_OUT", B327), "")</f>
        <v/>
      </c>
      <c r="E327" s="11">
        <f>IFERROR(_xll.ciqfunctions.udf.CIQ(mh_ticker, "IQ_CASH_EQUIV", , B327), "")</f>
        <v/>
      </c>
      <c r="F327" s="11">
        <f>IFERROR(_xll.ciqfunctions.udf.CIQ(mh_ticker, "IQ_ST_INVEST", , B327), "")</f>
        <v/>
      </c>
      <c r="G327" s="11">
        <f>IFERROR(_xll.ciqfunctions.udf.CIQ(mh_ticker, "IQ_TOTAL_DEBT_EXCL_OPER_LEASES", , B327), "")</f>
        <v/>
      </c>
      <c r="H327" s="11">
        <f>IFERROR(_xll.ciqfunctions.udf.CIQ(mh_ticker, "IQ_PREF_EQUITY", , B327), "")</f>
        <v/>
      </c>
      <c r="I327" s="11">
        <f>IFERROR(_xll.ciqfunctions.udf.CIQ(mh_ticker, "IQ_MINORITY_INTEREST", , B327), "")</f>
        <v/>
      </c>
      <c r="J327" s="11">
        <f>IFERROR(_xll.ciqfunctions.udf.CIQ(mh_ticker, "IQ_EQUITY_METHOD", , B327), "")</f>
        <v/>
      </c>
      <c r="K327" s="11">
        <f>IFERROR(_xll.ciqfunctions.udf.CIQ(mh_ticker, "IQ_LT_Mark_Securities", , B327), "")</f>
        <v/>
      </c>
      <c r="L327" s="12">
        <f>IFERROR(C327*D327, "")</f>
        <v/>
      </c>
      <c r="M327" s="12">
        <f>IFERROR(L327-E327-F327+G327+H327+I327-J327-K327, "")</f>
        <v/>
      </c>
      <c r="N327" s="11">
        <f>IFERROR(_xll.ciqfunctions.udf.CIQ(mh_ticker, "IQ_EBITDA_EST", IQ_NTM, B327, , , "USD"), "")</f>
        <v/>
      </c>
      <c r="O327" s="13">
        <f>IFERROR(M327/N327, "")</f>
        <v/>
      </c>
    </row>
    <row r="328">
      <c r="B328" s="8" t="n"/>
      <c r="C328" s="9">
        <f>IFERROR(_xll.ciqfunctions.udf.CIQ(mh_ticker, "IQ_LASTSALEPRICE", B328), "")</f>
        <v/>
      </c>
      <c r="D328" s="10">
        <f>IFERROR(_xll.ciqfunctions.udf.CIQ(mh_ticker, "IQ_SHARESOUTSTANDING_OUT", B328), "")</f>
        <v/>
      </c>
      <c r="E328" s="11">
        <f>IFERROR(_xll.ciqfunctions.udf.CIQ(mh_ticker, "IQ_CASH_EQUIV", , B328), "")</f>
        <v/>
      </c>
      <c r="F328" s="11">
        <f>IFERROR(_xll.ciqfunctions.udf.CIQ(mh_ticker, "IQ_ST_INVEST", , B328), "")</f>
        <v/>
      </c>
      <c r="G328" s="11">
        <f>IFERROR(_xll.ciqfunctions.udf.CIQ(mh_ticker, "IQ_TOTAL_DEBT_EXCL_OPER_LEASES", , B328), "")</f>
        <v/>
      </c>
      <c r="H328" s="11">
        <f>IFERROR(_xll.ciqfunctions.udf.CIQ(mh_ticker, "IQ_PREF_EQUITY", , B328), "")</f>
        <v/>
      </c>
      <c r="I328" s="11">
        <f>IFERROR(_xll.ciqfunctions.udf.CIQ(mh_ticker, "IQ_MINORITY_INTEREST", , B328), "")</f>
        <v/>
      </c>
      <c r="J328" s="11">
        <f>IFERROR(_xll.ciqfunctions.udf.CIQ(mh_ticker, "IQ_EQUITY_METHOD", , B328), "")</f>
        <v/>
      </c>
      <c r="K328" s="11">
        <f>IFERROR(_xll.ciqfunctions.udf.CIQ(mh_ticker, "IQ_LT_Mark_Securities", , B328), "")</f>
        <v/>
      </c>
      <c r="L328" s="12">
        <f>IFERROR(C328*D328, "")</f>
        <v/>
      </c>
      <c r="M328" s="12">
        <f>IFERROR(L328-E328-F328+G328+H328+I328-J328-K328, "")</f>
        <v/>
      </c>
      <c r="N328" s="11">
        <f>IFERROR(_xll.ciqfunctions.udf.CIQ(mh_ticker, "IQ_EBITDA_EST", IQ_NTM, B328, , , "USD"), "")</f>
        <v/>
      </c>
      <c r="O328" s="13">
        <f>IFERROR(M328/N328, "")</f>
        <v/>
      </c>
    </row>
    <row r="329">
      <c r="B329" s="8" t="n"/>
      <c r="C329" s="9">
        <f>IFERROR(_xll.ciqfunctions.udf.CIQ(mh_ticker, "IQ_LASTSALEPRICE", B329), "")</f>
        <v/>
      </c>
      <c r="D329" s="10">
        <f>IFERROR(_xll.ciqfunctions.udf.CIQ(mh_ticker, "IQ_SHARESOUTSTANDING_OUT", B329), "")</f>
        <v/>
      </c>
      <c r="E329" s="11">
        <f>IFERROR(_xll.ciqfunctions.udf.CIQ(mh_ticker, "IQ_CASH_EQUIV", , B329), "")</f>
        <v/>
      </c>
      <c r="F329" s="11">
        <f>IFERROR(_xll.ciqfunctions.udf.CIQ(mh_ticker, "IQ_ST_INVEST", , B329), "")</f>
        <v/>
      </c>
      <c r="G329" s="11">
        <f>IFERROR(_xll.ciqfunctions.udf.CIQ(mh_ticker, "IQ_TOTAL_DEBT_EXCL_OPER_LEASES", , B329), "")</f>
        <v/>
      </c>
      <c r="H329" s="11">
        <f>IFERROR(_xll.ciqfunctions.udf.CIQ(mh_ticker, "IQ_PREF_EQUITY", , B329), "")</f>
        <v/>
      </c>
      <c r="I329" s="11">
        <f>IFERROR(_xll.ciqfunctions.udf.CIQ(mh_ticker, "IQ_MINORITY_INTEREST", , B329), "")</f>
        <v/>
      </c>
      <c r="J329" s="11">
        <f>IFERROR(_xll.ciqfunctions.udf.CIQ(mh_ticker, "IQ_EQUITY_METHOD", , B329), "")</f>
        <v/>
      </c>
      <c r="K329" s="11">
        <f>IFERROR(_xll.ciqfunctions.udf.CIQ(mh_ticker, "IQ_LT_Mark_Securities", , B329), "")</f>
        <v/>
      </c>
      <c r="L329" s="12">
        <f>IFERROR(C329*D329, "")</f>
        <v/>
      </c>
      <c r="M329" s="12">
        <f>IFERROR(L329-E329-F329+G329+H329+I329-J329-K329, "")</f>
        <v/>
      </c>
      <c r="N329" s="11">
        <f>IFERROR(_xll.ciqfunctions.udf.CIQ(mh_ticker, "IQ_EBITDA_EST", IQ_NTM, B329, , , "USD"), "")</f>
        <v/>
      </c>
      <c r="O329" s="13">
        <f>IFERROR(M329/N329, "")</f>
        <v/>
      </c>
    </row>
    <row r="330">
      <c r="B330" s="8" t="n"/>
      <c r="C330" s="9">
        <f>IFERROR(_xll.ciqfunctions.udf.CIQ(mh_ticker, "IQ_LASTSALEPRICE", B330), "")</f>
        <v/>
      </c>
      <c r="D330" s="10">
        <f>IFERROR(_xll.ciqfunctions.udf.CIQ(mh_ticker, "IQ_SHARESOUTSTANDING_OUT", B330), "")</f>
        <v/>
      </c>
      <c r="E330" s="11">
        <f>IFERROR(_xll.ciqfunctions.udf.CIQ(mh_ticker, "IQ_CASH_EQUIV", , B330), "")</f>
        <v/>
      </c>
      <c r="F330" s="11">
        <f>IFERROR(_xll.ciqfunctions.udf.CIQ(mh_ticker, "IQ_ST_INVEST", , B330), "")</f>
        <v/>
      </c>
      <c r="G330" s="11">
        <f>IFERROR(_xll.ciqfunctions.udf.CIQ(mh_ticker, "IQ_TOTAL_DEBT_EXCL_OPER_LEASES", , B330), "")</f>
        <v/>
      </c>
      <c r="H330" s="11">
        <f>IFERROR(_xll.ciqfunctions.udf.CIQ(mh_ticker, "IQ_PREF_EQUITY", , B330), "")</f>
        <v/>
      </c>
      <c r="I330" s="11">
        <f>IFERROR(_xll.ciqfunctions.udf.CIQ(mh_ticker, "IQ_MINORITY_INTEREST", , B330), "")</f>
        <v/>
      </c>
      <c r="J330" s="11">
        <f>IFERROR(_xll.ciqfunctions.udf.CIQ(mh_ticker, "IQ_EQUITY_METHOD", , B330), "")</f>
        <v/>
      </c>
      <c r="K330" s="11">
        <f>IFERROR(_xll.ciqfunctions.udf.CIQ(mh_ticker, "IQ_LT_Mark_Securities", , B330), "")</f>
        <v/>
      </c>
      <c r="L330" s="12">
        <f>IFERROR(C330*D330, "")</f>
        <v/>
      </c>
      <c r="M330" s="12">
        <f>IFERROR(L330-E330-F330+G330+H330+I330-J330-K330, "")</f>
        <v/>
      </c>
      <c r="N330" s="11">
        <f>IFERROR(_xll.ciqfunctions.udf.CIQ(mh_ticker, "IQ_EBITDA_EST", IQ_NTM, B330, , , "USD"), "")</f>
        <v/>
      </c>
      <c r="O330" s="13">
        <f>IFERROR(M330/N330, "")</f>
        <v/>
      </c>
    </row>
    <row r="331">
      <c r="B331" s="8" t="n"/>
      <c r="C331" s="9">
        <f>IFERROR(_xll.ciqfunctions.udf.CIQ(mh_ticker, "IQ_LASTSALEPRICE", B331), "")</f>
        <v/>
      </c>
      <c r="D331" s="10">
        <f>IFERROR(_xll.ciqfunctions.udf.CIQ(mh_ticker, "IQ_SHARESOUTSTANDING_OUT", B331), "")</f>
        <v/>
      </c>
      <c r="E331" s="11">
        <f>IFERROR(_xll.ciqfunctions.udf.CIQ(mh_ticker, "IQ_CASH_EQUIV", , B331), "")</f>
        <v/>
      </c>
      <c r="F331" s="11">
        <f>IFERROR(_xll.ciqfunctions.udf.CIQ(mh_ticker, "IQ_ST_INVEST", , B331), "")</f>
        <v/>
      </c>
      <c r="G331" s="11">
        <f>IFERROR(_xll.ciqfunctions.udf.CIQ(mh_ticker, "IQ_TOTAL_DEBT_EXCL_OPER_LEASES", , B331), "")</f>
        <v/>
      </c>
      <c r="H331" s="11">
        <f>IFERROR(_xll.ciqfunctions.udf.CIQ(mh_ticker, "IQ_PREF_EQUITY", , B331), "")</f>
        <v/>
      </c>
      <c r="I331" s="11">
        <f>IFERROR(_xll.ciqfunctions.udf.CIQ(mh_ticker, "IQ_MINORITY_INTEREST", , B331), "")</f>
        <v/>
      </c>
      <c r="J331" s="11">
        <f>IFERROR(_xll.ciqfunctions.udf.CIQ(mh_ticker, "IQ_EQUITY_METHOD", , B331), "")</f>
        <v/>
      </c>
      <c r="K331" s="11">
        <f>IFERROR(_xll.ciqfunctions.udf.CIQ(mh_ticker, "IQ_LT_Mark_Securities", , B331), "")</f>
        <v/>
      </c>
      <c r="L331" s="12">
        <f>IFERROR(C331*D331, "")</f>
        <v/>
      </c>
      <c r="M331" s="12">
        <f>IFERROR(L331-E331-F331+G331+H331+I331-J331-K331, "")</f>
        <v/>
      </c>
      <c r="N331" s="11">
        <f>IFERROR(_xll.ciqfunctions.udf.CIQ(mh_ticker, "IQ_EBITDA_EST", IQ_NTM, B331, , , "USD"), "")</f>
        <v/>
      </c>
      <c r="O331" s="13">
        <f>IFERROR(M331/N331, "")</f>
        <v/>
      </c>
    </row>
    <row r="332">
      <c r="B332" s="8" t="n"/>
      <c r="C332" s="9">
        <f>IFERROR(_xll.ciqfunctions.udf.CIQ(mh_ticker, "IQ_LASTSALEPRICE", B332), "")</f>
        <v/>
      </c>
      <c r="D332" s="10">
        <f>IFERROR(_xll.ciqfunctions.udf.CIQ(mh_ticker, "IQ_SHARESOUTSTANDING_OUT", B332), "")</f>
        <v/>
      </c>
      <c r="E332" s="11">
        <f>IFERROR(_xll.ciqfunctions.udf.CIQ(mh_ticker, "IQ_CASH_EQUIV", , B332), "")</f>
        <v/>
      </c>
      <c r="F332" s="11">
        <f>IFERROR(_xll.ciqfunctions.udf.CIQ(mh_ticker, "IQ_ST_INVEST", , B332), "")</f>
        <v/>
      </c>
      <c r="G332" s="11">
        <f>IFERROR(_xll.ciqfunctions.udf.CIQ(mh_ticker, "IQ_TOTAL_DEBT_EXCL_OPER_LEASES", , B332), "")</f>
        <v/>
      </c>
      <c r="H332" s="11">
        <f>IFERROR(_xll.ciqfunctions.udf.CIQ(mh_ticker, "IQ_PREF_EQUITY", , B332), "")</f>
        <v/>
      </c>
      <c r="I332" s="11">
        <f>IFERROR(_xll.ciqfunctions.udf.CIQ(mh_ticker, "IQ_MINORITY_INTEREST", , B332), "")</f>
        <v/>
      </c>
      <c r="J332" s="11">
        <f>IFERROR(_xll.ciqfunctions.udf.CIQ(mh_ticker, "IQ_EQUITY_METHOD", , B332), "")</f>
        <v/>
      </c>
      <c r="K332" s="11">
        <f>IFERROR(_xll.ciqfunctions.udf.CIQ(mh_ticker, "IQ_LT_Mark_Securities", , B332), "")</f>
        <v/>
      </c>
      <c r="L332" s="12">
        <f>IFERROR(C332*D332, "")</f>
        <v/>
      </c>
      <c r="M332" s="12">
        <f>IFERROR(L332-E332-F332+G332+H332+I332-J332-K332, "")</f>
        <v/>
      </c>
      <c r="N332" s="11">
        <f>IFERROR(_xll.ciqfunctions.udf.CIQ(mh_ticker, "IQ_EBITDA_EST", IQ_NTM, B332, , , "USD"), "")</f>
        <v/>
      </c>
      <c r="O332" s="13">
        <f>IFERROR(M332/N332, "")</f>
        <v/>
      </c>
    </row>
    <row r="333">
      <c r="B333" s="8" t="n"/>
      <c r="C333" s="9">
        <f>IFERROR(_xll.ciqfunctions.udf.CIQ(mh_ticker, "IQ_LASTSALEPRICE", B333), "")</f>
        <v/>
      </c>
      <c r="D333" s="10">
        <f>IFERROR(_xll.ciqfunctions.udf.CIQ(mh_ticker, "IQ_SHARESOUTSTANDING_OUT", B333), "")</f>
        <v/>
      </c>
      <c r="E333" s="11">
        <f>IFERROR(_xll.ciqfunctions.udf.CIQ(mh_ticker, "IQ_CASH_EQUIV", , B333), "")</f>
        <v/>
      </c>
      <c r="F333" s="11">
        <f>IFERROR(_xll.ciqfunctions.udf.CIQ(mh_ticker, "IQ_ST_INVEST", , B333), "")</f>
        <v/>
      </c>
      <c r="G333" s="11">
        <f>IFERROR(_xll.ciqfunctions.udf.CIQ(mh_ticker, "IQ_TOTAL_DEBT_EXCL_OPER_LEASES", , B333), "")</f>
        <v/>
      </c>
      <c r="H333" s="11">
        <f>IFERROR(_xll.ciqfunctions.udf.CIQ(mh_ticker, "IQ_PREF_EQUITY", , B333), "")</f>
        <v/>
      </c>
      <c r="I333" s="11">
        <f>IFERROR(_xll.ciqfunctions.udf.CIQ(mh_ticker, "IQ_MINORITY_INTEREST", , B333), "")</f>
        <v/>
      </c>
      <c r="J333" s="11">
        <f>IFERROR(_xll.ciqfunctions.udf.CIQ(mh_ticker, "IQ_EQUITY_METHOD", , B333), "")</f>
        <v/>
      </c>
      <c r="K333" s="11">
        <f>IFERROR(_xll.ciqfunctions.udf.CIQ(mh_ticker, "IQ_LT_Mark_Securities", , B333), "")</f>
        <v/>
      </c>
      <c r="L333" s="12">
        <f>IFERROR(C333*D333, "")</f>
        <v/>
      </c>
      <c r="M333" s="12">
        <f>IFERROR(L333-E333-F333+G333+H333+I333-J333-K333, "")</f>
        <v/>
      </c>
      <c r="N333" s="11">
        <f>IFERROR(_xll.ciqfunctions.udf.CIQ(mh_ticker, "IQ_EBITDA_EST", IQ_NTM, B333, , , "USD"), "")</f>
        <v/>
      </c>
      <c r="O333" s="13">
        <f>IFERROR(M333/N333, "")</f>
        <v/>
      </c>
    </row>
    <row r="334">
      <c r="B334" s="8" t="n"/>
      <c r="C334" s="9">
        <f>IFERROR(_xll.ciqfunctions.udf.CIQ(mh_ticker, "IQ_LASTSALEPRICE", B334), "")</f>
        <v/>
      </c>
      <c r="D334" s="10">
        <f>IFERROR(_xll.ciqfunctions.udf.CIQ(mh_ticker, "IQ_SHARESOUTSTANDING_OUT", B334), "")</f>
        <v/>
      </c>
      <c r="E334" s="11">
        <f>IFERROR(_xll.ciqfunctions.udf.CIQ(mh_ticker, "IQ_CASH_EQUIV", , B334), "")</f>
        <v/>
      </c>
      <c r="F334" s="11">
        <f>IFERROR(_xll.ciqfunctions.udf.CIQ(mh_ticker, "IQ_ST_INVEST", , B334), "")</f>
        <v/>
      </c>
      <c r="G334" s="11">
        <f>IFERROR(_xll.ciqfunctions.udf.CIQ(mh_ticker, "IQ_TOTAL_DEBT_EXCL_OPER_LEASES", , B334), "")</f>
        <v/>
      </c>
      <c r="H334" s="11">
        <f>IFERROR(_xll.ciqfunctions.udf.CIQ(mh_ticker, "IQ_PREF_EQUITY", , B334), "")</f>
        <v/>
      </c>
      <c r="I334" s="11">
        <f>IFERROR(_xll.ciqfunctions.udf.CIQ(mh_ticker, "IQ_MINORITY_INTEREST", , B334), "")</f>
        <v/>
      </c>
      <c r="J334" s="11">
        <f>IFERROR(_xll.ciqfunctions.udf.CIQ(mh_ticker, "IQ_EQUITY_METHOD", , B334), "")</f>
        <v/>
      </c>
      <c r="K334" s="11">
        <f>IFERROR(_xll.ciqfunctions.udf.CIQ(mh_ticker, "IQ_LT_Mark_Securities", , B334), "")</f>
        <v/>
      </c>
      <c r="L334" s="12">
        <f>IFERROR(C334*D334, "")</f>
        <v/>
      </c>
      <c r="M334" s="12">
        <f>IFERROR(L334-E334-F334+G334+H334+I334-J334-K334, "")</f>
        <v/>
      </c>
      <c r="N334" s="11">
        <f>IFERROR(_xll.ciqfunctions.udf.CIQ(mh_ticker, "IQ_EBITDA_EST", IQ_NTM, B334, , , "USD"), "")</f>
        <v/>
      </c>
      <c r="O334" s="13">
        <f>IFERROR(M334/N334, "")</f>
        <v/>
      </c>
    </row>
    <row r="335">
      <c r="B335" s="8" t="n"/>
      <c r="C335" s="9">
        <f>IFERROR(_xll.ciqfunctions.udf.CIQ(mh_ticker, "IQ_LASTSALEPRICE", B335), "")</f>
        <v/>
      </c>
      <c r="D335" s="10">
        <f>IFERROR(_xll.ciqfunctions.udf.CIQ(mh_ticker, "IQ_SHARESOUTSTANDING_OUT", B335), "")</f>
        <v/>
      </c>
      <c r="E335" s="11">
        <f>IFERROR(_xll.ciqfunctions.udf.CIQ(mh_ticker, "IQ_CASH_EQUIV", , B335), "")</f>
        <v/>
      </c>
      <c r="F335" s="11">
        <f>IFERROR(_xll.ciqfunctions.udf.CIQ(mh_ticker, "IQ_ST_INVEST", , B335), "")</f>
        <v/>
      </c>
      <c r="G335" s="11">
        <f>IFERROR(_xll.ciqfunctions.udf.CIQ(mh_ticker, "IQ_TOTAL_DEBT_EXCL_OPER_LEASES", , B335), "")</f>
        <v/>
      </c>
      <c r="H335" s="11">
        <f>IFERROR(_xll.ciqfunctions.udf.CIQ(mh_ticker, "IQ_PREF_EQUITY", , B335), "")</f>
        <v/>
      </c>
      <c r="I335" s="11">
        <f>IFERROR(_xll.ciqfunctions.udf.CIQ(mh_ticker, "IQ_MINORITY_INTEREST", , B335), "")</f>
        <v/>
      </c>
      <c r="J335" s="11">
        <f>IFERROR(_xll.ciqfunctions.udf.CIQ(mh_ticker, "IQ_EQUITY_METHOD", , B335), "")</f>
        <v/>
      </c>
      <c r="K335" s="11">
        <f>IFERROR(_xll.ciqfunctions.udf.CIQ(mh_ticker, "IQ_LT_Mark_Securities", , B335), "")</f>
        <v/>
      </c>
      <c r="L335" s="12">
        <f>IFERROR(C335*D335, "")</f>
        <v/>
      </c>
      <c r="M335" s="12">
        <f>IFERROR(L335-E335-F335+G335+H335+I335-J335-K335, "")</f>
        <v/>
      </c>
      <c r="N335" s="11">
        <f>IFERROR(_xll.ciqfunctions.udf.CIQ(mh_ticker, "IQ_EBITDA_EST", IQ_NTM, B335, , , "USD"), "")</f>
        <v/>
      </c>
      <c r="O335" s="13">
        <f>IFERROR(M335/N335, "")</f>
        <v/>
      </c>
    </row>
    <row r="336">
      <c r="B336" s="8" t="n"/>
      <c r="C336" s="9">
        <f>IFERROR(_xll.ciqfunctions.udf.CIQ(mh_ticker, "IQ_LASTSALEPRICE", B336), "")</f>
        <v/>
      </c>
      <c r="D336" s="10">
        <f>IFERROR(_xll.ciqfunctions.udf.CIQ(mh_ticker, "IQ_SHARESOUTSTANDING_OUT", B336), "")</f>
        <v/>
      </c>
      <c r="E336" s="11">
        <f>IFERROR(_xll.ciqfunctions.udf.CIQ(mh_ticker, "IQ_CASH_EQUIV", , B336), "")</f>
        <v/>
      </c>
      <c r="F336" s="11">
        <f>IFERROR(_xll.ciqfunctions.udf.CIQ(mh_ticker, "IQ_ST_INVEST", , B336), "")</f>
        <v/>
      </c>
      <c r="G336" s="11">
        <f>IFERROR(_xll.ciqfunctions.udf.CIQ(mh_ticker, "IQ_TOTAL_DEBT_EXCL_OPER_LEASES", , B336), "")</f>
        <v/>
      </c>
      <c r="H336" s="11">
        <f>IFERROR(_xll.ciqfunctions.udf.CIQ(mh_ticker, "IQ_PREF_EQUITY", , B336), "")</f>
        <v/>
      </c>
      <c r="I336" s="11">
        <f>IFERROR(_xll.ciqfunctions.udf.CIQ(mh_ticker, "IQ_MINORITY_INTEREST", , B336), "")</f>
        <v/>
      </c>
      <c r="J336" s="11">
        <f>IFERROR(_xll.ciqfunctions.udf.CIQ(mh_ticker, "IQ_EQUITY_METHOD", , B336), "")</f>
        <v/>
      </c>
      <c r="K336" s="11">
        <f>IFERROR(_xll.ciqfunctions.udf.CIQ(mh_ticker, "IQ_LT_Mark_Securities", , B336), "")</f>
        <v/>
      </c>
      <c r="L336" s="12">
        <f>IFERROR(C336*D336, "")</f>
        <v/>
      </c>
      <c r="M336" s="12">
        <f>IFERROR(L336-E336-F336+G336+H336+I336-J336-K336, "")</f>
        <v/>
      </c>
      <c r="N336" s="11">
        <f>IFERROR(_xll.ciqfunctions.udf.CIQ(mh_ticker, "IQ_EBITDA_EST", IQ_NTM, B336, , , "USD"), "")</f>
        <v/>
      </c>
      <c r="O336" s="13">
        <f>IFERROR(M336/N336, "")</f>
        <v/>
      </c>
    </row>
    <row r="337">
      <c r="B337" s="8" t="n"/>
      <c r="C337" s="9">
        <f>IFERROR(_xll.ciqfunctions.udf.CIQ(mh_ticker, "IQ_LASTSALEPRICE", B337), "")</f>
        <v/>
      </c>
      <c r="D337" s="10">
        <f>IFERROR(_xll.ciqfunctions.udf.CIQ(mh_ticker, "IQ_SHARESOUTSTANDING_OUT", B337), "")</f>
        <v/>
      </c>
      <c r="E337" s="11">
        <f>IFERROR(_xll.ciqfunctions.udf.CIQ(mh_ticker, "IQ_CASH_EQUIV", , B337), "")</f>
        <v/>
      </c>
      <c r="F337" s="11">
        <f>IFERROR(_xll.ciqfunctions.udf.CIQ(mh_ticker, "IQ_ST_INVEST", , B337), "")</f>
        <v/>
      </c>
      <c r="G337" s="11">
        <f>IFERROR(_xll.ciqfunctions.udf.CIQ(mh_ticker, "IQ_TOTAL_DEBT_EXCL_OPER_LEASES", , B337), "")</f>
        <v/>
      </c>
      <c r="H337" s="11">
        <f>IFERROR(_xll.ciqfunctions.udf.CIQ(mh_ticker, "IQ_PREF_EQUITY", , B337), "")</f>
        <v/>
      </c>
      <c r="I337" s="11">
        <f>IFERROR(_xll.ciqfunctions.udf.CIQ(mh_ticker, "IQ_MINORITY_INTEREST", , B337), "")</f>
        <v/>
      </c>
      <c r="J337" s="11">
        <f>IFERROR(_xll.ciqfunctions.udf.CIQ(mh_ticker, "IQ_EQUITY_METHOD", , B337), "")</f>
        <v/>
      </c>
      <c r="K337" s="11">
        <f>IFERROR(_xll.ciqfunctions.udf.CIQ(mh_ticker, "IQ_LT_Mark_Securities", , B337), "")</f>
        <v/>
      </c>
      <c r="L337" s="12">
        <f>IFERROR(C337*D337, "")</f>
        <v/>
      </c>
      <c r="M337" s="12">
        <f>IFERROR(L337-E337-F337+G337+H337+I337-J337-K337, "")</f>
        <v/>
      </c>
      <c r="N337" s="11">
        <f>IFERROR(_xll.ciqfunctions.udf.CIQ(mh_ticker, "IQ_EBITDA_EST", IQ_NTM, B337, , , "USD"), "")</f>
        <v/>
      </c>
      <c r="O337" s="13">
        <f>IFERROR(M337/N337, "")</f>
        <v/>
      </c>
    </row>
    <row r="338">
      <c r="B338" s="8" t="n"/>
      <c r="C338" s="9">
        <f>IFERROR(_xll.ciqfunctions.udf.CIQ(mh_ticker, "IQ_LASTSALEPRICE", B338), "")</f>
        <v/>
      </c>
      <c r="D338" s="10">
        <f>IFERROR(_xll.ciqfunctions.udf.CIQ(mh_ticker, "IQ_SHARESOUTSTANDING_OUT", B338), "")</f>
        <v/>
      </c>
      <c r="E338" s="11">
        <f>IFERROR(_xll.ciqfunctions.udf.CIQ(mh_ticker, "IQ_CASH_EQUIV", , B338), "")</f>
        <v/>
      </c>
      <c r="F338" s="11">
        <f>IFERROR(_xll.ciqfunctions.udf.CIQ(mh_ticker, "IQ_ST_INVEST", , B338), "")</f>
        <v/>
      </c>
      <c r="G338" s="11">
        <f>IFERROR(_xll.ciqfunctions.udf.CIQ(mh_ticker, "IQ_TOTAL_DEBT_EXCL_OPER_LEASES", , B338), "")</f>
        <v/>
      </c>
      <c r="H338" s="11">
        <f>IFERROR(_xll.ciqfunctions.udf.CIQ(mh_ticker, "IQ_PREF_EQUITY", , B338), "")</f>
        <v/>
      </c>
      <c r="I338" s="11">
        <f>IFERROR(_xll.ciqfunctions.udf.CIQ(mh_ticker, "IQ_MINORITY_INTEREST", , B338), "")</f>
        <v/>
      </c>
      <c r="J338" s="11">
        <f>IFERROR(_xll.ciqfunctions.udf.CIQ(mh_ticker, "IQ_EQUITY_METHOD", , B338), "")</f>
        <v/>
      </c>
      <c r="K338" s="11">
        <f>IFERROR(_xll.ciqfunctions.udf.CIQ(mh_ticker, "IQ_LT_Mark_Securities", , B338), "")</f>
        <v/>
      </c>
      <c r="L338" s="12">
        <f>IFERROR(C338*D338, "")</f>
        <v/>
      </c>
      <c r="M338" s="12">
        <f>IFERROR(L338-E338-F338+G338+H338+I338-J338-K338, "")</f>
        <v/>
      </c>
      <c r="N338" s="11">
        <f>IFERROR(_xll.ciqfunctions.udf.CIQ(mh_ticker, "IQ_EBITDA_EST", IQ_NTM, B338, , , "USD"), "")</f>
        <v/>
      </c>
      <c r="O338" s="13">
        <f>IFERROR(M338/N338, "")</f>
        <v/>
      </c>
    </row>
    <row r="339">
      <c r="B339" s="8" t="n"/>
      <c r="C339" s="9">
        <f>IFERROR(_xll.ciqfunctions.udf.CIQ(mh_ticker, "IQ_LASTSALEPRICE", B339), "")</f>
        <v/>
      </c>
      <c r="D339" s="10">
        <f>IFERROR(_xll.ciqfunctions.udf.CIQ(mh_ticker, "IQ_SHARESOUTSTANDING_OUT", B339), "")</f>
        <v/>
      </c>
      <c r="E339" s="11">
        <f>IFERROR(_xll.ciqfunctions.udf.CIQ(mh_ticker, "IQ_CASH_EQUIV", , B339), "")</f>
        <v/>
      </c>
      <c r="F339" s="11">
        <f>IFERROR(_xll.ciqfunctions.udf.CIQ(mh_ticker, "IQ_ST_INVEST", , B339), "")</f>
        <v/>
      </c>
      <c r="G339" s="11">
        <f>IFERROR(_xll.ciqfunctions.udf.CIQ(mh_ticker, "IQ_TOTAL_DEBT_EXCL_OPER_LEASES", , B339), "")</f>
        <v/>
      </c>
      <c r="H339" s="11">
        <f>IFERROR(_xll.ciqfunctions.udf.CIQ(mh_ticker, "IQ_PREF_EQUITY", , B339), "")</f>
        <v/>
      </c>
      <c r="I339" s="11">
        <f>IFERROR(_xll.ciqfunctions.udf.CIQ(mh_ticker, "IQ_MINORITY_INTEREST", , B339), "")</f>
        <v/>
      </c>
      <c r="J339" s="11">
        <f>IFERROR(_xll.ciqfunctions.udf.CIQ(mh_ticker, "IQ_EQUITY_METHOD", , B339), "")</f>
        <v/>
      </c>
      <c r="K339" s="11">
        <f>IFERROR(_xll.ciqfunctions.udf.CIQ(mh_ticker, "IQ_LT_Mark_Securities", , B339), "")</f>
        <v/>
      </c>
      <c r="L339" s="12">
        <f>IFERROR(C339*D339, "")</f>
        <v/>
      </c>
      <c r="M339" s="12">
        <f>IFERROR(L339-E339-F339+G339+H339+I339-J339-K339, "")</f>
        <v/>
      </c>
      <c r="N339" s="11">
        <f>IFERROR(_xll.ciqfunctions.udf.CIQ(mh_ticker, "IQ_EBITDA_EST", IQ_NTM, B339, , , "USD"), "")</f>
        <v/>
      </c>
      <c r="O339" s="13">
        <f>IFERROR(M339/N339, "")</f>
        <v/>
      </c>
    </row>
    <row r="340">
      <c r="B340" s="8" t="n"/>
      <c r="C340" s="9">
        <f>IFERROR(_xll.ciqfunctions.udf.CIQ(mh_ticker, "IQ_LASTSALEPRICE", B340), "")</f>
        <v/>
      </c>
      <c r="D340" s="10">
        <f>IFERROR(_xll.ciqfunctions.udf.CIQ(mh_ticker, "IQ_SHARESOUTSTANDING_OUT", B340), "")</f>
        <v/>
      </c>
      <c r="E340" s="11">
        <f>IFERROR(_xll.ciqfunctions.udf.CIQ(mh_ticker, "IQ_CASH_EQUIV", , B340), "")</f>
        <v/>
      </c>
      <c r="F340" s="11">
        <f>IFERROR(_xll.ciqfunctions.udf.CIQ(mh_ticker, "IQ_ST_INVEST", , B340), "")</f>
        <v/>
      </c>
      <c r="G340" s="11">
        <f>IFERROR(_xll.ciqfunctions.udf.CIQ(mh_ticker, "IQ_TOTAL_DEBT_EXCL_OPER_LEASES", , B340), "")</f>
        <v/>
      </c>
      <c r="H340" s="11">
        <f>IFERROR(_xll.ciqfunctions.udf.CIQ(mh_ticker, "IQ_PREF_EQUITY", , B340), "")</f>
        <v/>
      </c>
      <c r="I340" s="11">
        <f>IFERROR(_xll.ciqfunctions.udf.CIQ(mh_ticker, "IQ_MINORITY_INTEREST", , B340), "")</f>
        <v/>
      </c>
      <c r="J340" s="11">
        <f>IFERROR(_xll.ciqfunctions.udf.CIQ(mh_ticker, "IQ_EQUITY_METHOD", , B340), "")</f>
        <v/>
      </c>
      <c r="K340" s="11">
        <f>IFERROR(_xll.ciqfunctions.udf.CIQ(mh_ticker, "IQ_LT_Mark_Securities", , B340), "")</f>
        <v/>
      </c>
      <c r="L340" s="12">
        <f>IFERROR(C340*D340, "")</f>
        <v/>
      </c>
      <c r="M340" s="12">
        <f>IFERROR(L340-E340-F340+G340+H340+I340-J340-K340, "")</f>
        <v/>
      </c>
      <c r="N340" s="11">
        <f>IFERROR(_xll.ciqfunctions.udf.CIQ(mh_ticker, "IQ_EBITDA_EST", IQ_NTM, B340, , , "USD"), "")</f>
        <v/>
      </c>
      <c r="O340" s="13">
        <f>IFERROR(M340/N340, "")</f>
        <v/>
      </c>
    </row>
    <row r="341">
      <c r="B341" s="8" t="n"/>
      <c r="C341" s="9">
        <f>IFERROR(_xll.ciqfunctions.udf.CIQ(mh_ticker, "IQ_LASTSALEPRICE", B341), "")</f>
        <v/>
      </c>
      <c r="D341" s="10">
        <f>IFERROR(_xll.ciqfunctions.udf.CIQ(mh_ticker, "IQ_SHARESOUTSTANDING_OUT", B341), "")</f>
        <v/>
      </c>
      <c r="E341" s="11">
        <f>IFERROR(_xll.ciqfunctions.udf.CIQ(mh_ticker, "IQ_CASH_EQUIV", , B341), "")</f>
        <v/>
      </c>
      <c r="F341" s="11">
        <f>IFERROR(_xll.ciqfunctions.udf.CIQ(mh_ticker, "IQ_ST_INVEST", , B341), "")</f>
        <v/>
      </c>
      <c r="G341" s="11">
        <f>IFERROR(_xll.ciqfunctions.udf.CIQ(mh_ticker, "IQ_TOTAL_DEBT_EXCL_OPER_LEASES", , B341), "")</f>
        <v/>
      </c>
      <c r="H341" s="11">
        <f>IFERROR(_xll.ciqfunctions.udf.CIQ(mh_ticker, "IQ_PREF_EQUITY", , B341), "")</f>
        <v/>
      </c>
      <c r="I341" s="11">
        <f>IFERROR(_xll.ciqfunctions.udf.CIQ(mh_ticker, "IQ_MINORITY_INTEREST", , B341), "")</f>
        <v/>
      </c>
      <c r="J341" s="11">
        <f>IFERROR(_xll.ciqfunctions.udf.CIQ(mh_ticker, "IQ_EQUITY_METHOD", , B341), "")</f>
        <v/>
      </c>
      <c r="K341" s="11">
        <f>IFERROR(_xll.ciqfunctions.udf.CIQ(mh_ticker, "IQ_LT_Mark_Securities", , B341), "")</f>
        <v/>
      </c>
      <c r="L341" s="12">
        <f>IFERROR(C341*D341, "")</f>
        <v/>
      </c>
      <c r="M341" s="12">
        <f>IFERROR(L341-E341-F341+G341+H341+I341-J341-K341, "")</f>
        <v/>
      </c>
      <c r="N341" s="11">
        <f>IFERROR(_xll.ciqfunctions.udf.CIQ(mh_ticker, "IQ_EBITDA_EST", IQ_NTM, B341, , , "USD"), "")</f>
        <v/>
      </c>
      <c r="O341" s="13">
        <f>IFERROR(M341/N341, "")</f>
        <v/>
      </c>
    </row>
    <row r="342">
      <c r="B342" s="8" t="n"/>
      <c r="C342" s="9">
        <f>IFERROR(_xll.ciqfunctions.udf.CIQ(mh_ticker, "IQ_LASTSALEPRICE", B342), "")</f>
        <v/>
      </c>
      <c r="D342" s="10">
        <f>IFERROR(_xll.ciqfunctions.udf.CIQ(mh_ticker, "IQ_SHARESOUTSTANDING_OUT", B342), "")</f>
        <v/>
      </c>
      <c r="E342" s="11">
        <f>IFERROR(_xll.ciqfunctions.udf.CIQ(mh_ticker, "IQ_CASH_EQUIV", , B342), "")</f>
        <v/>
      </c>
      <c r="F342" s="11">
        <f>IFERROR(_xll.ciqfunctions.udf.CIQ(mh_ticker, "IQ_ST_INVEST", , B342), "")</f>
        <v/>
      </c>
      <c r="G342" s="11">
        <f>IFERROR(_xll.ciqfunctions.udf.CIQ(mh_ticker, "IQ_TOTAL_DEBT_EXCL_OPER_LEASES", , B342), "")</f>
        <v/>
      </c>
      <c r="H342" s="11">
        <f>IFERROR(_xll.ciqfunctions.udf.CIQ(mh_ticker, "IQ_PREF_EQUITY", , B342), "")</f>
        <v/>
      </c>
      <c r="I342" s="11">
        <f>IFERROR(_xll.ciqfunctions.udf.CIQ(mh_ticker, "IQ_MINORITY_INTEREST", , B342), "")</f>
        <v/>
      </c>
      <c r="J342" s="11">
        <f>IFERROR(_xll.ciqfunctions.udf.CIQ(mh_ticker, "IQ_EQUITY_METHOD", , B342), "")</f>
        <v/>
      </c>
      <c r="K342" s="11">
        <f>IFERROR(_xll.ciqfunctions.udf.CIQ(mh_ticker, "IQ_LT_Mark_Securities", , B342), "")</f>
        <v/>
      </c>
      <c r="L342" s="12">
        <f>IFERROR(C342*D342, "")</f>
        <v/>
      </c>
      <c r="M342" s="12">
        <f>IFERROR(L342-E342-F342+G342+H342+I342-J342-K342, "")</f>
        <v/>
      </c>
      <c r="N342" s="11">
        <f>IFERROR(_xll.ciqfunctions.udf.CIQ(mh_ticker, "IQ_EBITDA_EST", IQ_NTM, B342, , , "USD"), "")</f>
        <v/>
      </c>
      <c r="O342" s="13">
        <f>IFERROR(M342/N342, "")</f>
        <v/>
      </c>
    </row>
    <row r="343">
      <c r="B343" s="8" t="n"/>
      <c r="C343" s="9">
        <f>IFERROR(_xll.ciqfunctions.udf.CIQ(mh_ticker, "IQ_LASTSALEPRICE", B343), "")</f>
        <v/>
      </c>
      <c r="D343" s="10">
        <f>IFERROR(_xll.ciqfunctions.udf.CIQ(mh_ticker, "IQ_SHARESOUTSTANDING_OUT", B343), "")</f>
        <v/>
      </c>
      <c r="E343" s="11">
        <f>IFERROR(_xll.ciqfunctions.udf.CIQ(mh_ticker, "IQ_CASH_EQUIV", , B343), "")</f>
        <v/>
      </c>
      <c r="F343" s="11">
        <f>IFERROR(_xll.ciqfunctions.udf.CIQ(mh_ticker, "IQ_ST_INVEST", , B343), "")</f>
        <v/>
      </c>
      <c r="G343" s="11">
        <f>IFERROR(_xll.ciqfunctions.udf.CIQ(mh_ticker, "IQ_TOTAL_DEBT_EXCL_OPER_LEASES", , B343), "")</f>
        <v/>
      </c>
      <c r="H343" s="11">
        <f>IFERROR(_xll.ciqfunctions.udf.CIQ(mh_ticker, "IQ_PREF_EQUITY", , B343), "")</f>
        <v/>
      </c>
      <c r="I343" s="11">
        <f>IFERROR(_xll.ciqfunctions.udf.CIQ(mh_ticker, "IQ_MINORITY_INTEREST", , B343), "")</f>
        <v/>
      </c>
      <c r="J343" s="11">
        <f>IFERROR(_xll.ciqfunctions.udf.CIQ(mh_ticker, "IQ_EQUITY_METHOD", , B343), "")</f>
        <v/>
      </c>
      <c r="K343" s="11">
        <f>IFERROR(_xll.ciqfunctions.udf.CIQ(mh_ticker, "IQ_LT_Mark_Securities", , B343), "")</f>
        <v/>
      </c>
      <c r="L343" s="12">
        <f>IFERROR(C343*D343, "")</f>
        <v/>
      </c>
      <c r="M343" s="12">
        <f>IFERROR(L343-E343-F343+G343+H343+I343-J343-K343, "")</f>
        <v/>
      </c>
      <c r="N343" s="11">
        <f>IFERROR(_xll.ciqfunctions.udf.CIQ(mh_ticker, "IQ_EBITDA_EST", IQ_NTM, B343, , , "USD"), "")</f>
        <v/>
      </c>
      <c r="O343" s="13">
        <f>IFERROR(M343/N343, "")</f>
        <v/>
      </c>
    </row>
    <row r="344">
      <c r="B344" s="8" t="n"/>
      <c r="C344" s="9">
        <f>IFERROR(_xll.ciqfunctions.udf.CIQ(mh_ticker, "IQ_LASTSALEPRICE", B344), "")</f>
        <v/>
      </c>
      <c r="D344" s="10">
        <f>IFERROR(_xll.ciqfunctions.udf.CIQ(mh_ticker, "IQ_SHARESOUTSTANDING_OUT", B344), "")</f>
        <v/>
      </c>
      <c r="E344" s="11">
        <f>IFERROR(_xll.ciqfunctions.udf.CIQ(mh_ticker, "IQ_CASH_EQUIV", , B344), "")</f>
        <v/>
      </c>
      <c r="F344" s="11">
        <f>IFERROR(_xll.ciqfunctions.udf.CIQ(mh_ticker, "IQ_ST_INVEST", , B344), "")</f>
        <v/>
      </c>
      <c r="G344" s="11">
        <f>IFERROR(_xll.ciqfunctions.udf.CIQ(mh_ticker, "IQ_TOTAL_DEBT_EXCL_OPER_LEASES", , B344), "")</f>
        <v/>
      </c>
      <c r="H344" s="11">
        <f>IFERROR(_xll.ciqfunctions.udf.CIQ(mh_ticker, "IQ_PREF_EQUITY", , B344), "")</f>
        <v/>
      </c>
      <c r="I344" s="11">
        <f>IFERROR(_xll.ciqfunctions.udf.CIQ(mh_ticker, "IQ_MINORITY_INTEREST", , B344), "")</f>
        <v/>
      </c>
      <c r="J344" s="11">
        <f>IFERROR(_xll.ciqfunctions.udf.CIQ(mh_ticker, "IQ_EQUITY_METHOD", , B344), "")</f>
        <v/>
      </c>
      <c r="K344" s="11">
        <f>IFERROR(_xll.ciqfunctions.udf.CIQ(mh_ticker, "IQ_LT_Mark_Securities", , B344), "")</f>
        <v/>
      </c>
      <c r="L344" s="12">
        <f>IFERROR(C344*D344, "")</f>
        <v/>
      </c>
      <c r="M344" s="12">
        <f>IFERROR(L344-E344-F344+G344+H344+I344-J344-K344, "")</f>
        <v/>
      </c>
      <c r="N344" s="11">
        <f>IFERROR(_xll.ciqfunctions.udf.CIQ(mh_ticker, "IQ_EBITDA_EST", IQ_NTM, B344, , , "USD"), "")</f>
        <v/>
      </c>
      <c r="O344" s="13">
        <f>IFERROR(M344/N344, "")</f>
        <v/>
      </c>
    </row>
    <row r="345">
      <c r="B345" s="8" t="n"/>
      <c r="C345" s="9">
        <f>IFERROR(_xll.ciqfunctions.udf.CIQ(mh_ticker, "IQ_LASTSALEPRICE", B345), "")</f>
        <v/>
      </c>
      <c r="D345" s="10">
        <f>IFERROR(_xll.ciqfunctions.udf.CIQ(mh_ticker, "IQ_SHARESOUTSTANDING_OUT", B345), "")</f>
        <v/>
      </c>
      <c r="E345" s="11">
        <f>IFERROR(_xll.ciqfunctions.udf.CIQ(mh_ticker, "IQ_CASH_EQUIV", , B345), "")</f>
        <v/>
      </c>
      <c r="F345" s="11">
        <f>IFERROR(_xll.ciqfunctions.udf.CIQ(mh_ticker, "IQ_ST_INVEST", , B345), "")</f>
        <v/>
      </c>
      <c r="G345" s="11">
        <f>IFERROR(_xll.ciqfunctions.udf.CIQ(mh_ticker, "IQ_TOTAL_DEBT_EXCL_OPER_LEASES", , B345), "")</f>
        <v/>
      </c>
      <c r="H345" s="11">
        <f>IFERROR(_xll.ciqfunctions.udf.CIQ(mh_ticker, "IQ_PREF_EQUITY", , B345), "")</f>
        <v/>
      </c>
      <c r="I345" s="11">
        <f>IFERROR(_xll.ciqfunctions.udf.CIQ(mh_ticker, "IQ_MINORITY_INTEREST", , B345), "")</f>
        <v/>
      </c>
      <c r="J345" s="11">
        <f>IFERROR(_xll.ciqfunctions.udf.CIQ(mh_ticker, "IQ_EQUITY_METHOD", , B345), "")</f>
        <v/>
      </c>
      <c r="K345" s="11">
        <f>IFERROR(_xll.ciqfunctions.udf.CIQ(mh_ticker, "IQ_LT_Mark_Securities", , B345), "")</f>
        <v/>
      </c>
      <c r="L345" s="12">
        <f>IFERROR(C345*D345, "")</f>
        <v/>
      </c>
      <c r="M345" s="12">
        <f>IFERROR(L345-E345-F345+G345+H345+I345-J345-K345, "")</f>
        <v/>
      </c>
      <c r="N345" s="11">
        <f>IFERROR(_xll.ciqfunctions.udf.CIQ(mh_ticker, "IQ_EBITDA_EST", IQ_NTM, B345, , , "USD"), "")</f>
        <v/>
      </c>
      <c r="O345" s="13">
        <f>IFERROR(M345/N345, "")</f>
        <v/>
      </c>
    </row>
    <row r="346">
      <c r="B346" s="8" t="n"/>
      <c r="C346" s="9">
        <f>IFERROR(_xll.ciqfunctions.udf.CIQ(mh_ticker, "IQ_LASTSALEPRICE", B346), "")</f>
        <v/>
      </c>
      <c r="D346" s="10">
        <f>IFERROR(_xll.ciqfunctions.udf.CIQ(mh_ticker, "IQ_SHARESOUTSTANDING_OUT", B346), "")</f>
        <v/>
      </c>
      <c r="E346" s="11">
        <f>IFERROR(_xll.ciqfunctions.udf.CIQ(mh_ticker, "IQ_CASH_EQUIV", , B346), "")</f>
        <v/>
      </c>
      <c r="F346" s="11">
        <f>IFERROR(_xll.ciqfunctions.udf.CIQ(mh_ticker, "IQ_ST_INVEST", , B346), "")</f>
        <v/>
      </c>
      <c r="G346" s="11">
        <f>IFERROR(_xll.ciqfunctions.udf.CIQ(mh_ticker, "IQ_TOTAL_DEBT_EXCL_OPER_LEASES", , B346), "")</f>
        <v/>
      </c>
      <c r="H346" s="11">
        <f>IFERROR(_xll.ciqfunctions.udf.CIQ(mh_ticker, "IQ_PREF_EQUITY", , B346), "")</f>
        <v/>
      </c>
      <c r="I346" s="11">
        <f>IFERROR(_xll.ciqfunctions.udf.CIQ(mh_ticker, "IQ_MINORITY_INTEREST", , B346), "")</f>
        <v/>
      </c>
      <c r="J346" s="11">
        <f>IFERROR(_xll.ciqfunctions.udf.CIQ(mh_ticker, "IQ_EQUITY_METHOD", , B346), "")</f>
        <v/>
      </c>
      <c r="K346" s="11">
        <f>IFERROR(_xll.ciqfunctions.udf.CIQ(mh_ticker, "IQ_LT_Mark_Securities", , B346), "")</f>
        <v/>
      </c>
      <c r="L346" s="12">
        <f>IFERROR(C346*D346, "")</f>
        <v/>
      </c>
      <c r="M346" s="12">
        <f>IFERROR(L346-E346-F346+G346+H346+I346-J346-K346, "")</f>
        <v/>
      </c>
      <c r="N346" s="11">
        <f>IFERROR(_xll.ciqfunctions.udf.CIQ(mh_ticker, "IQ_EBITDA_EST", IQ_NTM, B346, , , "USD"), "")</f>
        <v/>
      </c>
      <c r="O346" s="13">
        <f>IFERROR(M346/N346, "")</f>
        <v/>
      </c>
    </row>
    <row r="347">
      <c r="B347" s="8" t="n"/>
      <c r="C347" s="9">
        <f>IFERROR(_xll.ciqfunctions.udf.CIQ(mh_ticker, "IQ_LASTSALEPRICE", B347), "")</f>
        <v/>
      </c>
      <c r="D347" s="10">
        <f>IFERROR(_xll.ciqfunctions.udf.CIQ(mh_ticker, "IQ_SHARESOUTSTANDING_OUT", B347), "")</f>
        <v/>
      </c>
      <c r="E347" s="11">
        <f>IFERROR(_xll.ciqfunctions.udf.CIQ(mh_ticker, "IQ_CASH_EQUIV", , B347), "")</f>
        <v/>
      </c>
      <c r="F347" s="11">
        <f>IFERROR(_xll.ciqfunctions.udf.CIQ(mh_ticker, "IQ_ST_INVEST", , B347), "")</f>
        <v/>
      </c>
      <c r="G347" s="11">
        <f>IFERROR(_xll.ciqfunctions.udf.CIQ(mh_ticker, "IQ_TOTAL_DEBT_EXCL_OPER_LEASES", , B347), "")</f>
        <v/>
      </c>
      <c r="H347" s="11">
        <f>IFERROR(_xll.ciqfunctions.udf.CIQ(mh_ticker, "IQ_PREF_EQUITY", , B347), "")</f>
        <v/>
      </c>
      <c r="I347" s="11">
        <f>IFERROR(_xll.ciqfunctions.udf.CIQ(mh_ticker, "IQ_MINORITY_INTEREST", , B347), "")</f>
        <v/>
      </c>
      <c r="J347" s="11">
        <f>IFERROR(_xll.ciqfunctions.udf.CIQ(mh_ticker, "IQ_EQUITY_METHOD", , B347), "")</f>
        <v/>
      </c>
      <c r="K347" s="11">
        <f>IFERROR(_xll.ciqfunctions.udf.CIQ(mh_ticker, "IQ_LT_Mark_Securities", , B347), "")</f>
        <v/>
      </c>
      <c r="L347" s="12">
        <f>IFERROR(C347*D347, "")</f>
        <v/>
      </c>
      <c r="M347" s="12">
        <f>IFERROR(L347-E347-F347+G347+H347+I347-J347-K347, "")</f>
        <v/>
      </c>
      <c r="N347" s="11">
        <f>IFERROR(_xll.ciqfunctions.udf.CIQ(mh_ticker, "IQ_EBITDA_EST", IQ_NTM, B347, , , "USD"), "")</f>
        <v/>
      </c>
      <c r="O347" s="13">
        <f>IFERROR(M347/N347, "")</f>
        <v/>
      </c>
    </row>
    <row r="348">
      <c r="B348" s="8" t="n"/>
      <c r="C348" s="9">
        <f>IFERROR(_xll.ciqfunctions.udf.CIQ(mh_ticker, "IQ_LASTSALEPRICE", B348), "")</f>
        <v/>
      </c>
      <c r="D348" s="10">
        <f>IFERROR(_xll.ciqfunctions.udf.CIQ(mh_ticker, "IQ_SHARESOUTSTANDING_OUT", B348), "")</f>
        <v/>
      </c>
      <c r="E348" s="11">
        <f>IFERROR(_xll.ciqfunctions.udf.CIQ(mh_ticker, "IQ_CASH_EQUIV", , B348), "")</f>
        <v/>
      </c>
      <c r="F348" s="11">
        <f>IFERROR(_xll.ciqfunctions.udf.CIQ(mh_ticker, "IQ_ST_INVEST", , B348), "")</f>
        <v/>
      </c>
      <c r="G348" s="11">
        <f>IFERROR(_xll.ciqfunctions.udf.CIQ(mh_ticker, "IQ_TOTAL_DEBT_EXCL_OPER_LEASES", , B348), "")</f>
        <v/>
      </c>
      <c r="H348" s="11">
        <f>IFERROR(_xll.ciqfunctions.udf.CIQ(mh_ticker, "IQ_PREF_EQUITY", , B348), "")</f>
        <v/>
      </c>
      <c r="I348" s="11">
        <f>IFERROR(_xll.ciqfunctions.udf.CIQ(mh_ticker, "IQ_MINORITY_INTEREST", , B348), "")</f>
        <v/>
      </c>
      <c r="J348" s="11">
        <f>IFERROR(_xll.ciqfunctions.udf.CIQ(mh_ticker, "IQ_EQUITY_METHOD", , B348), "")</f>
        <v/>
      </c>
      <c r="K348" s="11">
        <f>IFERROR(_xll.ciqfunctions.udf.CIQ(mh_ticker, "IQ_LT_Mark_Securities", , B348), "")</f>
        <v/>
      </c>
      <c r="L348" s="12">
        <f>IFERROR(C348*D348, "")</f>
        <v/>
      </c>
      <c r="M348" s="12">
        <f>IFERROR(L348-E348-F348+G348+H348+I348-J348-K348, "")</f>
        <v/>
      </c>
      <c r="N348" s="11">
        <f>IFERROR(_xll.ciqfunctions.udf.CIQ(mh_ticker, "IQ_EBITDA_EST", IQ_NTM, B348, , , "USD"), "")</f>
        <v/>
      </c>
      <c r="O348" s="13">
        <f>IFERROR(M348/N348, "")</f>
        <v/>
      </c>
    </row>
    <row r="349">
      <c r="B349" s="8" t="n"/>
      <c r="C349" s="9">
        <f>IFERROR(_xll.ciqfunctions.udf.CIQ(mh_ticker, "IQ_LASTSALEPRICE", B349), "")</f>
        <v/>
      </c>
      <c r="D349" s="10">
        <f>IFERROR(_xll.ciqfunctions.udf.CIQ(mh_ticker, "IQ_SHARESOUTSTANDING_OUT", B349), "")</f>
        <v/>
      </c>
      <c r="E349" s="11">
        <f>IFERROR(_xll.ciqfunctions.udf.CIQ(mh_ticker, "IQ_CASH_EQUIV", , B349), "")</f>
        <v/>
      </c>
      <c r="F349" s="11">
        <f>IFERROR(_xll.ciqfunctions.udf.CIQ(mh_ticker, "IQ_ST_INVEST", , B349), "")</f>
        <v/>
      </c>
      <c r="G349" s="11">
        <f>IFERROR(_xll.ciqfunctions.udf.CIQ(mh_ticker, "IQ_TOTAL_DEBT_EXCL_OPER_LEASES", , B349), "")</f>
        <v/>
      </c>
      <c r="H349" s="11">
        <f>IFERROR(_xll.ciqfunctions.udf.CIQ(mh_ticker, "IQ_PREF_EQUITY", , B349), "")</f>
        <v/>
      </c>
      <c r="I349" s="11">
        <f>IFERROR(_xll.ciqfunctions.udf.CIQ(mh_ticker, "IQ_MINORITY_INTEREST", , B349), "")</f>
        <v/>
      </c>
      <c r="J349" s="11">
        <f>IFERROR(_xll.ciqfunctions.udf.CIQ(mh_ticker, "IQ_EQUITY_METHOD", , B349), "")</f>
        <v/>
      </c>
      <c r="K349" s="11">
        <f>IFERROR(_xll.ciqfunctions.udf.CIQ(mh_ticker, "IQ_LT_Mark_Securities", , B349), "")</f>
        <v/>
      </c>
      <c r="L349" s="12">
        <f>IFERROR(C349*D349, "")</f>
        <v/>
      </c>
      <c r="M349" s="12">
        <f>IFERROR(L349-E349-F349+G349+H349+I349-J349-K349, "")</f>
        <v/>
      </c>
      <c r="N349" s="11">
        <f>IFERROR(_xll.ciqfunctions.udf.CIQ(mh_ticker, "IQ_EBITDA_EST", IQ_NTM, B349, , , "USD"), "")</f>
        <v/>
      </c>
      <c r="O349" s="13">
        <f>IFERROR(M349/N349, "")</f>
        <v/>
      </c>
    </row>
    <row r="350">
      <c r="B350" s="8" t="n"/>
      <c r="C350" s="9">
        <f>IFERROR(_xll.ciqfunctions.udf.CIQ(mh_ticker, "IQ_LASTSALEPRICE", B350), "")</f>
        <v/>
      </c>
      <c r="D350" s="10">
        <f>IFERROR(_xll.ciqfunctions.udf.CIQ(mh_ticker, "IQ_SHARESOUTSTANDING_OUT", B350), "")</f>
        <v/>
      </c>
      <c r="E350" s="11">
        <f>IFERROR(_xll.ciqfunctions.udf.CIQ(mh_ticker, "IQ_CASH_EQUIV", , B350), "")</f>
        <v/>
      </c>
      <c r="F350" s="11">
        <f>IFERROR(_xll.ciqfunctions.udf.CIQ(mh_ticker, "IQ_ST_INVEST", , B350), "")</f>
        <v/>
      </c>
      <c r="G350" s="11">
        <f>IFERROR(_xll.ciqfunctions.udf.CIQ(mh_ticker, "IQ_TOTAL_DEBT_EXCL_OPER_LEASES", , B350), "")</f>
        <v/>
      </c>
      <c r="H350" s="11">
        <f>IFERROR(_xll.ciqfunctions.udf.CIQ(mh_ticker, "IQ_PREF_EQUITY", , B350), "")</f>
        <v/>
      </c>
      <c r="I350" s="11">
        <f>IFERROR(_xll.ciqfunctions.udf.CIQ(mh_ticker, "IQ_MINORITY_INTEREST", , B350), "")</f>
        <v/>
      </c>
      <c r="J350" s="11">
        <f>IFERROR(_xll.ciqfunctions.udf.CIQ(mh_ticker, "IQ_EQUITY_METHOD", , B350), "")</f>
        <v/>
      </c>
      <c r="K350" s="11">
        <f>IFERROR(_xll.ciqfunctions.udf.CIQ(mh_ticker, "IQ_LT_Mark_Securities", , B350), "")</f>
        <v/>
      </c>
      <c r="L350" s="12">
        <f>IFERROR(C350*D350, "")</f>
        <v/>
      </c>
      <c r="M350" s="12">
        <f>IFERROR(L350-E350-F350+G350+H350+I350-J350-K350, "")</f>
        <v/>
      </c>
      <c r="N350" s="11">
        <f>IFERROR(_xll.ciqfunctions.udf.CIQ(mh_ticker, "IQ_EBITDA_EST", IQ_NTM, B350, , , "USD"), "")</f>
        <v/>
      </c>
      <c r="O350" s="13">
        <f>IFERROR(M350/N350, "")</f>
        <v/>
      </c>
    </row>
    <row r="351">
      <c r="B351" s="8" t="n"/>
      <c r="C351" s="9">
        <f>IFERROR(_xll.ciqfunctions.udf.CIQ(mh_ticker, "IQ_LASTSALEPRICE", B351), "")</f>
        <v/>
      </c>
      <c r="D351" s="10">
        <f>IFERROR(_xll.ciqfunctions.udf.CIQ(mh_ticker, "IQ_SHARESOUTSTANDING_OUT", B351), "")</f>
        <v/>
      </c>
      <c r="E351" s="11">
        <f>IFERROR(_xll.ciqfunctions.udf.CIQ(mh_ticker, "IQ_CASH_EQUIV", , B351), "")</f>
        <v/>
      </c>
      <c r="F351" s="11">
        <f>IFERROR(_xll.ciqfunctions.udf.CIQ(mh_ticker, "IQ_ST_INVEST", , B351), "")</f>
        <v/>
      </c>
      <c r="G351" s="11">
        <f>IFERROR(_xll.ciqfunctions.udf.CIQ(mh_ticker, "IQ_TOTAL_DEBT_EXCL_OPER_LEASES", , B351), "")</f>
        <v/>
      </c>
      <c r="H351" s="11">
        <f>IFERROR(_xll.ciqfunctions.udf.CIQ(mh_ticker, "IQ_PREF_EQUITY", , B351), "")</f>
        <v/>
      </c>
      <c r="I351" s="11">
        <f>IFERROR(_xll.ciqfunctions.udf.CIQ(mh_ticker, "IQ_MINORITY_INTEREST", , B351), "")</f>
        <v/>
      </c>
      <c r="J351" s="11">
        <f>IFERROR(_xll.ciqfunctions.udf.CIQ(mh_ticker, "IQ_EQUITY_METHOD", , B351), "")</f>
        <v/>
      </c>
      <c r="K351" s="11">
        <f>IFERROR(_xll.ciqfunctions.udf.CIQ(mh_ticker, "IQ_LT_Mark_Securities", , B351), "")</f>
        <v/>
      </c>
      <c r="L351" s="12">
        <f>IFERROR(C351*D351, "")</f>
        <v/>
      </c>
      <c r="M351" s="12">
        <f>IFERROR(L351-E351-F351+G351+H351+I351-J351-K351, "")</f>
        <v/>
      </c>
      <c r="N351" s="11">
        <f>IFERROR(_xll.ciqfunctions.udf.CIQ(mh_ticker, "IQ_EBITDA_EST", IQ_NTM, B351, , , "USD"), "")</f>
        <v/>
      </c>
      <c r="O351" s="13">
        <f>IFERROR(M351/N351, "")</f>
        <v/>
      </c>
    </row>
    <row r="352">
      <c r="B352" s="8" t="n"/>
      <c r="C352" s="9">
        <f>IFERROR(_xll.ciqfunctions.udf.CIQ(mh_ticker, "IQ_LASTSALEPRICE", B352), "")</f>
        <v/>
      </c>
      <c r="D352" s="10">
        <f>IFERROR(_xll.ciqfunctions.udf.CIQ(mh_ticker, "IQ_SHARESOUTSTANDING_OUT", B352), "")</f>
        <v/>
      </c>
      <c r="E352" s="11">
        <f>IFERROR(_xll.ciqfunctions.udf.CIQ(mh_ticker, "IQ_CASH_EQUIV", , B352), "")</f>
        <v/>
      </c>
      <c r="F352" s="11">
        <f>IFERROR(_xll.ciqfunctions.udf.CIQ(mh_ticker, "IQ_ST_INVEST", , B352), "")</f>
        <v/>
      </c>
      <c r="G352" s="11">
        <f>IFERROR(_xll.ciqfunctions.udf.CIQ(mh_ticker, "IQ_TOTAL_DEBT_EXCL_OPER_LEASES", , B352), "")</f>
        <v/>
      </c>
      <c r="H352" s="11">
        <f>IFERROR(_xll.ciqfunctions.udf.CIQ(mh_ticker, "IQ_PREF_EQUITY", , B352), "")</f>
        <v/>
      </c>
      <c r="I352" s="11">
        <f>IFERROR(_xll.ciqfunctions.udf.CIQ(mh_ticker, "IQ_MINORITY_INTEREST", , B352), "")</f>
        <v/>
      </c>
      <c r="J352" s="11">
        <f>IFERROR(_xll.ciqfunctions.udf.CIQ(mh_ticker, "IQ_EQUITY_METHOD", , B352), "")</f>
        <v/>
      </c>
      <c r="K352" s="11">
        <f>IFERROR(_xll.ciqfunctions.udf.CIQ(mh_ticker, "IQ_LT_Mark_Securities", , B352), "")</f>
        <v/>
      </c>
      <c r="L352" s="12">
        <f>IFERROR(C352*D352, "")</f>
        <v/>
      </c>
      <c r="M352" s="12">
        <f>IFERROR(L352-E352-F352+G352+H352+I352-J352-K352, "")</f>
        <v/>
      </c>
      <c r="N352" s="11">
        <f>IFERROR(_xll.ciqfunctions.udf.CIQ(mh_ticker, "IQ_EBITDA_EST", IQ_NTM, B352, , , "USD"), "")</f>
        <v/>
      </c>
      <c r="O352" s="13">
        <f>IFERROR(M352/N352, "")</f>
        <v/>
      </c>
    </row>
    <row r="353">
      <c r="B353" s="8" t="n"/>
      <c r="C353" s="9">
        <f>IFERROR(_xll.ciqfunctions.udf.CIQ(mh_ticker, "IQ_LASTSALEPRICE", B353), "")</f>
        <v/>
      </c>
      <c r="D353" s="10">
        <f>IFERROR(_xll.ciqfunctions.udf.CIQ(mh_ticker, "IQ_SHARESOUTSTANDING_OUT", B353), "")</f>
        <v/>
      </c>
      <c r="E353" s="11">
        <f>IFERROR(_xll.ciqfunctions.udf.CIQ(mh_ticker, "IQ_CASH_EQUIV", , B353), "")</f>
        <v/>
      </c>
      <c r="F353" s="11">
        <f>IFERROR(_xll.ciqfunctions.udf.CIQ(mh_ticker, "IQ_ST_INVEST", , B353), "")</f>
        <v/>
      </c>
      <c r="G353" s="11">
        <f>IFERROR(_xll.ciqfunctions.udf.CIQ(mh_ticker, "IQ_TOTAL_DEBT_EXCL_OPER_LEASES", , B353), "")</f>
        <v/>
      </c>
      <c r="H353" s="11">
        <f>IFERROR(_xll.ciqfunctions.udf.CIQ(mh_ticker, "IQ_PREF_EQUITY", , B353), "")</f>
        <v/>
      </c>
      <c r="I353" s="11">
        <f>IFERROR(_xll.ciqfunctions.udf.CIQ(mh_ticker, "IQ_MINORITY_INTEREST", , B353), "")</f>
        <v/>
      </c>
      <c r="J353" s="11">
        <f>IFERROR(_xll.ciqfunctions.udf.CIQ(mh_ticker, "IQ_EQUITY_METHOD", , B353), "")</f>
        <v/>
      </c>
      <c r="K353" s="11">
        <f>IFERROR(_xll.ciqfunctions.udf.CIQ(mh_ticker, "IQ_LT_Mark_Securities", , B353), "")</f>
        <v/>
      </c>
      <c r="L353" s="12">
        <f>IFERROR(C353*D353, "")</f>
        <v/>
      </c>
      <c r="M353" s="12">
        <f>IFERROR(L353-E353-F353+G353+H353+I353-J353-K353, "")</f>
        <v/>
      </c>
      <c r="N353" s="11">
        <f>IFERROR(_xll.ciqfunctions.udf.CIQ(mh_ticker, "IQ_EBITDA_EST", IQ_NTM, B353, , , "USD"), "")</f>
        <v/>
      </c>
      <c r="O353" s="13">
        <f>IFERROR(M353/N353, "")</f>
        <v/>
      </c>
    </row>
    <row r="354">
      <c r="B354" s="8" t="n"/>
      <c r="C354" s="9">
        <f>IFERROR(_xll.ciqfunctions.udf.CIQ(mh_ticker, "IQ_LASTSALEPRICE", B354), "")</f>
        <v/>
      </c>
      <c r="D354" s="10">
        <f>IFERROR(_xll.ciqfunctions.udf.CIQ(mh_ticker, "IQ_SHARESOUTSTANDING_OUT", B354), "")</f>
        <v/>
      </c>
      <c r="E354" s="11">
        <f>IFERROR(_xll.ciqfunctions.udf.CIQ(mh_ticker, "IQ_CASH_EQUIV", , B354), "")</f>
        <v/>
      </c>
      <c r="F354" s="11">
        <f>IFERROR(_xll.ciqfunctions.udf.CIQ(mh_ticker, "IQ_ST_INVEST", , B354), "")</f>
        <v/>
      </c>
      <c r="G354" s="11">
        <f>IFERROR(_xll.ciqfunctions.udf.CIQ(mh_ticker, "IQ_TOTAL_DEBT_EXCL_OPER_LEASES", , B354), "")</f>
        <v/>
      </c>
      <c r="H354" s="11">
        <f>IFERROR(_xll.ciqfunctions.udf.CIQ(mh_ticker, "IQ_PREF_EQUITY", , B354), "")</f>
        <v/>
      </c>
      <c r="I354" s="11">
        <f>IFERROR(_xll.ciqfunctions.udf.CIQ(mh_ticker, "IQ_MINORITY_INTEREST", , B354), "")</f>
        <v/>
      </c>
      <c r="J354" s="11">
        <f>IFERROR(_xll.ciqfunctions.udf.CIQ(mh_ticker, "IQ_EQUITY_METHOD", , B354), "")</f>
        <v/>
      </c>
      <c r="K354" s="11">
        <f>IFERROR(_xll.ciqfunctions.udf.CIQ(mh_ticker, "IQ_LT_Mark_Securities", , B354), "")</f>
        <v/>
      </c>
      <c r="L354" s="12">
        <f>IFERROR(C354*D354, "")</f>
        <v/>
      </c>
      <c r="M354" s="12">
        <f>IFERROR(L354-E354-F354+G354+H354+I354-J354-K354, "")</f>
        <v/>
      </c>
      <c r="N354" s="11">
        <f>IFERROR(_xll.ciqfunctions.udf.CIQ(mh_ticker, "IQ_EBITDA_EST", IQ_NTM, B354, , , "USD"), "")</f>
        <v/>
      </c>
      <c r="O354" s="13">
        <f>IFERROR(M354/N354, "")</f>
        <v/>
      </c>
    </row>
    <row r="355">
      <c r="B355" s="8" t="n"/>
      <c r="C355" s="9">
        <f>IFERROR(_xll.ciqfunctions.udf.CIQ(mh_ticker, "IQ_LASTSALEPRICE", B355), "")</f>
        <v/>
      </c>
      <c r="D355" s="10">
        <f>IFERROR(_xll.ciqfunctions.udf.CIQ(mh_ticker, "IQ_SHARESOUTSTANDING_OUT", B355), "")</f>
        <v/>
      </c>
      <c r="E355" s="11">
        <f>IFERROR(_xll.ciqfunctions.udf.CIQ(mh_ticker, "IQ_CASH_EQUIV", , B355), "")</f>
        <v/>
      </c>
      <c r="F355" s="11">
        <f>IFERROR(_xll.ciqfunctions.udf.CIQ(mh_ticker, "IQ_ST_INVEST", , B355), "")</f>
        <v/>
      </c>
      <c r="G355" s="11">
        <f>IFERROR(_xll.ciqfunctions.udf.CIQ(mh_ticker, "IQ_TOTAL_DEBT_EXCL_OPER_LEASES", , B355), "")</f>
        <v/>
      </c>
      <c r="H355" s="11">
        <f>IFERROR(_xll.ciqfunctions.udf.CIQ(mh_ticker, "IQ_PREF_EQUITY", , B355), "")</f>
        <v/>
      </c>
      <c r="I355" s="11">
        <f>IFERROR(_xll.ciqfunctions.udf.CIQ(mh_ticker, "IQ_MINORITY_INTEREST", , B355), "")</f>
        <v/>
      </c>
      <c r="J355" s="11">
        <f>IFERROR(_xll.ciqfunctions.udf.CIQ(mh_ticker, "IQ_EQUITY_METHOD", , B355), "")</f>
        <v/>
      </c>
      <c r="K355" s="11">
        <f>IFERROR(_xll.ciqfunctions.udf.CIQ(mh_ticker, "IQ_LT_Mark_Securities", , B355), "")</f>
        <v/>
      </c>
      <c r="L355" s="12">
        <f>IFERROR(C355*D355, "")</f>
        <v/>
      </c>
      <c r="M355" s="12">
        <f>IFERROR(L355-E355-F355+G355+H355+I355-J355-K355, "")</f>
        <v/>
      </c>
      <c r="N355" s="11">
        <f>IFERROR(_xll.ciqfunctions.udf.CIQ(mh_ticker, "IQ_EBITDA_EST", IQ_NTM, B355, , , "USD"), "")</f>
        <v/>
      </c>
      <c r="O355" s="13">
        <f>IFERROR(M355/N355, "")</f>
        <v/>
      </c>
    </row>
    <row r="356">
      <c r="B356" s="8" t="n"/>
      <c r="C356" s="9">
        <f>IFERROR(_xll.ciqfunctions.udf.CIQ(mh_ticker, "IQ_LASTSALEPRICE", B356), "")</f>
        <v/>
      </c>
      <c r="D356" s="10">
        <f>IFERROR(_xll.ciqfunctions.udf.CIQ(mh_ticker, "IQ_SHARESOUTSTANDING_OUT", B356), "")</f>
        <v/>
      </c>
      <c r="E356" s="11">
        <f>IFERROR(_xll.ciqfunctions.udf.CIQ(mh_ticker, "IQ_CASH_EQUIV", , B356), "")</f>
        <v/>
      </c>
      <c r="F356" s="11">
        <f>IFERROR(_xll.ciqfunctions.udf.CIQ(mh_ticker, "IQ_ST_INVEST", , B356), "")</f>
        <v/>
      </c>
      <c r="G356" s="11">
        <f>IFERROR(_xll.ciqfunctions.udf.CIQ(mh_ticker, "IQ_TOTAL_DEBT_EXCL_OPER_LEASES", , B356), "")</f>
        <v/>
      </c>
      <c r="H356" s="11">
        <f>IFERROR(_xll.ciqfunctions.udf.CIQ(mh_ticker, "IQ_PREF_EQUITY", , B356), "")</f>
        <v/>
      </c>
      <c r="I356" s="11">
        <f>IFERROR(_xll.ciqfunctions.udf.CIQ(mh_ticker, "IQ_MINORITY_INTEREST", , B356), "")</f>
        <v/>
      </c>
      <c r="J356" s="11">
        <f>IFERROR(_xll.ciqfunctions.udf.CIQ(mh_ticker, "IQ_EQUITY_METHOD", , B356), "")</f>
        <v/>
      </c>
      <c r="K356" s="11">
        <f>IFERROR(_xll.ciqfunctions.udf.CIQ(mh_ticker, "IQ_LT_Mark_Securities", , B356), "")</f>
        <v/>
      </c>
      <c r="L356" s="12">
        <f>IFERROR(C356*D356, "")</f>
        <v/>
      </c>
      <c r="M356" s="12">
        <f>IFERROR(L356-E356-F356+G356+H356+I356-J356-K356, "")</f>
        <v/>
      </c>
      <c r="N356" s="11">
        <f>IFERROR(_xll.ciqfunctions.udf.CIQ(mh_ticker, "IQ_EBITDA_EST", IQ_NTM, B356, , , "USD"), "")</f>
        <v/>
      </c>
      <c r="O356" s="13">
        <f>IFERROR(M356/N356, "")</f>
        <v/>
      </c>
    </row>
    <row r="357">
      <c r="B357" s="8" t="n"/>
      <c r="C357" s="9">
        <f>IFERROR(_xll.ciqfunctions.udf.CIQ(mh_ticker, "IQ_LASTSALEPRICE", B357), "")</f>
        <v/>
      </c>
      <c r="D357" s="10">
        <f>IFERROR(_xll.ciqfunctions.udf.CIQ(mh_ticker, "IQ_SHARESOUTSTANDING_OUT", B357), "")</f>
        <v/>
      </c>
      <c r="E357" s="11">
        <f>IFERROR(_xll.ciqfunctions.udf.CIQ(mh_ticker, "IQ_CASH_EQUIV", , B357), "")</f>
        <v/>
      </c>
      <c r="F357" s="11">
        <f>IFERROR(_xll.ciqfunctions.udf.CIQ(mh_ticker, "IQ_ST_INVEST", , B357), "")</f>
        <v/>
      </c>
      <c r="G357" s="11">
        <f>IFERROR(_xll.ciqfunctions.udf.CIQ(mh_ticker, "IQ_TOTAL_DEBT_EXCL_OPER_LEASES", , B357), "")</f>
        <v/>
      </c>
      <c r="H357" s="11">
        <f>IFERROR(_xll.ciqfunctions.udf.CIQ(mh_ticker, "IQ_PREF_EQUITY", , B357), "")</f>
        <v/>
      </c>
      <c r="I357" s="11">
        <f>IFERROR(_xll.ciqfunctions.udf.CIQ(mh_ticker, "IQ_MINORITY_INTEREST", , B357), "")</f>
        <v/>
      </c>
      <c r="J357" s="11">
        <f>IFERROR(_xll.ciqfunctions.udf.CIQ(mh_ticker, "IQ_EQUITY_METHOD", , B357), "")</f>
        <v/>
      </c>
      <c r="K357" s="11">
        <f>IFERROR(_xll.ciqfunctions.udf.CIQ(mh_ticker, "IQ_LT_Mark_Securities", , B357), "")</f>
        <v/>
      </c>
      <c r="L357" s="12">
        <f>IFERROR(C357*D357, "")</f>
        <v/>
      </c>
      <c r="M357" s="12">
        <f>IFERROR(L357-E357-F357+G357+H357+I357-J357-K357, "")</f>
        <v/>
      </c>
      <c r="N357" s="11">
        <f>IFERROR(_xll.ciqfunctions.udf.CIQ(mh_ticker, "IQ_EBITDA_EST", IQ_NTM, B357, , , "USD"), "")</f>
        <v/>
      </c>
      <c r="O357" s="13">
        <f>IFERROR(M357/N357, "")</f>
        <v/>
      </c>
    </row>
    <row r="358">
      <c r="B358" s="8" t="n"/>
      <c r="C358" s="9">
        <f>IFERROR(_xll.ciqfunctions.udf.CIQ(mh_ticker, "IQ_LASTSALEPRICE", B358), "")</f>
        <v/>
      </c>
      <c r="D358" s="10">
        <f>IFERROR(_xll.ciqfunctions.udf.CIQ(mh_ticker, "IQ_SHARESOUTSTANDING_OUT", B358), "")</f>
        <v/>
      </c>
      <c r="E358" s="11">
        <f>IFERROR(_xll.ciqfunctions.udf.CIQ(mh_ticker, "IQ_CASH_EQUIV", , B358), "")</f>
        <v/>
      </c>
      <c r="F358" s="11">
        <f>IFERROR(_xll.ciqfunctions.udf.CIQ(mh_ticker, "IQ_ST_INVEST", , B358), "")</f>
        <v/>
      </c>
      <c r="G358" s="11">
        <f>IFERROR(_xll.ciqfunctions.udf.CIQ(mh_ticker, "IQ_TOTAL_DEBT_EXCL_OPER_LEASES", , B358), "")</f>
        <v/>
      </c>
      <c r="H358" s="11">
        <f>IFERROR(_xll.ciqfunctions.udf.CIQ(mh_ticker, "IQ_PREF_EQUITY", , B358), "")</f>
        <v/>
      </c>
      <c r="I358" s="11">
        <f>IFERROR(_xll.ciqfunctions.udf.CIQ(mh_ticker, "IQ_MINORITY_INTEREST", , B358), "")</f>
        <v/>
      </c>
      <c r="J358" s="11">
        <f>IFERROR(_xll.ciqfunctions.udf.CIQ(mh_ticker, "IQ_EQUITY_METHOD", , B358), "")</f>
        <v/>
      </c>
      <c r="K358" s="11">
        <f>IFERROR(_xll.ciqfunctions.udf.CIQ(mh_ticker, "IQ_LT_Mark_Securities", , B358), "")</f>
        <v/>
      </c>
      <c r="L358" s="12">
        <f>IFERROR(C358*D358, "")</f>
        <v/>
      </c>
      <c r="M358" s="12">
        <f>IFERROR(L358-E358-F358+G358+H358+I358-J358-K358, "")</f>
        <v/>
      </c>
      <c r="N358" s="11">
        <f>IFERROR(_xll.ciqfunctions.udf.CIQ(mh_ticker, "IQ_EBITDA_EST", IQ_NTM, B358, , , "USD"), "")</f>
        <v/>
      </c>
      <c r="O358" s="13">
        <f>IFERROR(M358/N358, "")</f>
        <v/>
      </c>
    </row>
    <row r="359">
      <c r="B359" s="8" t="n"/>
      <c r="C359" s="9">
        <f>IFERROR(_xll.ciqfunctions.udf.CIQ(mh_ticker, "IQ_LASTSALEPRICE", B359), "")</f>
        <v/>
      </c>
      <c r="D359" s="10">
        <f>IFERROR(_xll.ciqfunctions.udf.CIQ(mh_ticker, "IQ_SHARESOUTSTANDING_OUT", B359), "")</f>
        <v/>
      </c>
      <c r="E359" s="11">
        <f>IFERROR(_xll.ciqfunctions.udf.CIQ(mh_ticker, "IQ_CASH_EQUIV", , B359), "")</f>
        <v/>
      </c>
      <c r="F359" s="11">
        <f>IFERROR(_xll.ciqfunctions.udf.CIQ(mh_ticker, "IQ_ST_INVEST", , B359), "")</f>
        <v/>
      </c>
      <c r="G359" s="11">
        <f>IFERROR(_xll.ciqfunctions.udf.CIQ(mh_ticker, "IQ_TOTAL_DEBT_EXCL_OPER_LEASES", , B359), "")</f>
        <v/>
      </c>
      <c r="H359" s="11">
        <f>IFERROR(_xll.ciqfunctions.udf.CIQ(mh_ticker, "IQ_PREF_EQUITY", , B359), "")</f>
        <v/>
      </c>
      <c r="I359" s="11">
        <f>IFERROR(_xll.ciqfunctions.udf.CIQ(mh_ticker, "IQ_MINORITY_INTEREST", , B359), "")</f>
        <v/>
      </c>
      <c r="J359" s="11">
        <f>IFERROR(_xll.ciqfunctions.udf.CIQ(mh_ticker, "IQ_EQUITY_METHOD", , B359), "")</f>
        <v/>
      </c>
      <c r="K359" s="11">
        <f>IFERROR(_xll.ciqfunctions.udf.CIQ(mh_ticker, "IQ_LT_Mark_Securities", , B359), "")</f>
        <v/>
      </c>
      <c r="L359" s="12">
        <f>IFERROR(C359*D359, "")</f>
        <v/>
      </c>
      <c r="M359" s="12">
        <f>IFERROR(L359-E359-F359+G359+H359+I359-J359-K359, "")</f>
        <v/>
      </c>
      <c r="N359" s="11">
        <f>IFERROR(_xll.ciqfunctions.udf.CIQ(mh_ticker, "IQ_EBITDA_EST", IQ_NTM, B359, , , "USD"), "")</f>
        <v/>
      </c>
      <c r="O359" s="13">
        <f>IFERROR(M359/N359, "")</f>
        <v/>
      </c>
    </row>
    <row r="360">
      <c r="B360" s="8" t="n"/>
      <c r="C360" s="9">
        <f>IFERROR(_xll.ciqfunctions.udf.CIQ(mh_ticker, "IQ_LASTSALEPRICE", B360), "")</f>
        <v/>
      </c>
      <c r="D360" s="10">
        <f>IFERROR(_xll.ciqfunctions.udf.CIQ(mh_ticker, "IQ_SHARESOUTSTANDING_OUT", B360), "")</f>
        <v/>
      </c>
      <c r="E360" s="11">
        <f>IFERROR(_xll.ciqfunctions.udf.CIQ(mh_ticker, "IQ_CASH_EQUIV", , B360), "")</f>
        <v/>
      </c>
      <c r="F360" s="11">
        <f>IFERROR(_xll.ciqfunctions.udf.CIQ(mh_ticker, "IQ_ST_INVEST", , B360), "")</f>
        <v/>
      </c>
      <c r="G360" s="11">
        <f>IFERROR(_xll.ciqfunctions.udf.CIQ(mh_ticker, "IQ_TOTAL_DEBT_EXCL_OPER_LEASES", , B360), "")</f>
        <v/>
      </c>
      <c r="H360" s="11">
        <f>IFERROR(_xll.ciqfunctions.udf.CIQ(mh_ticker, "IQ_PREF_EQUITY", , B360), "")</f>
        <v/>
      </c>
      <c r="I360" s="11">
        <f>IFERROR(_xll.ciqfunctions.udf.CIQ(mh_ticker, "IQ_MINORITY_INTEREST", , B360), "")</f>
        <v/>
      </c>
      <c r="J360" s="11">
        <f>IFERROR(_xll.ciqfunctions.udf.CIQ(mh_ticker, "IQ_EQUITY_METHOD", , B360), "")</f>
        <v/>
      </c>
      <c r="K360" s="11">
        <f>IFERROR(_xll.ciqfunctions.udf.CIQ(mh_ticker, "IQ_LT_Mark_Securities", , B360), "")</f>
        <v/>
      </c>
      <c r="L360" s="12">
        <f>IFERROR(C360*D360, "")</f>
        <v/>
      </c>
      <c r="M360" s="12">
        <f>IFERROR(L360-E360-F360+G360+H360+I360-J360-K360, "")</f>
        <v/>
      </c>
      <c r="N360" s="11">
        <f>IFERROR(_xll.ciqfunctions.udf.CIQ(mh_ticker, "IQ_EBITDA_EST", IQ_NTM, B360, , , "USD"), "")</f>
        <v/>
      </c>
      <c r="O360" s="13">
        <f>IFERROR(M360/N360, "")</f>
        <v/>
      </c>
    </row>
    <row r="361">
      <c r="B361" s="8" t="n"/>
      <c r="C361" s="9">
        <f>IFERROR(_xll.ciqfunctions.udf.CIQ(mh_ticker, "IQ_LASTSALEPRICE", B361), "")</f>
        <v/>
      </c>
      <c r="D361" s="10">
        <f>IFERROR(_xll.ciqfunctions.udf.CIQ(mh_ticker, "IQ_SHARESOUTSTANDING_OUT", B361), "")</f>
        <v/>
      </c>
      <c r="E361" s="11">
        <f>IFERROR(_xll.ciqfunctions.udf.CIQ(mh_ticker, "IQ_CASH_EQUIV", , B361), "")</f>
        <v/>
      </c>
      <c r="F361" s="11">
        <f>IFERROR(_xll.ciqfunctions.udf.CIQ(mh_ticker, "IQ_ST_INVEST", , B361), "")</f>
        <v/>
      </c>
      <c r="G361" s="11">
        <f>IFERROR(_xll.ciqfunctions.udf.CIQ(mh_ticker, "IQ_TOTAL_DEBT_EXCL_OPER_LEASES", , B361), "")</f>
        <v/>
      </c>
      <c r="H361" s="11">
        <f>IFERROR(_xll.ciqfunctions.udf.CIQ(mh_ticker, "IQ_PREF_EQUITY", , B361), "")</f>
        <v/>
      </c>
      <c r="I361" s="11">
        <f>IFERROR(_xll.ciqfunctions.udf.CIQ(mh_ticker, "IQ_MINORITY_INTEREST", , B361), "")</f>
        <v/>
      </c>
      <c r="J361" s="11">
        <f>IFERROR(_xll.ciqfunctions.udf.CIQ(mh_ticker, "IQ_EQUITY_METHOD", , B361), "")</f>
        <v/>
      </c>
      <c r="K361" s="11">
        <f>IFERROR(_xll.ciqfunctions.udf.CIQ(mh_ticker, "IQ_LT_Mark_Securities", , B361), "")</f>
        <v/>
      </c>
      <c r="L361" s="12">
        <f>IFERROR(C361*D361, "")</f>
        <v/>
      </c>
      <c r="M361" s="12">
        <f>IFERROR(L361-E361-F361+G361+H361+I361-J361-K361, "")</f>
        <v/>
      </c>
      <c r="N361" s="11">
        <f>IFERROR(_xll.ciqfunctions.udf.CIQ(mh_ticker, "IQ_EBITDA_EST", IQ_NTM, B361, , , "USD"), "")</f>
        <v/>
      </c>
      <c r="O361" s="13">
        <f>IFERROR(M361/N361, "")</f>
        <v/>
      </c>
    </row>
    <row r="362">
      <c r="B362" s="8" t="n"/>
      <c r="C362" s="9">
        <f>IFERROR(_xll.ciqfunctions.udf.CIQ(mh_ticker, "IQ_LASTSALEPRICE", B362), "")</f>
        <v/>
      </c>
      <c r="D362" s="10">
        <f>IFERROR(_xll.ciqfunctions.udf.CIQ(mh_ticker, "IQ_SHARESOUTSTANDING_OUT", B362), "")</f>
        <v/>
      </c>
      <c r="E362" s="11">
        <f>IFERROR(_xll.ciqfunctions.udf.CIQ(mh_ticker, "IQ_CASH_EQUIV", , B362), "")</f>
        <v/>
      </c>
      <c r="F362" s="11">
        <f>IFERROR(_xll.ciqfunctions.udf.CIQ(mh_ticker, "IQ_ST_INVEST", , B362), "")</f>
        <v/>
      </c>
      <c r="G362" s="11">
        <f>IFERROR(_xll.ciqfunctions.udf.CIQ(mh_ticker, "IQ_TOTAL_DEBT_EXCL_OPER_LEASES", , B362), "")</f>
        <v/>
      </c>
      <c r="H362" s="11">
        <f>IFERROR(_xll.ciqfunctions.udf.CIQ(mh_ticker, "IQ_PREF_EQUITY", , B362), "")</f>
        <v/>
      </c>
      <c r="I362" s="11">
        <f>IFERROR(_xll.ciqfunctions.udf.CIQ(mh_ticker, "IQ_MINORITY_INTEREST", , B362), "")</f>
        <v/>
      </c>
      <c r="J362" s="11">
        <f>IFERROR(_xll.ciqfunctions.udf.CIQ(mh_ticker, "IQ_EQUITY_METHOD", , B362), "")</f>
        <v/>
      </c>
      <c r="K362" s="11">
        <f>IFERROR(_xll.ciqfunctions.udf.CIQ(mh_ticker, "IQ_LT_Mark_Securities", , B362), "")</f>
        <v/>
      </c>
      <c r="L362" s="12">
        <f>IFERROR(C362*D362, "")</f>
        <v/>
      </c>
      <c r="M362" s="12">
        <f>IFERROR(L362-E362-F362+G362+H362+I362-J362-K362, "")</f>
        <v/>
      </c>
      <c r="N362" s="11">
        <f>IFERROR(_xll.ciqfunctions.udf.CIQ(mh_ticker, "IQ_EBITDA_EST", IQ_NTM, B362, , , "USD"), "")</f>
        <v/>
      </c>
      <c r="O362" s="13">
        <f>IFERROR(M362/N362, "")</f>
        <v/>
      </c>
    </row>
    <row r="363">
      <c r="B363" s="8" t="n"/>
      <c r="C363" s="9">
        <f>IFERROR(_xll.ciqfunctions.udf.CIQ(mh_ticker, "IQ_LASTSALEPRICE", B363), "")</f>
        <v/>
      </c>
      <c r="D363" s="10">
        <f>IFERROR(_xll.ciqfunctions.udf.CIQ(mh_ticker, "IQ_SHARESOUTSTANDING_OUT", B363), "")</f>
        <v/>
      </c>
      <c r="E363" s="11">
        <f>IFERROR(_xll.ciqfunctions.udf.CIQ(mh_ticker, "IQ_CASH_EQUIV", , B363), "")</f>
        <v/>
      </c>
      <c r="F363" s="11">
        <f>IFERROR(_xll.ciqfunctions.udf.CIQ(mh_ticker, "IQ_ST_INVEST", , B363), "")</f>
        <v/>
      </c>
      <c r="G363" s="11">
        <f>IFERROR(_xll.ciqfunctions.udf.CIQ(mh_ticker, "IQ_TOTAL_DEBT_EXCL_OPER_LEASES", , B363), "")</f>
        <v/>
      </c>
      <c r="H363" s="11">
        <f>IFERROR(_xll.ciqfunctions.udf.CIQ(mh_ticker, "IQ_PREF_EQUITY", , B363), "")</f>
        <v/>
      </c>
      <c r="I363" s="11">
        <f>IFERROR(_xll.ciqfunctions.udf.CIQ(mh_ticker, "IQ_MINORITY_INTEREST", , B363), "")</f>
        <v/>
      </c>
      <c r="J363" s="11">
        <f>IFERROR(_xll.ciqfunctions.udf.CIQ(mh_ticker, "IQ_EQUITY_METHOD", , B363), "")</f>
        <v/>
      </c>
      <c r="K363" s="11">
        <f>IFERROR(_xll.ciqfunctions.udf.CIQ(mh_ticker, "IQ_LT_Mark_Securities", , B363), "")</f>
        <v/>
      </c>
      <c r="L363" s="12">
        <f>IFERROR(C363*D363, "")</f>
        <v/>
      </c>
      <c r="M363" s="12">
        <f>IFERROR(L363-E363-F363+G363+H363+I363-J363-K363, "")</f>
        <v/>
      </c>
      <c r="N363" s="11">
        <f>IFERROR(_xll.ciqfunctions.udf.CIQ(mh_ticker, "IQ_EBITDA_EST", IQ_NTM, B363, , , "USD"), "")</f>
        <v/>
      </c>
      <c r="O363" s="13">
        <f>IFERROR(M363/N363, "")</f>
        <v/>
      </c>
    </row>
    <row r="364">
      <c r="B364" s="8" t="n"/>
      <c r="C364" s="9">
        <f>IFERROR(_xll.ciqfunctions.udf.CIQ(mh_ticker, "IQ_LASTSALEPRICE", B364), "")</f>
        <v/>
      </c>
      <c r="D364" s="10">
        <f>IFERROR(_xll.ciqfunctions.udf.CIQ(mh_ticker, "IQ_SHARESOUTSTANDING_OUT", B364), "")</f>
        <v/>
      </c>
      <c r="E364" s="11">
        <f>IFERROR(_xll.ciqfunctions.udf.CIQ(mh_ticker, "IQ_CASH_EQUIV", , B364), "")</f>
        <v/>
      </c>
      <c r="F364" s="11">
        <f>IFERROR(_xll.ciqfunctions.udf.CIQ(mh_ticker, "IQ_ST_INVEST", , B364), "")</f>
        <v/>
      </c>
      <c r="G364" s="11">
        <f>IFERROR(_xll.ciqfunctions.udf.CIQ(mh_ticker, "IQ_TOTAL_DEBT_EXCL_OPER_LEASES", , B364), "")</f>
        <v/>
      </c>
      <c r="H364" s="11">
        <f>IFERROR(_xll.ciqfunctions.udf.CIQ(mh_ticker, "IQ_PREF_EQUITY", , B364), "")</f>
        <v/>
      </c>
      <c r="I364" s="11">
        <f>IFERROR(_xll.ciqfunctions.udf.CIQ(mh_ticker, "IQ_MINORITY_INTEREST", , B364), "")</f>
        <v/>
      </c>
      <c r="J364" s="11">
        <f>IFERROR(_xll.ciqfunctions.udf.CIQ(mh_ticker, "IQ_EQUITY_METHOD", , B364), "")</f>
        <v/>
      </c>
      <c r="K364" s="11">
        <f>IFERROR(_xll.ciqfunctions.udf.CIQ(mh_ticker, "IQ_LT_Mark_Securities", , B364), "")</f>
        <v/>
      </c>
      <c r="L364" s="12">
        <f>IFERROR(C364*D364, "")</f>
        <v/>
      </c>
      <c r="M364" s="12">
        <f>IFERROR(L364-E364-F364+G364+H364+I364-J364-K364, "")</f>
        <v/>
      </c>
      <c r="N364" s="11">
        <f>IFERROR(_xll.ciqfunctions.udf.CIQ(mh_ticker, "IQ_EBITDA_EST", IQ_NTM, B364, , , "USD"), "")</f>
        <v/>
      </c>
      <c r="O364" s="13">
        <f>IFERROR(M364/N364, "")</f>
        <v/>
      </c>
    </row>
    <row r="365">
      <c r="B365" s="8" t="n"/>
      <c r="C365" s="9">
        <f>IFERROR(_xll.ciqfunctions.udf.CIQ(mh_ticker, "IQ_LASTSALEPRICE", B365), "")</f>
        <v/>
      </c>
      <c r="D365" s="10">
        <f>IFERROR(_xll.ciqfunctions.udf.CIQ(mh_ticker, "IQ_SHARESOUTSTANDING_OUT", B365), "")</f>
        <v/>
      </c>
      <c r="E365" s="11">
        <f>IFERROR(_xll.ciqfunctions.udf.CIQ(mh_ticker, "IQ_CASH_EQUIV", , B365), "")</f>
        <v/>
      </c>
      <c r="F365" s="11">
        <f>IFERROR(_xll.ciqfunctions.udf.CIQ(mh_ticker, "IQ_ST_INVEST", , B365), "")</f>
        <v/>
      </c>
      <c r="G365" s="11">
        <f>IFERROR(_xll.ciqfunctions.udf.CIQ(mh_ticker, "IQ_TOTAL_DEBT_EXCL_OPER_LEASES", , B365), "")</f>
        <v/>
      </c>
      <c r="H365" s="11">
        <f>IFERROR(_xll.ciqfunctions.udf.CIQ(mh_ticker, "IQ_PREF_EQUITY", , B365), "")</f>
        <v/>
      </c>
      <c r="I365" s="11">
        <f>IFERROR(_xll.ciqfunctions.udf.CIQ(mh_ticker, "IQ_MINORITY_INTEREST", , B365), "")</f>
        <v/>
      </c>
      <c r="J365" s="11">
        <f>IFERROR(_xll.ciqfunctions.udf.CIQ(mh_ticker, "IQ_EQUITY_METHOD", , B365), "")</f>
        <v/>
      </c>
      <c r="K365" s="11">
        <f>IFERROR(_xll.ciqfunctions.udf.CIQ(mh_ticker, "IQ_LT_Mark_Securities", , B365), "")</f>
        <v/>
      </c>
      <c r="L365" s="12">
        <f>IFERROR(C365*D365, "")</f>
        <v/>
      </c>
      <c r="M365" s="12">
        <f>IFERROR(L365-E365-F365+G365+H365+I365-J365-K365, "")</f>
        <v/>
      </c>
      <c r="N365" s="11">
        <f>IFERROR(_xll.ciqfunctions.udf.CIQ(mh_ticker, "IQ_EBITDA_EST", IQ_NTM, B365, , , "USD"), "")</f>
        <v/>
      </c>
      <c r="O365" s="13">
        <f>IFERROR(M365/N365, "")</f>
        <v/>
      </c>
    </row>
    <row r="366">
      <c r="B366" s="8" t="n"/>
      <c r="C366" s="9">
        <f>IFERROR(_xll.ciqfunctions.udf.CIQ(mh_ticker, "IQ_LASTSALEPRICE", B366), "")</f>
        <v/>
      </c>
      <c r="D366" s="10">
        <f>IFERROR(_xll.ciqfunctions.udf.CIQ(mh_ticker, "IQ_SHARESOUTSTANDING_OUT", B366), "")</f>
        <v/>
      </c>
      <c r="E366" s="11">
        <f>IFERROR(_xll.ciqfunctions.udf.CIQ(mh_ticker, "IQ_CASH_EQUIV", , B366), "")</f>
        <v/>
      </c>
      <c r="F366" s="11">
        <f>IFERROR(_xll.ciqfunctions.udf.CIQ(mh_ticker, "IQ_ST_INVEST", , B366), "")</f>
        <v/>
      </c>
      <c r="G366" s="11">
        <f>IFERROR(_xll.ciqfunctions.udf.CIQ(mh_ticker, "IQ_TOTAL_DEBT_EXCL_OPER_LEASES", , B366), "")</f>
        <v/>
      </c>
      <c r="H366" s="11">
        <f>IFERROR(_xll.ciqfunctions.udf.CIQ(mh_ticker, "IQ_PREF_EQUITY", , B366), "")</f>
        <v/>
      </c>
      <c r="I366" s="11">
        <f>IFERROR(_xll.ciqfunctions.udf.CIQ(mh_ticker, "IQ_MINORITY_INTEREST", , B366), "")</f>
        <v/>
      </c>
      <c r="J366" s="11">
        <f>IFERROR(_xll.ciqfunctions.udf.CIQ(mh_ticker, "IQ_EQUITY_METHOD", , B366), "")</f>
        <v/>
      </c>
      <c r="K366" s="11">
        <f>IFERROR(_xll.ciqfunctions.udf.CIQ(mh_ticker, "IQ_LT_Mark_Securities", , B366), "")</f>
        <v/>
      </c>
      <c r="L366" s="12">
        <f>IFERROR(C366*D366, "")</f>
        <v/>
      </c>
      <c r="M366" s="12">
        <f>IFERROR(L366-E366-F366+G366+H366+I366-J366-K366, "")</f>
        <v/>
      </c>
      <c r="N366" s="11">
        <f>IFERROR(_xll.ciqfunctions.udf.CIQ(mh_ticker, "IQ_EBITDA_EST", IQ_NTM, B366, , , "USD"), "")</f>
        <v/>
      </c>
      <c r="O366" s="13">
        <f>IFERROR(M366/N366, "")</f>
        <v/>
      </c>
    </row>
    <row r="367">
      <c r="B367" s="8" t="n"/>
      <c r="C367" s="9">
        <f>IFERROR(_xll.ciqfunctions.udf.CIQ(mh_ticker, "IQ_LASTSALEPRICE", B367), "")</f>
        <v/>
      </c>
      <c r="D367" s="10">
        <f>IFERROR(_xll.ciqfunctions.udf.CIQ(mh_ticker, "IQ_SHARESOUTSTANDING_OUT", B367), "")</f>
        <v/>
      </c>
      <c r="E367" s="11">
        <f>IFERROR(_xll.ciqfunctions.udf.CIQ(mh_ticker, "IQ_CASH_EQUIV", , B367), "")</f>
        <v/>
      </c>
      <c r="F367" s="11">
        <f>IFERROR(_xll.ciqfunctions.udf.CIQ(mh_ticker, "IQ_ST_INVEST", , B367), "")</f>
        <v/>
      </c>
      <c r="G367" s="11">
        <f>IFERROR(_xll.ciqfunctions.udf.CIQ(mh_ticker, "IQ_TOTAL_DEBT_EXCL_OPER_LEASES", , B367), "")</f>
        <v/>
      </c>
      <c r="H367" s="11">
        <f>IFERROR(_xll.ciqfunctions.udf.CIQ(mh_ticker, "IQ_PREF_EQUITY", , B367), "")</f>
        <v/>
      </c>
      <c r="I367" s="11">
        <f>IFERROR(_xll.ciqfunctions.udf.CIQ(mh_ticker, "IQ_MINORITY_INTEREST", , B367), "")</f>
        <v/>
      </c>
      <c r="J367" s="11">
        <f>IFERROR(_xll.ciqfunctions.udf.CIQ(mh_ticker, "IQ_EQUITY_METHOD", , B367), "")</f>
        <v/>
      </c>
      <c r="K367" s="11">
        <f>IFERROR(_xll.ciqfunctions.udf.CIQ(mh_ticker, "IQ_LT_Mark_Securities", , B367), "")</f>
        <v/>
      </c>
      <c r="L367" s="12">
        <f>IFERROR(C367*D367, "")</f>
        <v/>
      </c>
      <c r="M367" s="12">
        <f>IFERROR(L367-E367-F367+G367+H367+I367-J367-K367, "")</f>
        <v/>
      </c>
      <c r="N367" s="11">
        <f>IFERROR(_xll.ciqfunctions.udf.CIQ(mh_ticker, "IQ_EBITDA_EST", IQ_NTM, B367, , , "USD"), "")</f>
        <v/>
      </c>
      <c r="O367" s="13">
        <f>IFERROR(M367/N367, "")</f>
        <v/>
      </c>
    </row>
    <row r="368">
      <c r="B368" s="8" t="n"/>
      <c r="C368" s="9">
        <f>IFERROR(_xll.ciqfunctions.udf.CIQ(mh_ticker, "IQ_LASTSALEPRICE", B368), "")</f>
        <v/>
      </c>
      <c r="D368" s="10">
        <f>IFERROR(_xll.ciqfunctions.udf.CIQ(mh_ticker, "IQ_SHARESOUTSTANDING_OUT", B368), "")</f>
        <v/>
      </c>
      <c r="E368" s="11">
        <f>IFERROR(_xll.ciqfunctions.udf.CIQ(mh_ticker, "IQ_CASH_EQUIV", , B368), "")</f>
        <v/>
      </c>
      <c r="F368" s="11">
        <f>IFERROR(_xll.ciqfunctions.udf.CIQ(mh_ticker, "IQ_ST_INVEST", , B368), "")</f>
        <v/>
      </c>
      <c r="G368" s="11">
        <f>IFERROR(_xll.ciqfunctions.udf.CIQ(mh_ticker, "IQ_TOTAL_DEBT_EXCL_OPER_LEASES", , B368), "")</f>
        <v/>
      </c>
      <c r="H368" s="11">
        <f>IFERROR(_xll.ciqfunctions.udf.CIQ(mh_ticker, "IQ_PREF_EQUITY", , B368), "")</f>
        <v/>
      </c>
      <c r="I368" s="11">
        <f>IFERROR(_xll.ciqfunctions.udf.CIQ(mh_ticker, "IQ_MINORITY_INTEREST", , B368), "")</f>
        <v/>
      </c>
      <c r="J368" s="11">
        <f>IFERROR(_xll.ciqfunctions.udf.CIQ(mh_ticker, "IQ_EQUITY_METHOD", , B368), "")</f>
        <v/>
      </c>
      <c r="K368" s="11">
        <f>IFERROR(_xll.ciqfunctions.udf.CIQ(mh_ticker, "IQ_LT_Mark_Securities", , B368), "")</f>
        <v/>
      </c>
      <c r="L368" s="12">
        <f>IFERROR(C368*D368, "")</f>
        <v/>
      </c>
      <c r="M368" s="12">
        <f>IFERROR(L368-E368-F368+G368+H368+I368-J368-K368, "")</f>
        <v/>
      </c>
      <c r="N368" s="11">
        <f>IFERROR(_xll.ciqfunctions.udf.CIQ(mh_ticker, "IQ_EBITDA_EST", IQ_NTM, B368, , , "USD"), "")</f>
        <v/>
      </c>
      <c r="O368" s="13">
        <f>IFERROR(M368/N368, "")</f>
        <v/>
      </c>
    </row>
    <row r="369">
      <c r="B369" s="8" t="n"/>
      <c r="C369" s="9">
        <f>IFERROR(_xll.ciqfunctions.udf.CIQ(mh_ticker, "IQ_LASTSALEPRICE", B369), "")</f>
        <v/>
      </c>
      <c r="D369" s="10">
        <f>IFERROR(_xll.ciqfunctions.udf.CIQ(mh_ticker, "IQ_SHARESOUTSTANDING_OUT", B369), "")</f>
        <v/>
      </c>
      <c r="E369" s="11">
        <f>IFERROR(_xll.ciqfunctions.udf.CIQ(mh_ticker, "IQ_CASH_EQUIV", , B369), "")</f>
        <v/>
      </c>
      <c r="F369" s="11">
        <f>IFERROR(_xll.ciqfunctions.udf.CIQ(mh_ticker, "IQ_ST_INVEST", , B369), "")</f>
        <v/>
      </c>
      <c r="G369" s="11">
        <f>IFERROR(_xll.ciqfunctions.udf.CIQ(mh_ticker, "IQ_TOTAL_DEBT_EXCL_OPER_LEASES", , B369), "")</f>
        <v/>
      </c>
      <c r="H369" s="11">
        <f>IFERROR(_xll.ciqfunctions.udf.CIQ(mh_ticker, "IQ_PREF_EQUITY", , B369), "")</f>
        <v/>
      </c>
      <c r="I369" s="11">
        <f>IFERROR(_xll.ciqfunctions.udf.CIQ(mh_ticker, "IQ_MINORITY_INTEREST", , B369), "")</f>
        <v/>
      </c>
      <c r="J369" s="11">
        <f>IFERROR(_xll.ciqfunctions.udf.CIQ(mh_ticker, "IQ_EQUITY_METHOD", , B369), "")</f>
        <v/>
      </c>
      <c r="K369" s="11">
        <f>IFERROR(_xll.ciqfunctions.udf.CIQ(mh_ticker, "IQ_LT_Mark_Securities", , B369), "")</f>
        <v/>
      </c>
      <c r="L369" s="12">
        <f>IFERROR(C369*D369, "")</f>
        <v/>
      </c>
      <c r="M369" s="12">
        <f>IFERROR(L369-E369-F369+G369+H369+I369-J369-K369, "")</f>
        <v/>
      </c>
      <c r="N369" s="11">
        <f>IFERROR(_xll.ciqfunctions.udf.CIQ(mh_ticker, "IQ_EBITDA_EST", IQ_NTM, B369, , , "USD"), "")</f>
        <v/>
      </c>
      <c r="O369" s="13">
        <f>IFERROR(M369/N369, "")</f>
        <v/>
      </c>
    </row>
    <row r="370">
      <c r="B370" s="8" t="n"/>
      <c r="C370" s="9">
        <f>IFERROR(_xll.ciqfunctions.udf.CIQ(mh_ticker, "IQ_LASTSALEPRICE", B370), "")</f>
        <v/>
      </c>
      <c r="D370" s="10">
        <f>IFERROR(_xll.ciqfunctions.udf.CIQ(mh_ticker, "IQ_SHARESOUTSTANDING_OUT", B370), "")</f>
        <v/>
      </c>
      <c r="E370" s="11">
        <f>IFERROR(_xll.ciqfunctions.udf.CIQ(mh_ticker, "IQ_CASH_EQUIV", , B370), "")</f>
        <v/>
      </c>
      <c r="F370" s="11">
        <f>IFERROR(_xll.ciqfunctions.udf.CIQ(mh_ticker, "IQ_ST_INVEST", , B370), "")</f>
        <v/>
      </c>
      <c r="G370" s="11">
        <f>IFERROR(_xll.ciqfunctions.udf.CIQ(mh_ticker, "IQ_TOTAL_DEBT_EXCL_OPER_LEASES", , B370), "")</f>
        <v/>
      </c>
      <c r="H370" s="11">
        <f>IFERROR(_xll.ciqfunctions.udf.CIQ(mh_ticker, "IQ_PREF_EQUITY", , B370), "")</f>
        <v/>
      </c>
      <c r="I370" s="11">
        <f>IFERROR(_xll.ciqfunctions.udf.CIQ(mh_ticker, "IQ_MINORITY_INTEREST", , B370), "")</f>
        <v/>
      </c>
      <c r="J370" s="11">
        <f>IFERROR(_xll.ciqfunctions.udf.CIQ(mh_ticker, "IQ_EQUITY_METHOD", , B370), "")</f>
        <v/>
      </c>
      <c r="K370" s="11">
        <f>IFERROR(_xll.ciqfunctions.udf.CIQ(mh_ticker, "IQ_LT_Mark_Securities", , B370), "")</f>
        <v/>
      </c>
      <c r="L370" s="12">
        <f>IFERROR(C370*D370, "")</f>
        <v/>
      </c>
      <c r="M370" s="12">
        <f>IFERROR(L370-E370-F370+G370+H370+I370-J370-K370, "")</f>
        <v/>
      </c>
      <c r="N370" s="11">
        <f>IFERROR(_xll.ciqfunctions.udf.CIQ(mh_ticker, "IQ_EBITDA_EST", IQ_NTM, B370, , , "USD"), "")</f>
        <v/>
      </c>
      <c r="O370" s="13">
        <f>IFERROR(M370/N370, "")</f>
        <v/>
      </c>
    </row>
    <row r="371">
      <c r="B371" s="8" t="n"/>
      <c r="C371" s="9">
        <f>IFERROR(_xll.ciqfunctions.udf.CIQ(mh_ticker, "IQ_LASTSALEPRICE", B371), "")</f>
        <v/>
      </c>
      <c r="D371" s="10">
        <f>IFERROR(_xll.ciqfunctions.udf.CIQ(mh_ticker, "IQ_SHARESOUTSTANDING_OUT", B371), "")</f>
        <v/>
      </c>
      <c r="E371" s="11">
        <f>IFERROR(_xll.ciqfunctions.udf.CIQ(mh_ticker, "IQ_CASH_EQUIV", , B371), "")</f>
        <v/>
      </c>
      <c r="F371" s="11">
        <f>IFERROR(_xll.ciqfunctions.udf.CIQ(mh_ticker, "IQ_ST_INVEST", , B371), "")</f>
        <v/>
      </c>
      <c r="G371" s="11">
        <f>IFERROR(_xll.ciqfunctions.udf.CIQ(mh_ticker, "IQ_TOTAL_DEBT_EXCL_OPER_LEASES", , B371), "")</f>
        <v/>
      </c>
      <c r="H371" s="11">
        <f>IFERROR(_xll.ciqfunctions.udf.CIQ(mh_ticker, "IQ_PREF_EQUITY", , B371), "")</f>
        <v/>
      </c>
      <c r="I371" s="11">
        <f>IFERROR(_xll.ciqfunctions.udf.CIQ(mh_ticker, "IQ_MINORITY_INTEREST", , B371), "")</f>
        <v/>
      </c>
      <c r="J371" s="11">
        <f>IFERROR(_xll.ciqfunctions.udf.CIQ(mh_ticker, "IQ_EQUITY_METHOD", , B371), "")</f>
        <v/>
      </c>
      <c r="K371" s="11">
        <f>IFERROR(_xll.ciqfunctions.udf.CIQ(mh_ticker, "IQ_LT_Mark_Securities", , B371), "")</f>
        <v/>
      </c>
      <c r="L371" s="12">
        <f>IFERROR(C371*D371, "")</f>
        <v/>
      </c>
      <c r="M371" s="12">
        <f>IFERROR(L371-E371-F371+G371+H371+I371-J371-K371, "")</f>
        <v/>
      </c>
      <c r="N371" s="11">
        <f>IFERROR(_xll.ciqfunctions.udf.CIQ(mh_ticker, "IQ_EBITDA_EST", IQ_NTM, B371, , , "USD"), "")</f>
        <v/>
      </c>
      <c r="O371" s="13">
        <f>IFERROR(M371/N371, "")</f>
        <v/>
      </c>
    </row>
    <row r="372">
      <c r="B372" s="8" t="n"/>
      <c r="C372" s="9">
        <f>IFERROR(_xll.ciqfunctions.udf.CIQ(mh_ticker, "IQ_LASTSALEPRICE", B372), "")</f>
        <v/>
      </c>
      <c r="D372" s="10">
        <f>IFERROR(_xll.ciqfunctions.udf.CIQ(mh_ticker, "IQ_SHARESOUTSTANDING_OUT", B372), "")</f>
        <v/>
      </c>
      <c r="E372" s="11">
        <f>IFERROR(_xll.ciqfunctions.udf.CIQ(mh_ticker, "IQ_CASH_EQUIV", , B372), "")</f>
        <v/>
      </c>
      <c r="F372" s="11">
        <f>IFERROR(_xll.ciqfunctions.udf.CIQ(mh_ticker, "IQ_ST_INVEST", , B372), "")</f>
        <v/>
      </c>
      <c r="G372" s="11">
        <f>IFERROR(_xll.ciqfunctions.udf.CIQ(mh_ticker, "IQ_TOTAL_DEBT_EXCL_OPER_LEASES", , B372), "")</f>
        <v/>
      </c>
      <c r="H372" s="11">
        <f>IFERROR(_xll.ciqfunctions.udf.CIQ(mh_ticker, "IQ_PREF_EQUITY", , B372), "")</f>
        <v/>
      </c>
      <c r="I372" s="11">
        <f>IFERROR(_xll.ciqfunctions.udf.CIQ(mh_ticker, "IQ_MINORITY_INTEREST", , B372), "")</f>
        <v/>
      </c>
      <c r="J372" s="11">
        <f>IFERROR(_xll.ciqfunctions.udf.CIQ(mh_ticker, "IQ_EQUITY_METHOD", , B372), "")</f>
        <v/>
      </c>
      <c r="K372" s="11">
        <f>IFERROR(_xll.ciqfunctions.udf.CIQ(mh_ticker, "IQ_LT_Mark_Securities", , B372), "")</f>
        <v/>
      </c>
      <c r="L372" s="12">
        <f>IFERROR(C372*D372, "")</f>
        <v/>
      </c>
      <c r="M372" s="12">
        <f>IFERROR(L372-E372-F372+G372+H372+I372-J372-K372, "")</f>
        <v/>
      </c>
      <c r="N372" s="11">
        <f>IFERROR(_xll.ciqfunctions.udf.CIQ(mh_ticker, "IQ_EBITDA_EST", IQ_NTM, B372, , , "USD"), "")</f>
        <v/>
      </c>
      <c r="O372" s="13">
        <f>IFERROR(M372/N372, "")</f>
        <v/>
      </c>
    </row>
    <row r="373">
      <c r="B373" s="8" t="n"/>
      <c r="C373" s="9">
        <f>IFERROR(_xll.ciqfunctions.udf.CIQ(mh_ticker, "IQ_LASTSALEPRICE", B373), "")</f>
        <v/>
      </c>
      <c r="D373" s="10">
        <f>IFERROR(_xll.ciqfunctions.udf.CIQ(mh_ticker, "IQ_SHARESOUTSTANDING_OUT", B373), "")</f>
        <v/>
      </c>
      <c r="E373" s="11">
        <f>IFERROR(_xll.ciqfunctions.udf.CIQ(mh_ticker, "IQ_CASH_EQUIV", , B373), "")</f>
        <v/>
      </c>
      <c r="F373" s="11">
        <f>IFERROR(_xll.ciqfunctions.udf.CIQ(mh_ticker, "IQ_ST_INVEST", , B373), "")</f>
        <v/>
      </c>
      <c r="G373" s="11">
        <f>IFERROR(_xll.ciqfunctions.udf.CIQ(mh_ticker, "IQ_TOTAL_DEBT_EXCL_OPER_LEASES", , B373), "")</f>
        <v/>
      </c>
      <c r="H373" s="11">
        <f>IFERROR(_xll.ciqfunctions.udf.CIQ(mh_ticker, "IQ_PREF_EQUITY", , B373), "")</f>
        <v/>
      </c>
      <c r="I373" s="11">
        <f>IFERROR(_xll.ciqfunctions.udf.CIQ(mh_ticker, "IQ_MINORITY_INTEREST", , B373), "")</f>
        <v/>
      </c>
      <c r="J373" s="11">
        <f>IFERROR(_xll.ciqfunctions.udf.CIQ(mh_ticker, "IQ_EQUITY_METHOD", , B373), "")</f>
        <v/>
      </c>
      <c r="K373" s="11">
        <f>IFERROR(_xll.ciqfunctions.udf.CIQ(mh_ticker, "IQ_LT_Mark_Securities", , B373), "")</f>
        <v/>
      </c>
      <c r="L373" s="12">
        <f>IFERROR(C373*D373, "")</f>
        <v/>
      </c>
      <c r="M373" s="12">
        <f>IFERROR(L373-E373-F373+G373+H373+I373-J373-K373, "")</f>
        <v/>
      </c>
      <c r="N373" s="11">
        <f>IFERROR(_xll.ciqfunctions.udf.CIQ(mh_ticker, "IQ_EBITDA_EST", IQ_NTM, B373, , , "USD"), "")</f>
        <v/>
      </c>
      <c r="O373" s="13">
        <f>IFERROR(M373/N373, "")</f>
        <v/>
      </c>
    </row>
    <row r="374">
      <c r="B374" s="8" t="n"/>
      <c r="C374" s="9">
        <f>IFERROR(_xll.ciqfunctions.udf.CIQ(mh_ticker, "IQ_LASTSALEPRICE", B374), "")</f>
        <v/>
      </c>
      <c r="D374" s="10">
        <f>IFERROR(_xll.ciqfunctions.udf.CIQ(mh_ticker, "IQ_SHARESOUTSTANDING_OUT", B374), "")</f>
        <v/>
      </c>
      <c r="E374" s="11">
        <f>IFERROR(_xll.ciqfunctions.udf.CIQ(mh_ticker, "IQ_CASH_EQUIV", , B374), "")</f>
        <v/>
      </c>
      <c r="F374" s="11">
        <f>IFERROR(_xll.ciqfunctions.udf.CIQ(mh_ticker, "IQ_ST_INVEST", , B374), "")</f>
        <v/>
      </c>
      <c r="G374" s="11">
        <f>IFERROR(_xll.ciqfunctions.udf.CIQ(mh_ticker, "IQ_TOTAL_DEBT_EXCL_OPER_LEASES", , B374), "")</f>
        <v/>
      </c>
      <c r="H374" s="11">
        <f>IFERROR(_xll.ciqfunctions.udf.CIQ(mh_ticker, "IQ_PREF_EQUITY", , B374), "")</f>
        <v/>
      </c>
      <c r="I374" s="11">
        <f>IFERROR(_xll.ciqfunctions.udf.CIQ(mh_ticker, "IQ_MINORITY_INTEREST", , B374), "")</f>
        <v/>
      </c>
      <c r="J374" s="11">
        <f>IFERROR(_xll.ciqfunctions.udf.CIQ(mh_ticker, "IQ_EQUITY_METHOD", , B374), "")</f>
        <v/>
      </c>
      <c r="K374" s="11">
        <f>IFERROR(_xll.ciqfunctions.udf.CIQ(mh_ticker, "IQ_LT_Mark_Securities", , B374), "")</f>
        <v/>
      </c>
      <c r="L374" s="12">
        <f>IFERROR(C374*D374, "")</f>
        <v/>
      </c>
      <c r="M374" s="12">
        <f>IFERROR(L374-E374-F374+G374+H374+I374-J374-K374, "")</f>
        <v/>
      </c>
      <c r="N374" s="11">
        <f>IFERROR(_xll.ciqfunctions.udf.CIQ(mh_ticker, "IQ_EBITDA_EST", IQ_NTM, B374, , , "USD"), "")</f>
        <v/>
      </c>
      <c r="O374" s="13">
        <f>IFERROR(M374/N374, "")</f>
        <v/>
      </c>
    </row>
    <row r="375">
      <c r="B375" s="8" t="n"/>
      <c r="C375" s="9">
        <f>IFERROR(_xll.ciqfunctions.udf.CIQ(mh_ticker, "IQ_LASTSALEPRICE", B375), "")</f>
        <v/>
      </c>
      <c r="D375" s="10">
        <f>IFERROR(_xll.ciqfunctions.udf.CIQ(mh_ticker, "IQ_SHARESOUTSTANDING_OUT", B375), "")</f>
        <v/>
      </c>
      <c r="E375" s="11">
        <f>IFERROR(_xll.ciqfunctions.udf.CIQ(mh_ticker, "IQ_CASH_EQUIV", , B375), "")</f>
        <v/>
      </c>
      <c r="F375" s="11">
        <f>IFERROR(_xll.ciqfunctions.udf.CIQ(mh_ticker, "IQ_ST_INVEST", , B375), "")</f>
        <v/>
      </c>
      <c r="G375" s="11">
        <f>IFERROR(_xll.ciqfunctions.udf.CIQ(mh_ticker, "IQ_TOTAL_DEBT_EXCL_OPER_LEASES", , B375), "")</f>
        <v/>
      </c>
      <c r="H375" s="11">
        <f>IFERROR(_xll.ciqfunctions.udf.CIQ(mh_ticker, "IQ_PREF_EQUITY", , B375), "")</f>
        <v/>
      </c>
      <c r="I375" s="11">
        <f>IFERROR(_xll.ciqfunctions.udf.CIQ(mh_ticker, "IQ_MINORITY_INTEREST", , B375), "")</f>
        <v/>
      </c>
      <c r="J375" s="11">
        <f>IFERROR(_xll.ciqfunctions.udf.CIQ(mh_ticker, "IQ_EQUITY_METHOD", , B375), "")</f>
        <v/>
      </c>
      <c r="K375" s="11">
        <f>IFERROR(_xll.ciqfunctions.udf.CIQ(mh_ticker, "IQ_LT_Mark_Securities", , B375), "")</f>
        <v/>
      </c>
      <c r="L375" s="12">
        <f>IFERROR(C375*D375, "")</f>
        <v/>
      </c>
      <c r="M375" s="12">
        <f>IFERROR(L375-E375-F375+G375+H375+I375-J375-K375, "")</f>
        <v/>
      </c>
      <c r="N375" s="11">
        <f>IFERROR(_xll.ciqfunctions.udf.CIQ(mh_ticker, "IQ_EBITDA_EST", IQ_NTM, B375, , , "USD"), "")</f>
        <v/>
      </c>
      <c r="O375" s="13">
        <f>IFERROR(M375/N375, "")</f>
        <v/>
      </c>
    </row>
    <row r="376">
      <c r="B376" s="8" t="n"/>
      <c r="C376" s="9">
        <f>IFERROR(_xll.ciqfunctions.udf.CIQ(mh_ticker, "IQ_LASTSALEPRICE", B376), "")</f>
        <v/>
      </c>
      <c r="D376" s="10">
        <f>IFERROR(_xll.ciqfunctions.udf.CIQ(mh_ticker, "IQ_SHARESOUTSTANDING_OUT", B376), "")</f>
        <v/>
      </c>
      <c r="E376" s="11">
        <f>IFERROR(_xll.ciqfunctions.udf.CIQ(mh_ticker, "IQ_CASH_EQUIV", , B376), "")</f>
        <v/>
      </c>
      <c r="F376" s="11">
        <f>IFERROR(_xll.ciqfunctions.udf.CIQ(mh_ticker, "IQ_ST_INVEST", , B376), "")</f>
        <v/>
      </c>
      <c r="G376" s="11">
        <f>IFERROR(_xll.ciqfunctions.udf.CIQ(mh_ticker, "IQ_TOTAL_DEBT_EXCL_OPER_LEASES", , B376), "")</f>
        <v/>
      </c>
      <c r="H376" s="11">
        <f>IFERROR(_xll.ciqfunctions.udf.CIQ(mh_ticker, "IQ_PREF_EQUITY", , B376), "")</f>
        <v/>
      </c>
      <c r="I376" s="11">
        <f>IFERROR(_xll.ciqfunctions.udf.CIQ(mh_ticker, "IQ_MINORITY_INTEREST", , B376), "")</f>
        <v/>
      </c>
      <c r="J376" s="11">
        <f>IFERROR(_xll.ciqfunctions.udf.CIQ(mh_ticker, "IQ_EQUITY_METHOD", , B376), "")</f>
        <v/>
      </c>
      <c r="K376" s="11">
        <f>IFERROR(_xll.ciqfunctions.udf.CIQ(mh_ticker, "IQ_LT_Mark_Securities", , B376), "")</f>
        <v/>
      </c>
      <c r="L376" s="12">
        <f>IFERROR(C376*D376, "")</f>
        <v/>
      </c>
      <c r="M376" s="12">
        <f>IFERROR(L376-E376-F376+G376+H376+I376-J376-K376, "")</f>
        <v/>
      </c>
      <c r="N376" s="11">
        <f>IFERROR(_xll.ciqfunctions.udf.CIQ(mh_ticker, "IQ_EBITDA_EST", IQ_NTM, B376, , , "USD"), "")</f>
        <v/>
      </c>
      <c r="O376" s="13">
        <f>IFERROR(M376/N376, "")</f>
        <v/>
      </c>
    </row>
    <row r="377">
      <c r="B377" s="8" t="n"/>
      <c r="C377" s="9">
        <f>IFERROR(_xll.ciqfunctions.udf.CIQ(mh_ticker, "IQ_LASTSALEPRICE", B377), "")</f>
        <v/>
      </c>
      <c r="D377" s="10">
        <f>IFERROR(_xll.ciqfunctions.udf.CIQ(mh_ticker, "IQ_SHARESOUTSTANDING_OUT", B377), "")</f>
        <v/>
      </c>
      <c r="E377" s="11">
        <f>IFERROR(_xll.ciqfunctions.udf.CIQ(mh_ticker, "IQ_CASH_EQUIV", , B377), "")</f>
        <v/>
      </c>
      <c r="F377" s="11">
        <f>IFERROR(_xll.ciqfunctions.udf.CIQ(mh_ticker, "IQ_ST_INVEST", , B377), "")</f>
        <v/>
      </c>
      <c r="G377" s="11">
        <f>IFERROR(_xll.ciqfunctions.udf.CIQ(mh_ticker, "IQ_TOTAL_DEBT_EXCL_OPER_LEASES", , B377), "")</f>
        <v/>
      </c>
      <c r="H377" s="11">
        <f>IFERROR(_xll.ciqfunctions.udf.CIQ(mh_ticker, "IQ_PREF_EQUITY", , B377), "")</f>
        <v/>
      </c>
      <c r="I377" s="11">
        <f>IFERROR(_xll.ciqfunctions.udf.CIQ(mh_ticker, "IQ_MINORITY_INTEREST", , B377), "")</f>
        <v/>
      </c>
      <c r="J377" s="11">
        <f>IFERROR(_xll.ciqfunctions.udf.CIQ(mh_ticker, "IQ_EQUITY_METHOD", , B377), "")</f>
        <v/>
      </c>
      <c r="K377" s="11">
        <f>IFERROR(_xll.ciqfunctions.udf.CIQ(mh_ticker, "IQ_LT_Mark_Securities", , B377), "")</f>
        <v/>
      </c>
      <c r="L377" s="12">
        <f>IFERROR(C377*D377, "")</f>
        <v/>
      </c>
      <c r="M377" s="12">
        <f>IFERROR(L377-E377-F377+G377+H377+I377-J377-K377, "")</f>
        <v/>
      </c>
      <c r="N377" s="11">
        <f>IFERROR(_xll.ciqfunctions.udf.CIQ(mh_ticker, "IQ_EBITDA_EST", IQ_NTM, B377, , , "USD"), "")</f>
        <v/>
      </c>
      <c r="O377" s="13">
        <f>IFERROR(M377/N377, "")</f>
        <v/>
      </c>
    </row>
    <row r="378">
      <c r="B378" s="8" t="n"/>
      <c r="C378" s="9">
        <f>IFERROR(_xll.ciqfunctions.udf.CIQ(mh_ticker, "IQ_LASTSALEPRICE", B378), "")</f>
        <v/>
      </c>
      <c r="D378" s="10">
        <f>IFERROR(_xll.ciqfunctions.udf.CIQ(mh_ticker, "IQ_SHARESOUTSTANDING_OUT", B378), "")</f>
        <v/>
      </c>
      <c r="E378" s="11">
        <f>IFERROR(_xll.ciqfunctions.udf.CIQ(mh_ticker, "IQ_CASH_EQUIV", , B378), "")</f>
        <v/>
      </c>
      <c r="F378" s="11">
        <f>IFERROR(_xll.ciqfunctions.udf.CIQ(mh_ticker, "IQ_ST_INVEST", , B378), "")</f>
        <v/>
      </c>
      <c r="G378" s="11">
        <f>IFERROR(_xll.ciqfunctions.udf.CIQ(mh_ticker, "IQ_TOTAL_DEBT_EXCL_OPER_LEASES", , B378), "")</f>
        <v/>
      </c>
      <c r="H378" s="11">
        <f>IFERROR(_xll.ciqfunctions.udf.CIQ(mh_ticker, "IQ_PREF_EQUITY", , B378), "")</f>
        <v/>
      </c>
      <c r="I378" s="11">
        <f>IFERROR(_xll.ciqfunctions.udf.CIQ(mh_ticker, "IQ_MINORITY_INTEREST", , B378), "")</f>
        <v/>
      </c>
      <c r="J378" s="11">
        <f>IFERROR(_xll.ciqfunctions.udf.CIQ(mh_ticker, "IQ_EQUITY_METHOD", , B378), "")</f>
        <v/>
      </c>
      <c r="K378" s="11">
        <f>IFERROR(_xll.ciqfunctions.udf.CIQ(mh_ticker, "IQ_LT_Mark_Securities", , B378), "")</f>
        <v/>
      </c>
      <c r="L378" s="12">
        <f>IFERROR(C378*D378, "")</f>
        <v/>
      </c>
      <c r="M378" s="12">
        <f>IFERROR(L378-E378-F378+G378+H378+I378-J378-K378, "")</f>
        <v/>
      </c>
      <c r="N378" s="11">
        <f>IFERROR(_xll.ciqfunctions.udf.CIQ(mh_ticker, "IQ_EBITDA_EST", IQ_NTM, B378, , , "USD"), "")</f>
        <v/>
      </c>
      <c r="O378" s="13">
        <f>IFERROR(M378/N378, "")</f>
        <v/>
      </c>
    </row>
    <row r="379">
      <c r="B379" s="8" t="n"/>
      <c r="C379" s="9">
        <f>IFERROR(_xll.ciqfunctions.udf.CIQ(mh_ticker, "IQ_LASTSALEPRICE", B379), "")</f>
        <v/>
      </c>
      <c r="D379" s="10">
        <f>IFERROR(_xll.ciqfunctions.udf.CIQ(mh_ticker, "IQ_SHARESOUTSTANDING_OUT", B379), "")</f>
        <v/>
      </c>
      <c r="E379" s="11">
        <f>IFERROR(_xll.ciqfunctions.udf.CIQ(mh_ticker, "IQ_CASH_EQUIV", , B379), "")</f>
        <v/>
      </c>
      <c r="F379" s="11">
        <f>IFERROR(_xll.ciqfunctions.udf.CIQ(mh_ticker, "IQ_ST_INVEST", , B379), "")</f>
        <v/>
      </c>
      <c r="G379" s="11">
        <f>IFERROR(_xll.ciqfunctions.udf.CIQ(mh_ticker, "IQ_TOTAL_DEBT_EXCL_OPER_LEASES", , B379), "")</f>
        <v/>
      </c>
      <c r="H379" s="11">
        <f>IFERROR(_xll.ciqfunctions.udf.CIQ(mh_ticker, "IQ_PREF_EQUITY", , B379), "")</f>
        <v/>
      </c>
      <c r="I379" s="11">
        <f>IFERROR(_xll.ciqfunctions.udf.CIQ(mh_ticker, "IQ_MINORITY_INTEREST", , B379), "")</f>
        <v/>
      </c>
      <c r="J379" s="11">
        <f>IFERROR(_xll.ciqfunctions.udf.CIQ(mh_ticker, "IQ_EQUITY_METHOD", , B379), "")</f>
        <v/>
      </c>
      <c r="K379" s="11">
        <f>IFERROR(_xll.ciqfunctions.udf.CIQ(mh_ticker, "IQ_LT_Mark_Securities", , B379), "")</f>
        <v/>
      </c>
      <c r="L379" s="12">
        <f>IFERROR(C379*D379, "")</f>
        <v/>
      </c>
      <c r="M379" s="12">
        <f>IFERROR(L379-E379-F379+G379+H379+I379-J379-K379, "")</f>
        <v/>
      </c>
      <c r="N379" s="11">
        <f>IFERROR(_xll.ciqfunctions.udf.CIQ(mh_ticker, "IQ_EBITDA_EST", IQ_NTM, B379, , , "USD"), "")</f>
        <v/>
      </c>
      <c r="O379" s="13">
        <f>IFERROR(M379/N379, "")</f>
        <v/>
      </c>
    </row>
    <row r="380">
      <c r="B380" s="8" t="n"/>
      <c r="C380" s="9">
        <f>IFERROR(_xll.ciqfunctions.udf.CIQ(mh_ticker, "IQ_LASTSALEPRICE", B380), "")</f>
        <v/>
      </c>
      <c r="D380" s="10">
        <f>IFERROR(_xll.ciqfunctions.udf.CIQ(mh_ticker, "IQ_SHARESOUTSTANDING_OUT", B380), "")</f>
        <v/>
      </c>
      <c r="E380" s="11">
        <f>IFERROR(_xll.ciqfunctions.udf.CIQ(mh_ticker, "IQ_CASH_EQUIV", , B380), "")</f>
        <v/>
      </c>
      <c r="F380" s="11">
        <f>IFERROR(_xll.ciqfunctions.udf.CIQ(mh_ticker, "IQ_ST_INVEST", , B380), "")</f>
        <v/>
      </c>
      <c r="G380" s="11">
        <f>IFERROR(_xll.ciqfunctions.udf.CIQ(mh_ticker, "IQ_TOTAL_DEBT_EXCL_OPER_LEASES", , B380), "")</f>
        <v/>
      </c>
      <c r="H380" s="11">
        <f>IFERROR(_xll.ciqfunctions.udf.CIQ(mh_ticker, "IQ_PREF_EQUITY", , B380), "")</f>
        <v/>
      </c>
      <c r="I380" s="11">
        <f>IFERROR(_xll.ciqfunctions.udf.CIQ(mh_ticker, "IQ_MINORITY_INTEREST", , B380), "")</f>
        <v/>
      </c>
      <c r="J380" s="11">
        <f>IFERROR(_xll.ciqfunctions.udf.CIQ(mh_ticker, "IQ_EQUITY_METHOD", , B380), "")</f>
        <v/>
      </c>
      <c r="K380" s="11">
        <f>IFERROR(_xll.ciqfunctions.udf.CIQ(mh_ticker, "IQ_LT_Mark_Securities", , B380), "")</f>
        <v/>
      </c>
      <c r="L380" s="12">
        <f>IFERROR(C380*D380, "")</f>
        <v/>
      </c>
      <c r="M380" s="12">
        <f>IFERROR(L380-E380-F380+G380+H380+I380-J380-K380, "")</f>
        <v/>
      </c>
      <c r="N380" s="11">
        <f>IFERROR(_xll.ciqfunctions.udf.CIQ(mh_ticker, "IQ_EBITDA_EST", IQ_NTM, B380, , , "USD"), "")</f>
        <v/>
      </c>
      <c r="O380" s="13">
        <f>IFERROR(M380/N380, "")</f>
        <v/>
      </c>
    </row>
    <row r="381">
      <c r="B381" s="8" t="n"/>
      <c r="C381" s="9">
        <f>IFERROR(_xll.ciqfunctions.udf.CIQ(mh_ticker, "IQ_LASTSALEPRICE", B381), "")</f>
        <v/>
      </c>
      <c r="D381" s="10">
        <f>IFERROR(_xll.ciqfunctions.udf.CIQ(mh_ticker, "IQ_SHARESOUTSTANDING_OUT", B381), "")</f>
        <v/>
      </c>
      <c r="E381" s="11">
        <f>IFERROR(_xll.ciqfunctions.udf.CIQ(mh_ticker, "IQ_CASH_EQUIV", , B381), "")</f>
        <v/>
      </c>
      <c r="F381" s="11">
        <f>IFERROR(_xll.ciqfunctions.udf.CIQ(mh_ticker, "IQ_ST_INVEST", , B381), "")</f>
        <v/>
      </c>
      <c r="G381" s="11">
        <f>IFERROR(_xll.ciqfunctions.udf.CIQ(mh_ticker, "IQ_TOTAL_DEBT_EXCL_OPER_LEASES", , B381), "")</f>
        <v/>
      </c>
      <c r="H381" s="11">
        <f>IFERROR(_xll.ciqfunctions.udf.CIQ(mh_ticker, "IQ_PREF_EQUITY", , B381), "")</f>
        <v/>
      </c>
      <c r="I381" s="11">
        <f>IFERROR(_xll.ciqfunctions.udf.CIQ(mh_ticker, "IQ_MINORITY_INTEREST", , B381), "")</f>
        <v/>
      </c>
      <c r="J381" s="11">
        <f>IFERROR(_xll.ciqfunctions.udf.CIQ(mh_ticker, "IQ_EQUITY_METHOD", , B381), "")</f>
        <v/>
      </c>
      <c r="K381" s="11">
        <f>IFERROR(_xll.ciqfunctions.udf.CIQ(mh_ticker, "IQ_LT_Mark_Securities", , B381), "")</f>
        <v/>
      </c>
      <c r="L381" s="12">
        <f>IFERROR(C381*D381, "")</f>
        <v/>
      </c>
      <c r="M381" s="12">
        <f>IFERROR(L381-E381-F381+G381+H381+I381-J381-K381, "")</f>
        <v/>
      </c>
      <c r="N381" s="11">
        <f>IFERROR(_xll.ciqfunctions.udf.CIQ(mh_ticker, "IQ_EBITDA_EST", IQ_NTM, B381, , , "USD"), "")</f>
        <v/>
      </c>
      <c r="O381" s="13">
        <f>IFERROR(M381/N381, "")</f>
        <v/>
      </c>
    </row>
    <row r="382">
      <c r="B382" s="8" t="n"/>
      <c r="C382" s="9">
        <f>IFERROR(_xll.ciqfunctions.udf.CIQ(mh_ticker, "IQ_LASTSALEPRICE", B382), "")</f>
        <v/>
      </c>
      <c r="D382" s="10">
        <f>IFERROR(_xll.ciqfunctions.udf.CIQ(mh_ticker, "IQ_SHARESOUTSTANDING_OUT", B382), "")</f>
        <v/>
      </c>
      <c r="E382" s="11">
        <f>IFERROR(_xll.ciqfunctions.udf.CIQ(mh_ticker, "IQ_CASH_EQUIV", , B382), "")</f>
        <v/>
      </c>
      <c r="F382" s="11">
        <f>IFERROR(_xll.ciqfunctions.udf.CIQ(mh_ticker, "IQ_ST_INVEST", , B382), "")</f>
        <v/>
      </c>
      <c r="G382" s="11">
        <f>IFERROR(_xll.ciqfunctions.udf.CIQ(mh_ticker, "IQ_TOTAL_DEBT_EXCL_OPER_LEASES", , B382), "")</f>
        <v/>
      </c>
      <c r="H382" s="11">
        <f>IFERROR(_xll.ciqfunctions.udf.CIQ(mh_ticker, "IQ_PREF_EQUITY", , B382), "")</f>
        <v/>
      </c>
      <c r="I382" s="11">
        <f>IFERROR(_xll.ciqfunctions.udf.CIQ(mh_ticker, "IQ_MINORITY_INTEREST", , B382), "")</f>
        <v/>
      </c>
      <c r="J382" s="11">
        <f>IFERROR(_xll.ciqfunctions.udf.CIQ(mh_ticker, "IQ_EQUITY_METHOD", , B382), "")</f>
        <v/>
      </c>
      <c r="K382" s="11">
        <f>IFERROR(_xll.ciqfunctions.udf.CIQ(mh_ticker, "IQ_LT_Mark_Securities", , B382), "")</f>
        <v/>
      </c>
      <c r="L382" s="12">
        <f>IFERROR(C382*D382, "")</f>
        <v/>
      </c>
      <c r="M382" s="12">
        <f>IFERROR(L382-E382-F382+G382+H382+I382-J382-K382, "")</f>
        <v/>
      </c>
      <c r="N382" s="11">
        <f>IFERROR(_xll.ciqfunctions.udf.CIQ(mh_ticker, "IQ_EBITDA_EST", IQ_NTM, B382, , , "USD"), "")</f>
        <v/>
      </c>
      <c r="O382" s="13">
        <f>IFERROR(M382/N382, "")</f>
        <v/>
      </c>
    </row>
    <row r="383">
      <c r="B383" s="8" t="n"/>
      <c r="C383" s="9">
        <f>IFERROR(_xll.ciqfunctions.udf.CIQ(mh_ticker, "IQ_LASTSALEPRICE", B383), "")</f>
        <v/>
      </c>
      <c r="D383" s="10">
        <f>IFERROR(_xll.ciqfunctions.udf.CIQ(mh_ticker, "IQ_SHARESOUTSTANDING_OUT", B383), "")</f>
        <v/>
      </c>
      <c r="E383" s="11">
        <f>IFERROR(_xll.ciqfunctions.udf.CIQ(mh_ticker, "IQ_CASH_EQUIV", , B383), "")</f>
        <v/>
      </c>
      <c r="F383" s="11">
        <f>IFERROR(_xll.ciqfunctions.udf.CIQ(mh_ticker, "IQ_ST_INVEST", , B383), "")</f>
        <v/>
      </c>
      <c r="G383" s="11">
        <f>IFERROR(_xll.ciqfunctions.udf.CIQ(mh_ticker, "IQ_TOTAL_DEBT_EXCL_OPER_LEASES", , B383), "")</f>
        <v/>
      </c>
      <c r="H383" s="11">
        <f>IFERROR(_xll.ciqfunctions.udf.CIQ(mh_ticker, "IQ_PREF_EQUITY", , B383), "")</f>
        <v/>
      </c>
      <c r="I383" s="11">
        <f>IFERROR(_xll.ciqfunctions.udf.CIQ(mh_ticker, "IQ_MINORITY_INTEREST", , B383), "")</f>
        <v/>
      </c>
      <c r="J383" s="11">
        <f>IFERROR(_xll.ciqfunctions.udf.CIQ(mh_ticker, "IQ_EQUITY_METHOD", , B383), "")</f>
        <v/>
      </c>
      <c r="K383" s="11">
        <f>IFERROR(_xll.ciqfunctions.udf.CIQ(mh_ticker, "IQ_LT_Mark_Securities", , B383), "")</f>
        <v/>
      </c>
      <c r="L383" s="12">
        <f>IFERROR(C383*D383, "")</f>
        <v/>
      </c>
      <c r="M383" s="12">
        <f>IFERROR(L383-E383-F383+G383+H383+I383-J383-K383, "")</f>
        <v/>
      </c>
      <c r="N383" s="11">
        <f>IFERROR(_xll.ciqfunctions.udf.CIQ(mh_ticker, "IQ_EBITDA_EST", IQ_NTM, B383, , , "USD"), "")</f>
        <v/>
      </c>
      <c r="O383" s="13">
        <f>IFERROR(M383/N383, "")</f>
        <v/>
      </c>
    </row>
    <row r="384">
      <c r="B384" s="8" t="n"/>
      <c r="C384" s="9">
        <f>IFERROR(_xll.ciqfunctions.udf.CIQ(mh_ticker, "IQ_LASTSALEPRICE", B384), "")</f>
        <v/>
      </c>
      <c r="D384" s="10">
        <f>IFERROR(_xll.ciqfunctions.udf.CIQ(mh_ticker, "IQ_SHARESOUTSTANDING_OUT", B384), "")</f>
        <v/>
      </c>
      <c r="E384" s="11">
        <f>IFERROR(_xll.ciqfunctions.udf.CIQ(mh_ticker, "IQ_CASH_EQUIV", , B384), "")</f>
        <v/>
      </c>
      <c r="F384" s="11">
        <f>IFERROR(_xll.ciqfunctions.udf.CIQ(mh_ticker, "IQ_ST_INVEST", , B384), "")</f>
        <v/>
      </c>
      <c r="G384" s="11">
        <f>IFERROR(_xll.ciqfunctions.udf.CIQ(mh_ticker, "IQ_TOTAL_DEBT_EXCL_OPER_LEASES", , B384), "")</f>
        <v/>
      </c>
      <c r="H384" s="11">
        <f>IFERROR(_xll.ciqfunctions.udf.CIQ(mh_ticker, "IQ_PREF_EQUITY", , B384), "")</f>
        <v/>
      </c>
      <c r="I384" s="11">
        <f>IFERROR(_xll.ciqfunctions.udf.CIQ(mh_ticker, "IQ_MINORITY_INTEREST", , B384), "")</f>
        <v/>
      </c>
      <c r="J384" s="11">
        <f>IFERROR(_xll.ciqfunctions.udf.CIQ(mh_ticker, "IQ_EQUITY_METHOD", , B384), "")</f>
        <v/>
      </c>
      <c r="K384" s="11">
        <f>IFERROR(_xll.ciqfunctions.udf.CIQ(mh_ticker, "IQ_LT_Mark_Securities", , B384), "")</f>
        <v/>
      </c>
      <c r="L384" s="12">
        <f>IFERROR(C384*D384, "")</f>
        <v/>
      </c>
      <c r="M384" s="12">
        <f>IFERROR(L384-E384-F384+G384+H384+I384-J384-K384, "")</f>
        <v/>
      </c>
      <c r="N384" s="11">
        <f>IFERROR(_xll.ciqfunctions.udf.CIQ(mh_ticker, "IQ_EBITDA_EST", IQ_NTM, B384, , , "USD"), "")</f>
        <v/>
      </c>
      <c r="O384" s="13">
        <f>IFERROR(M384/N384, "")</f>
        <v/>
      </c>
    </row>
    <row r="385">
      <c r="B385" s="8" t="n"/>
      <c r="C385" s="9">
        <f>IFERROR(_xll.ciqfunctions.udf.CIQ(mh_ticker, "IQ_LASTSALEPRICE", B385), "")</f>
        <v/>
      </c>
      <c r="D385" s="10">
        <f>IFERROR(_xll.ciqfunctions.udf.CIQ(mh_ticker, "IQ_SHARESOUTSTANDING_OUT", B385), "")</f>
        <v/>
      </c>
      <c r="E385" s="11">
        <f>IFERROR(_xll.ciqfunctions.udf.CIQ(mh_ticker, "IQ_CASH_EQUIV", , B385), "")</f>
        <v/>
      </c>
      <c r="F385" s="11">
        <f>IFERROR(_xll.ciqfunctions.udf.CIQ(mh_ticker, "IQ_ST_INVEST", , B385), "")</f>
        <v/>
      </c>
      <c r="G385" s="11">
        <f>IFERROR(_xll.ciqfunctions.udf.CIQ(mh_ticker, "IQ_TOTAL_DEBT_EXCL_OPER_LEASES", , B385), "")</f>
        <v/>
      </c>
      <c r="H385" s="11">
        <f>IFERROR(_xll.ciqfunctions.udf.CIQ(mh_ticker, "IQ_PREF_EQUITY", , B385), "")</f>
        <v/>
      </c>
      <c r="I385" s="11">
        <f>IFERROR(_xll.ciqfunctions.udf.CIQ(mh_ticker, "IQ_MINORITY_INTEREST", , B385), "")</f>
        <v/>
      </c>
      <c r="J385" s="11">
        <f>IFERROR(_xll.ciqfunctions.udf.CIQ(mh_ticker, "IQ_EQUITY_METHOD", , B385), "")</f>
        <v/>
      </c>
      <c r="K385" s="11">
        <f>IFERROR(_xll.ciqfunctions.udf.CIQ(mh_ticker, "IQ_LT_Mark_Securities", , B385), "")</f>
        <v/>
      </c>
      <c r="L385" s="12">
        <f>IFERROR(C385*D385, "")</f>
        <v/>
      </c>
      <c r="M385" s="12">
        <f>IFERROR(L385-E385-F385+G385+H385+I385-J385-K385, "")</f>
        <v/>
      </c>
      <c r="N385" s="11">
        <f>IFERROR(_xll.ciqfunctions.udf.CIQ(mh_ticker, "IQ_EBITDA_EST", IQ_NTM, B385, , , "USD"), "")</f>
        <v/>
      </c>
      <c r="O385" s="13">
        <f>IFERROR(M385/N385, "")</f>
        <v/>
      </c>
    </row>
    <row r="386">
      <c r="B386" s="8" t="n"/>
      <c r="C386" s="9">
        <f>IFERROR(_xll.ciqfunctions.udf.CIQ(mh_ticker, "IQ_LASTSALEPRICE", B386), "")</f>
        <v/>
      </c>
      <c r="D386" s="10">
        <f>IFERROR(_xll.ciqfunctions.udf.CIQ(mh_ticker, "IQ_SHARESOUTSTANDING_OUT", B386), "")</f>
        <v/>
      </c>
      <c r="E386" s="11">
        <f>IFERROR(_xll.ciqfunctions.udf.CIQ(mh_ticker, "IQ_CASH_EQUIV", , B386), "")</f>
        <v/>
      </c>
      <c r="F386" s="11">
        <f>IFERROR(_xll.ciqfunctions.udf.CIQ(mh_ticker, "IQ_ST_INVEST", , B386), "")</f>
        <v/>
      </c>
      <c r="G386" s="11">
        <f>IFERROR(_xll.ciqfunctions.udf.CIQ(mh_ticker, "IQ_TOTAL_DEBT_EXCL_OPER_LEASES", , B386), "")</f>
        <v/>
      </c>
      <c r="H386" s="11">
        <f>IFERROR(_xll.ciqfunctions.udf.CIQ(mh_ticker, "IQ_PREF_EQUITY", , B386), "")</f>
        <v/>
      </c>
      <c r="I386" s="11">
        <f>IFERROR(_xll.ciqfunctions.udf.CIQ(mh_ticker, "IQ_MINORITY_INTEREST", , B386), "")</f>
        <v/>
      </c>
      <c r="J386" s="11">
        <f>IFERROR(_xll.ciqfunctions.udf.CIQ(mh_ticker, "IQ_EQUITY_METHOD", , B386), "")</f>
        <v/>
      </c>
      <c r="K386" s="11">
        <f>IFERROR(_xll.ciqfunctions.udf.CIQ(mh_ticker, "IQ_LT_Mark_Securities", , B386), "")</f>
        <v/>
      </c>
      <c r="L386" s="12">
        <f>IFERROR(C386*D386, "")</f>
        <v/>
      </c>
      <c r="M386" s="12">
        <f>IFERROR(L386-E386-F386+G386+H386+I386-J386-K386, "")</f>
        <v/>
      </c>
      <c r="N386" s="11">
        <f>IFERROR(_xll.ciqfunctions.udf.CIQ(mh_ticker, "IQ_EBITDA_EST", IQ_NTM, B386, , , "USD"), "")</f>
        <v/>
      </c>
      <c r="O386" s="13">
        <f>IFERROR(M386/N386, "")</f>
        <v/>
      </c>
    </row>
    <row r="387">
      <c r="B387" s="8" t="n"/>
      <c r="C387" s="9">
        <f>IFERROR(_xll.ciqfunctions.udf.CIQ(mh_ticker, "IQ_LASTSALEPRICE", B387), "")</f>
        <v/>
      </c>
      <c r="D387" s="10">
        <f>IFERROR(_xll.ciqfunctions.udf.CIQ(mh_ticker, "IQ_SHARESOUTSTANDING_OUT", B387), "")</f>
        <v/>
      </c>
      <c r="E387" s="11">
        <f>IFERROR(_xll.ciqfunctions.udf.CIQ(mh_ticker, "IQ_CASH_EQUIV", , B387), "")</f>
        <v/>
      </c>
      <c r="F387" s="11">
        <f>IFERROR(_xll.ciqfunctions.udf.CIQ(mh_ticker, "IQ_ST_INVEST", , B387), "")</f>
        <v/>
      </c>
      <c r="G387" s="11">
        <f>IFERROR(_xll.ciqfunctions.udf.CIQ(mh_ticker, "IQ_TOTAL_DEBT_EXCL_OPER_LEASES", , B387), "")</f>
        <v/>
      </c>
      <c r="H387" s="11">
        <f>IFERROR(_xll.ciqfunctions.udf.CIQ(mh_ticker, "IQ_PREF_EQUITY", , B387), "")</f>
        <v/>
      </c>
      <c r="I387" s="11">
        <f>IFERROR(_xll.ciqfunctions.udf.CIQ(mh_ticker, "IQ_MINORITY_INTEREST", , B387), "")</f>
        <v/>
      </c>
      <c r="J387" s="11">
        <f>IFERROR(_xll.ciqfunctions.udf.CIQ(mh_ticker, "IQ_EQUITY_METHOD", , B387), "")</f>
        <v/>
      </c>
      <c r="K387" s="11">
        <f>IFERROR(_xll.ciqfunctions.udf.CIQ(mh_ticker, "IQ_LT_Mark_Securities", , B387), "")</f>
        <v/>
      </c>
      <c r="L387" s="12">
        <f>IFERROR(C387*D387, "")</f>
        <v/>
      </c>
      <c r="M387" s="12">
        <f>IFERROR(L387-E387-F387+G387+H387+I387-J387-K387, "")</f>
        <v/>
      </c>
      <c r="N387" s="11">
        <f>IFERROR(_xll.ciqfunctions.udf.CIQ(mh_ticker, "IQ_EBITDA_EST", IQ_NTM, B387, , , "USD"), "")</f>
        <v/>
      </c>
      <c r="O387" s="13">
        <f>IFERROR(M387/N387, "")</f>
        <v/>
      </c>
    </row>
    <row r="388">
      <c r="B388" s="8" t="n"/>
      <c r="C388" s="9">
        <f>IFERROR(_xll.ciqfunctions.udf.CIQ(mh_ticker, "IQ_LASTSALEPRICE", B388), "")</f>
        <v/>
      </c>
      <c r="D388" s="10">
        <f>IFERROR(_xll.ciqfunctions.udf.CIQ(mh_ticker, "IQ_SHARESOUTSTANDING_OUT", B388), "")</f>
        <v/>
      </c>
      <c r="E388" s="11">
        <f>IFERROR(_xll.ciqfunctions.udf.CIQ(mh_ticker, "IQ_CASH_EQUIV", , B388), "")</f>
        <v/>
      </c>
      <c r="F388" s="11">
        <f>IFERROR(_xll.ciqfunctions.udf.CIQ(mh_ticker, "IQ_ST_INVEST", , B388), "")</f>
        <v/>
      </c>
      <c r="G388" s="11">
        <f>IFERROR(_xll.ciqfunctions.udf.CIQ(mh_ticker, "IQ_TOTAL_DEBT_EXCL_OPER_LEASES", , B388), "")</f>
        <v/>
      </c>
      <c r="H388" s="11">
        <f>IFERROR(_xll.ciqfunctions.udf.CIQ(mh_ticker, "IQ_PREF_EQUITY", , B388), "")</f>
        <v/>
      </c>
      <c r="I388" s="11">
        <f>IFERROR(_xll.ciqfunctions.udf.CIQ(mh_ticker, "IQ_MINORITY_INTEREST", , B388), "")</f>
        <v/>
      </c>
      <c r="J388" s="11">
        <f>IFERROR(_xll.ciqfunctions.udf.CIQ(mh_ticker, "IQ_EQUITY_METHOD", , B388), "")</f>
        <v/>
      </c>
      <c r="K388" s="11">
        <f>IFERROR(_xll.ciqfunctions.udf.CIQ(mh_ticker, "IQ_LT_Mark_Securities", , B388), "")</f>
        <v/>
      </c>
      <c r="L388" s="12">
        <f>IFERROR(C388*D388, "")</f>
        <v/>
      </c>
      <c r="M388" s="12">
        <f>IFERROR(L388-E388-F388+G388+H388+I388-J388-K388, "")</f>
        <v/>
      </c>
      <c r="N388" s="11">
        <f>IFERROR(_xll.ciqfunctions.udf.CIQ(mh_ticker, "IQ_EBITDA_EST", IQ_NTM, B388, , , "USD"), "")</f>
        <v/>
      </c>
      <c r="O388" s="13">
        <f>IFERROR(M388/N388, "")</f>
        <v/>
      </c>
    </row>
    <row r="389">
      <c r="B389" s="8" t="n"/>
      <c r="C389" s="9">
        <f>IFERROR(_xll.ciqfunctions.udf.CIQ(mh_ticker, "IQ_LASTSALEPRICE", B389), "")</f>
        <v/>
      </c>
      <c r="D389" s="10">
        <f>IFERROR(_xll.ciqfunctions.udf.CIQ(mh_ticker, "IQ_SHARESOUTSTANDING_OUT", B389), "")</f>
        <v/>
      </c>
      <c r="E389" s="11">
        <f>IFERROR(_xll.ciqfunctions.udf.CIQ(mh_ticker, "IQ_CASH_EQUIV", , B389), "")</f>
        <v/>
      </c>
      <c r="F389" s="11">
        <f>IFERROR(_xll.ciqfunctions.udf.CIQ(mh_ticker, "IQ_ST_INVEST", , B389), "")</f>
        <v/>
      </c>
      <c r="G389" s="11">
        <f>IFERROR(_xll.ciqfunctions.udf.CIQ(mh_ticker, "IQ_TOTAL_DEBT_EXCL_OPER_LEASES", , B389), "")</f>
        <v/>
      </c>
      <c r="H389" s="11">
        <f>IFERROR(_xll.ciqfunctions.udf.CIQ(mh_ticker, "IQ_PREF_EQUITY", , B389), "")</f>
        <v/>
      </c>
      <c r="I389" s="11">
        <f>IFERROR(_xll.ciqfunctions.udf.CIQ(mh_ticker, "IQ_MINORITY_INTEREST", , B389), "")</f>
        <v/>
      </c>
      <c r="J389" s="11">
        <f>IFERROR(_xll.ciqfunctions.udf.CIQ(mh_ticker, "IQ_EQUITY_METHOD", , B389), "")</f>
        <v/>
      </c>
      <c r="K389" s="11">
        <f>IFERROR(_xll.ciqfunctions.udf.CIQ(mh_ticker, "IQ_LT_Mark_Securities", , B389), "")</f>
        <v/>
      </c>
      <c r="L389" s="12">
        <f>IFERROR(C389*D389, "")</f>
        <v/>
      </c>
      <c r="M389" s="12">
        <f>IFERROR(L389-E389-F389+G389+H389+I389-J389-K389, "")</f>
        <v/>
      </c>
      <c r="N389" s="11">
        <f>IFERROR(_xll.ciqfunctions.udf.CIQ(mh_ticker, "IQ_EBITDA_EST", IQ_NTM, B389, , , "USD"), "")</f>
        <v/>
      </c>
      <c r="O389" s="13">
        <f>IFERROR(M389/N389, "")</f>
        <v/>
      </c>
    </row>
    <row r="390">
      <c r="B390" s="8" t="n"/>
      <c r="C390" s="9">
        <f>IFERROR(_xll.ciqfunctions.udf.CIQ(mh_ticker, "IQ_LASTSALEPRICE", B390), "")</f>
        <v/>
      </c>
      <c r="D390" s="10">
        <f>IFERROR(_xll.ciqfunctions.udf.CIQ(mh_ticker, "IQ_SHARESOUTSTANDING_OUT", B390), "")</f>
        <v/>
      </c>
      <c r="E390" s="11">
        <f>IFERROR(_xll.ciqfunctions.udf.CIQ(mh_ticker, "IQ_CASH_EQUIV", , B390), "")</f>
        <v/>
      </c>
      <c r="F390" s="11">
        <f>IFERROR(_xll.ciqfunctions.udf.CIQ(mh_ticker, "IQ_ST_INVEST", , B390), "")</f>
        <v/>
      </c>
      <c r="G390" s="11">
        <f>IFERROR(_xll.ciqfunctions.udf.CIQ(mh_ticker, "IQ_TOTAL_DEBT_EXCL_OPER_LEASES", , B390), "")</f>
        <v/>
      </c>
      <c r="H390" s="11">
        <f>IFERROR(_xll.ciqfunctions.udf.CIQ(mh_ticker, "IQ_PREF_EQUITY", , B390), "")</f>
        <v/>
      </c>
      <c r="I390" s="11">
        <f>IFERROR(_xll.ciqfunctions.udf.CIQ(mh_ticker, "IQ_MINORITY_INTEREST", , B390), "")</f>
        <v/>
      </c>
      <c r="J390" s="11">
        <f>IFERROR(_xll.ciqfunctions.udf.CIQ(mh_ticker, "IQ_EQUITY_METHOD", , B390), "")</f>
        <v/>
      </c>
      <c r="K390" s="11">
        <f>IFERROR(_xll.ciqfunctions.udf.CIQ(mh_ticker, "IQ_LT_Mark_Securities", , B390), "")</f>
        <v/>
      </c>
      <c r="L390" s="12">
        <f>IFERROR(C390*D390, "")</f>
        <v/>
      </c>
      <c r="M390" s="12">
        <f>IFERROR(L390-E390-F390+G390+H390+I390-J390-K390, "")</f>
        <v/>
      </c>
      <c r="N390" s="11">
        <f>IFERROR(_xll.ciqfunctions.udf.CIQ(mh_ticker, "IQ_EBITDA_EST", IQ_NTM, B390, , , "USD"), "")</f>
        <v/>
      </c>
      <c r="O390" s="13">
        <f>IFERROR(M390/N390, "")</f>
        <v/>
      </c>
    </row>
    <row r="391">
      <c r="B391" s="8" t="n"/>
      <c r="C391" s="9">
        <f>IFERROR(_xll.ciqfunctions.udf.CIQ(mh_ticker, "IQ_LASTSALEPRICE", B391), "")</f>
        <v/>
      </c>
      <c r="D391" s="10">
        <f>IFERROR(_xll.ciqfunctions.udf.CIQ(mh_ticker, "IQ_SHARESOUTSTANDING_OUT", B391), "")</f>
        <v/>
      </c>
      <c r="E391" s="11">
        <f>IFERROR(_xll.ciqfunctions.udf.CIQ(mh_ticker, "IQ_CASH_EQUIV", , B391), "")</f>
        <v/>
      </c>
      <c r="F391" s="11">
        <f>IFERROR(_xll.ciqfunctions.udf.CIQ(mh_ticker, "IQ_ST_INVEST", , B391), "")</f>
        <v/>
      </c>
      <c r="G391" s="11">
        <f>IFERROR(_xll.ciqfunctions.udf.CIQ(mh_ticker, "IQ_TOTAL_DEBT_EXCL_OPER_LEASES", , B391), "")</f>
        <v/>
      </c>
      <c r="H391" s="11">
        <f>IFERROR(_xll.ciqfunctions.udf.CIQ(mh_ticker, "IQ_PREF_EQUITY", , B391), "")</f>
        <v/>
      </c>
      <c r="I391" s="11">
        <f>IFERROR(_xll.ciqfunctions.udf.CIQ(mh_ticker, "IQ_MINORITY_INTEREST", , B391), "")</f>
        <v/>
      </c>
      <c r="J391" s="11">
        <f>IFERROR(_xll.ciqfunctions.udf.CIQ(mh_ticker, "IQ_EQUITY_METHOD", , B391), "")</f>
        <v/>
      </c>
      <c r="K391" s="11">
        <f>IFERROR(_xll.ciqfunctions.udf.CIQ(mh_ticker, "IQ_LT_Mark_Securities", , B391), "")</f>
        <v/>
      </c>
      <c r="L391" s="12">
        <f>IFERROR(C391*D391, "")</f>
        <v/>
      </c>
      <c r="M391" s="12">
        <f>IFERROR(L391-E391-F391+G391+H391+I391-J391-K391, "")</f>
        <v/>
      </c>
      <c r="N391" s="11">
        <f>IFERROR(_xll.ciqfunctions.udf.CIQ(mh_ticker, "IQ_EBITDA_EST", IQ_NTM, B391, , , "USD"), "")</f>
        <v/>
      </c>
      <c r="O391" s="13">
        <f>IFERROR(M391/N391, "")</f>
        <v/>
      </c>
    </row>
    <row r="392">
      <c r="B392" s="8" t="n"/>
      <c r="C392" s="9">
        <f>IFERROR(_xll.ciqfunctions.udf.CIQ(mh_ticker, "IQ_LASTSALEPRICE", B392), "")</f>
        <v/>
      </c>
      <c r="D392" s="10">
        <f>IFERROR(_xll.ciqfunctions.udf.CIQ(mh_ticker, "IQ_SHARESOUTSTANDING_OUT", B392), "")</f>
        <v/>
      </c>
      <c r="E392" s="11">
        <f>IFERROR(_xll.ciqfunctions.udf.CIQ(mh_ticker, "IQ_CASH_EQUIV", , B392), "")</f>
        <v/>
      </c>
      <c r="F392" s="11">
        <f>IFERROR(_xll.ciqfunctions.udf.CIQ(mh_ticker, "IQ_ST_INVEST", , B392), "")</f>
        <v/>
      </c>
      <c r="G392" s="11">
        <f>IFERROR(_xll.ciqfunctions.udf.CIQ(mh_ticker, "IQ_TOTAL_DEBT_EXCL_OPER_LEASES", , B392), "")</f>
        <v/>
      </c>
      <c r="H392" s="11">
        <f>IFERROR(_xll.ciqfunctions.udf.CIQ(mh_ticker, "IQ_PREF_EQUITY", , B392), "")</f>
        <v/>
      </c>
      <c r="I392" s="11">
        <f>IFERROR(_xll.ciqfunctions.udf.CIQ(mh_ticker, "IQ_MINORITY_INTEREST", , B392), "")</f>
        <v/>
      </c>
      <c r="J392" s="11">
        <f>IFERROR(_xll.ciqfunctions.udf.CIQ(mh_ticker, "IQ_EQUITY_METHOD", , B392), "")</f>
        <v/>
      </c>
      <c r="K392" s="11">
        <f>IFERROR(_xll.ciqfunctions.udf.CIQ(mh_ticker, "IQ_LT_Mark_Securities", , B392), "")</f>
        <v/>
      </c>
      <c r="L392" s="12">
        <f>IFERROR(C392*D392, "")</f>
        <v/>
      </c>
      <c r="M392" s="12">
        <f>IFERROR(L392-E392-F392+G392+H392+I392-J392-K392, "")</f>
        <v/>
      </c>
      <c r="N392" s="11">
        <f>IFERROR(_xll.ciqfunctions.udf.CIQ(mh_ticker, "IQ_EBITDA_EST", IQ_NTM, B392, , , "USD"), "")</f>
        <v/>
      </c>
      <c r="O392" s="13">
        <f>IFERROR(M392/N392, "")</f>
        <v/>
      </c>
    </row>
    <row r="393">
      <c r="B393" s="8" t="n"/>
      <c r="C393" s="9">
        <f>IFERROR(_xll.ciqfunctions.udf.CIQ(mh_ticker, "IQ_LASTSALEPRICE", B393), "")</f>
        <v/>
      </c>
      <c r="D393" s="10">
        <f>IFERROR(_xll.ciqfunctions.udf.CIQ(mh_ticker, "IQ_SHARESOUTSTANDING_OUT", B393), "")</f>
        <v/>
      </c>
      <c r="E393" s="11">
        <f>IFERROR(_xll.ciqfunctions.udf.CIQ(mh_ticker, "IQ_CASH_EQUIV", , B393), "")</f>
        <v/>
      </c>
      <c r="F393" s="11">
        <f>IFERROR(_xll.ciqfunctions.udf.CIQ(mh_ticker, "IQ_ST_INVEST", , B393), "")</f>
        <v/>
      </c>
      <c r="G393" s="11">
        <f>IFERROR(_xll.ciqfunctions.udf.CIQ(mh_ticker, "IQ_TOTAL_DEBT_EXCL_OPER_LEASES", , B393), "")</f>
        <v/>
      </c>
      <c r="H393" s="11">
        <f>IFERROR(_xll.ciqfunctions.udf.CIQ(mh_ticker, "IQ_PREF_EQUITY", , B393), "")</f>
        <v/>
      </c>
      <c r="I393" s="11">
        <f>IFERROR(_xll.ciqfunctions.udf.CIQ(mh_ticker, "IQ_MINORITY_INTEREST", , B393), "")</f>
        <v/>
      </c>
      <c r="J393" s="11">
        <f>IFERROR(_xll.ciqfunctions.udf.CIQ(mh_ticker, "IQ_EQUITY_METHOD", , B393), "")</f>
        <v/>
      </c>
      <c r="K393" s="11">
        <f>IFERROR(_xll.ciqfunctions.udf.CIQ(mh_ticker, "IQ_LT_Mark_Securities", , B393), "")</f>
        <v/>
      </c>
      <c r="L393" s="12">
        <f>IFERROR(C393*D393, "")</f>
        <v/>
      </c>
      <c r="M393" s="12">
        <f>IFERROR(L393-E393-F393+G393+H393+I393-J393-K393, "")</f>
        <v/>
      </c>
      <c r="N393" s="11">
        <f>IFERROR(_xll.ciqfunctions.udf.CIQ(mh_ticker, "IQ_EBITDA_EST", IQ_NTM, B393, , , "USD"), "")</f>
        <v/>
      </c>
      <c r="O393" s="13">
        <f>IFERROR(M393/N393, "")</f>
        <v/>
      </c>
    </row>
    <row r="394">
      <c r="B394" s="8" t="n"/>
      <c r="C394" s="9">
        <f>IFERROR(_xll.ciqfunctions.udf.CIQ(mh_ticker, "IQ_LASTSALEPRICE", B394), "")</f>
        <v/>
      </c>
      <c r="D394" s="10">
        <f>IFERROR(_xll.ciqfunctions.udf.CIQ(mh_ticker, "IQ_SHARESOUTSTANDING_OUT", B394), "")</f>
        <v/>
      </c>
      <c r="E394" s="11">
        <f>IFERROR(_xll.ciqfunctions.udf.CIQ(mh_ticker, "IQ_CASH_EQUIV", , B394), "")</f>
        <v/>
      </c>
      <c r="F394" s="11">
        <f>IFERROR(_xll.ciqfunctions.udf.CIQ(mh_ticker, "IQ_ST_INVEST", , B394), "")</f>
        <v/>
      </c>
      <c r="G394" s="11">
        <f>IFERROR(_xll.ciqfunctions.udf.CIQ(mh_ticker, "IQ_TOTAL_DEBT_EXCL_OPER_LEASES", , B394), "")</f>
        <v/>
      </c>
      <c r="H394" s="11">
        <f>IFERROR(_xll.ciqfunctions.udf.CIQ(mh_ticker, "IQ_PREF_EQUITY", , B394), "")</f>
        <v/>
      </c>
      <c r="I394" s="11">
        <f>IFERROR(_xll.ciqfunctions.udf.CIQ(mh_ticker, "IQ_MINORITY_INTEREST", , B394), "")</f>
        <v/>
      </c>
      <c r="J394" s="11">
        <f>IFERROR(_xll.ciqfunctions.udf.CIQ(mh_ticker, "IQ_EQUITY_METHOD", , B394), "")</f>
        <v/>
      </c>
      <c r="K394" s="11">
        <f>IFERROR(_xll.ciqfunctions.udf.CIQ(mh_ticker, "IQ_LT_Mark_Securities", , B394), "")</f>
        <v/>
      </c>
      <c r="L394" s="12">
        <f>IFERROR(C394*D394, "")</f>
        <v/>
      </c>
      <c r="M394" s="12">
        <f>IFERROR(L394-E394-F394+G394+H394+I394-J394-K394, "")</f>
        <v/>
      </c>
      <c r="N394" s="11">
        <f>IFERROR(_xll.ciqfunctions.udf.CIQ(mh_ticker, "IQ_EBITDA_EST", IQ_NTM, B394, , , "USD"), "")</f>
        <v/>
      </c>
      <c r="O394" s="13">
        <f>IFERROR(M394/N394, "")</f>
        <v/>
      </c>
    </row>
    <row r="395">
      <c r="B395" s="8" t="n"/>
      <c r="C395" s="9">
        <f>IFERROR(_xll.ciqfunctions.udf.CIQ(mh_ticker, "IQ_LASTSALEPRICE", B395), "")</f>
        <v/>
      </c>
      <c r="D395" s="10">
        <f>IFERROR(_xll.ciqfunctions.udf.CIQ(mh_ticker, "IQ_SHARESOUTSTANDING_OUT", B395), "")</f>
        <v/>
      </c>
      <c r="E395" s="11">
        <f>IFERROR(_xll.ciqfunctions.udf.CIQ(mh_ticker, "IQ_CASH_EQUIV", , B395), "")</f>
        <v/>
      </c>
      <c r="F395" s="11">
        <f>IFERROR(_xll.ciqfunctions.udf.CIQ(mh_ticker, "IQ_ST_INVEST", , B395), "")</f>
        <v/>
      </c>
      <c r="G395" s="11">
        <f>IFERROR(_xll.ciqfunctions.udf.CIQ(mh_ticker, "IQ_TOTAL_DEBT_EXCL_OPER_LEASES", , B395), "")</f>
        <v/>
      </c>
      <c r="H395" s="11">
        <f>IFERROR(_xll.ciqfunctions.udf.CIQ(mh_ticker, "IQ_PREF_EQUITY", , B395), "")</f>
        <v/>
      </c>
      <c r="I395" s="11">
        <f>IFERROR(_xll.ciqfunctions.udf.CIQ(mh_ticker, "IQ_MINORITY_INTEREST", , B395), "")</f>
        <v/>
      </c>
      <c r="J395" s="11">
        <f>IFERROR(_xll.ciqfunctions.udf.CIQ(mh_ticker, "IQ_EQUITY_METHOD", , B395), "")</f>
        <v/>
      </c>
      <c r="K395" s="11">
        <f>IFERROR(_xll.ciqfunctions.udf.CIQ(mh_ticker, "IQ_LT_Mark_Securities", , B395), "")</f>
        <v/>
      </c>
      <c r="L395" s="12">
        <f>IFERROR(C395*D395, "")</f>
        <v/>
      </c>
      <c r="M395" s="12">
        <f>IFERROR(L395-E395-F395+G395+H395+I395-J395-K395, "")</f>
        <v/>
      </c>
      <c r="N395" s="11">
        <f>IFERROR(_xll.ciqfunctions.udf.CIQ(mh_ticker, "IQ_EBITDA_EST", IQ_NTM, B395, , , "USD"), "")</f>
        <v/>
      </c>
      <c r="O395" s="13">
        <f>IFERROR(M395/N395, "")</f>
        <v/>
      </c>
    </row>
    <row r="396">
      <c r="B396" s="8" t="n"/>
      <c r="C396" s="9">
        <f>IFERROR(_xll.ciqfunctions.udf.CIQ(mh_ticker, "IQ_LASTSALEPRICE", B396), "")</f>
        <v/>
      </c>
      <c r="D396" s="10">
        <f>IFERROR(_xll.ciqfunctions.udf.CIQ(mh_ticker, "IQ_SHARESOUTSTANDING_OUT", B396), "")</f>
        <v/>
      </c>
      <c r="E396" s="11">
        <f>IFERROR(_xll.ciqfunctions.udf.CIQ(mh_ticker, "IQ_CASH_EQUIV", , B396), "")</f>
        <v/>
      </c>
      <c r="F396" s="11">
        <f>IFERROR(_xll.ciqfunctions.udf.CIQ(mh_ticker, "IQ_ST_INVEST", , B396), "")</f>
        <v/>
      </c>
      <c r="G396" s="11">
        <f>IFERROR(_xll.ciqfunctions.udf.CIQ(mh_ticker, "IQ_TOTAL_DEBT_EXCL_OPER_LEASES", , B396), "")</f>
        <v/>
      </c>
      <c r="H396" s="11">
        <f>IFERROR(_xll.ciqfunctions.udf.CIQ(mh_ticker, "IQ_PREF_EQUITY", , B396), "")</f>
        <v/>
      </c>
      <c r="I396" s="11">
        <f>IFERROR(_xll.ciqfunctions.udf.CIQ(mh_ticker, "IQ_MINORITY_INTEREST", , B396), "")</f>
        <v/>
      </c>
      <c r="J396" s="11">
        <f>IFERROR(_xll.ciqfunctions.udf.CIQ(mh_ticker, "IQ_EQUITY_METHOD", , B396), "")</f>
        <v/>
      </c>
      <c r="K396" s="11">
        <f>IFERROR(_xll.ciqfunctions.udf.CIQ(mh_ticker, "IQ_LT_Mark_Securities", , B396), "")</f>
        <v/>
      </c>
      <c r="L396" s="12">
        <f>IFERROR(C396*D396, "")</f>
        <v/>
      </c>
      <c r="M396" s="12">
        <f>IFERROR(L396-E396-F396+G396+H396+I396-J396-K396, "")</f>
        <v/>
      </c>
      <c r="N396" s="11">
        <f>IFERROR(_xll.ciqfunctions.udf.CIQ(mh_ticker, "IQ_EBITDA_EST", IQ_NTM, B396, , , "USD"), "")</f>
        <v/>
      </c>
      <c r="O396" s="13">
        <f>IFERROR(M396/N396, "")</f>
        <v/>
      </c>
    </row>
    <row r="397">
      <c r="B397" s="8" t="n"/>
      <c r="C397" s="9">
        <f>IFERROR(_xll.ciqfunctions.udf.CIQ(mh_ticker, "IQ_LASTSALEPRICE", B397), "")</f>
        <v/>
      </c>
      <c r="D397" s="10">
        <f>IFERROR(_xll.ciqfunctions.udf.CIQ(mh_ticker, "IQ_SHARESOUTSTANDING_OUT", B397), "")</f>
        <v/>
      </c>
      <c r="E397" s="11">
        <f>IFERROR(_xll.ciqfunctions.udf.CIQ(mh_ticker, "IQ_CASH_EQUIV", , B397), "")</f>
        <v/>
      </c>
      <c r="F397" s="11">
        <f>IFERROR(_xll.ciqfunctions.udf.CIQ(mh_ticker, "IQ_ST_INVEST", , B397), "")</f>
        <v/>
      </c>
      <c r="G397" s="11">
        <f>IFERROR(_xll.ciqfunctions.udf.CIQ(mh_ticker, "IQ_TOTAL_DEBT_EXCL_OPER_LEASES", , B397), "")</f>
        <v/>
      </c>
      <c r="H397" s="11">
        <f>IFERROR(_xll.ciqfunctions.udf.CIQ(mh_ticker, "IQ_PREF_EQUITY", , B397), "")</f>
        <v/>
      </c>
      <c r="I397" s="11">
        <f>IFERROR(_xll.ciqfunctions.udf.CIQ(mh_ticker, "IQ_MINORITY_INTEREST", , B397), "")</f>
        <v/>
      </c>
      <c r="J397" s="11">
        <f>IFERROR(_xll.ciqfunctions.udf.CIQ(mh_ticker, "IQ_EQUITY_METHOD", , B397), "")</f>
        <v/>
      </c>
      <c r="K397" s="11">
        <f>IFERROR(_xll.ciqfunctions.udf.CIQ(mh_ticker, "IQ_LT_Mark_Securities", , B397), "")</f>
        <v/>
      </c>
      <c r="L397" s="12">
        <f>IFERROR(C397*D397, "")</f>
        <v/>
      </c>
      <c r="M397" s="12">
        <f>IFERROR(L397-E397-F397+G397+H397+I397-J397-K397, "")</f>
        <v/>
      </c>
      <c r="N397" s="11">
        <f>IFERROR(_xll.ciqfunctions.udf.CIQ(mh_ticker, "IQ_EBITDA_EST", IQ_NTM, B397, , , "USD"), "")</f>
        <v/>
      </c>
      <c r="O397" s="13">
        <f>IFERROR(M397/N397, "")</f>
        <v/>
      </c>
    </row>
    <row r="398">
      <c r="B398" s="8" t="n"/>
      <c r="C398" s="9">
        <f>IFERROR(_xll.ciqfunctions.udf.CIQ(mh_ticker, "IQ_LASTSALEPRICE", B398), "")</f>
        <v/>
      </c>
      <c r="D398" s="10">
        <f>IFERROR(_xll.ciqfunctions.udf.CIQ(mh_ticker, "IQ_SHARESOUTSTANDING_OUT", B398), "")</f>
        <v/>
      </c>
      <c r="E398" s="11">
        <f>IFERROR(_xll.ciqfunctions.udf.CIQ(mh_ticker, "IQ_CASH_EQUIV", , B398), "")</f>
        <v/>
      </c>
      <c r="F398" s="11">
        <f>IFERROR(_xll.ciqfunctions.udf.CIQ(mh_ticker, "IQ_ST_INVEST", , B398), "")</f>
        <v/>
      </c>
      <c r="G398" s="11">
        <f>IFERROR(_xll.ciqfunctions.udf.CIQ(mh_ticker, "IQ_TOTAL_DEBT_EXCL_OPER_LEASES", , B398), "")</f>
        <v/>
      </c>
      <c r="H398" s="11">
        <f>IFERROR(_xll.ciqfunctions.udf.CIQ(mh_ticker, "IQ_PREF_EQUITY", , B398), "")</f>
        <v/>
      </c>
      <c r="I398" s="11">
        <f>IFERROR(_xll.ciqfunctions.udf.CIQ(mh_ticker, "IQ_MINORITY_INTEREST", , B398), "")</f>
        <v/>
      </c>
      <c r="J398" s="11">
        <f>IFERROR(_xll.ciqfunctions.udf.CIQ(mh_ticker, "IQ_EQUITY_METHOD", , B398), "")</f>
        <v/>
      </c>
      <c r="K398" s="11">
        <f>IFERROR(_xll.ciqfunctions.udf.CIQ(mh_ticker, "IQ_LT_Mark_Securities", , B398), "")</f>
        <v/>
      </c>
      <c r="L398" s="12">
        <f>IFERROR(C398*D398, "")</f>
        <v/>
      </c>
      <c r="M398" s="12">
        <f>IFERROR(L398-E398-F398+G398+H398+I398-J398-K398, "")</f>
        <v/>
      </c>
      <c r="N398" s="11">
        <f>IFERROR(_xll.ciqfunctions.udf.CIQ(mh_ticker, "IQ_EBITDA_EST", IQ_NTM, B398, , , "USD"), "")</f>
        <v/>
      </c>
      <c r="O398" s="13">
        <f>IFERROR(M398/N398, "")</f>
        <v/>
      </c>
    </row>
    <row r="399">
      <c r="B399" s="8" t="n"/>
      <c r="C399" s="9">
        <f>IFERROR(_xll.ciqfunctions.udf.CIQ(mh_ticker, "IQ_LASTSALEPRICE", B399), "")</f>
        <v/>
      </c>
      <c r="D399" s="10">
        <f>IFERROR(_xll.ciqfunctions.udf.CIQ(mh_ticker, "IQ_SHARESOUTSTANDING_OUT", B399), "")</f>
        <v/>
      </c>
      <c r="E399" s="11">
        <f>IFERROR(_xll.ciqfunctions.udf.CIQ(mh_ticker, "IQ_CASH_EQUIV", , B399), "")</f>
        <v/>
      </c>
      <c r="F399" s="11">
        <f>IFERROR(_xll.ciqfunctions.udf.CIQ(mh_ticker, "IQ_ST_INVEST", , B399), "")</f>
        <v/>
      </c>
      <c r="G399" s="11">
        <f>IFERROR(_xll.ciqfunctions.udf.CIQ(mh_ticker, "IQ_TOTAL_DEBT_EXCL_OPER_LEASES", , B399), "")</f>
        <v/>
      </c>
      <c r="H399" s="11">
        <f>IFERROR(_xll.ciqfunctions.udf.CIQ(mh_ticker, "IQ_PREF_EQUITY", , B399), "")</f>
        <v/>
      </c>
      <c r="I399" s="11">
        <f>IFERROR(_xll.ciqfunctions.udf.CIQ(mh_ticker, "IQ_MINORITY_INTEREST", , B399), "")</f>
        <v/>
      </c>
      <c r="J399" s="11">
        <f>IFERROR(_xll.ciqfunctions.udf.CIQ(mh_ticker, "IQ_EQUITY_METHOD", , B399), "")</f>
        <v/>
      </c>
      <c r="K399" s="11">
        <f>IFERROR(_xll.ciqfunctions.udf.CIQ(mh_ticker, "IQ_LT_Mark_Securities", , B399), "")</f>
        <v/>
      </c>
      <c r="L399" s="12">
        <f>IFERROR(C399*D399, "")</f>
        <v/>
      </c>
      <c r="M399" s="12">
        <f>IFERROR(L399-E399-F399+G399+H399+I399-J399-K399, "")</f>
        <v/>
      </c>
      <c r="N399" s="11">
        <f>IFERROR(_xll.ciqfunctions.udf.CIQ(mh_ticker, "IQ_EBITDA_EST", IQ_NTM, B399, , , "USD"), "")</f>
        <v/>
      </c>
      <c r="O399" s="13">
        <f>IFERROR(M399/N399, "")</f>
        <v/>
      </c>
    </row>
    <row r="400">
      <c r="B400" s="8" t="n"/>
      <c r="C400" s="9">
        <f>IFERROR(_xll.ciqfunctions.udf.CIQ(mh_ticker, "IQ_LASTSALEPRICE", B400), "")</f>
        <v/>
      </c>
      <c r="D400" s="10">
        <f>IFERROR(_xll.ciqfunctions.udf.CIQ(mh_ticker, "IQ_SHARESOUTSTANDING_OUT", B400), "")</f>
        <v/>
      </c>
      <c r="E400" s="11">
        <f>IFERROR(_xll.ciqfunctions.udf.CIQ(mh_ticker, "IQ_CASH_EQUIV", , B400), "")</f>
        <v/>
      </c>
      <c r="F400" s="11">
        <f>IFERROR(_xll.ciqfunctions.udf.CIQ(mh_ticker, "IQ_ST_INVEST", , B400), "")</f>
        <v/>
      </c>
      <c r="G400" s="11">
        <f>IFERROR(_xll.ciqfunctions.udf.CIQ(mh_ticker, "IQ_TOTAL_DEBT_EXCL_OPER_LEASES", , B400), "")</f>
        <v/>
      </c>
      <c r="H400" s="11">
        <f>IFERROR(_xll.ciqfunctions.udf.CIQ(mh_ticker, "IQ_PREF_EQUITY", , B400), "")</f>
        <v/>
      </c>
      <c r="I400" s="11">
        <f>IFERROR(_xll.ciqfunctions.udf.CIQ(mh_ticker, "IQ_MINORITY_INTEREST", , B400), "")</f>
        <v/>
      </c>
      <c r="J400" s="11">
        <f>IFERROR(_xll.ciqfunctions.udf.CIQ(mh_ticker, "IQ_EQUITY_METHOD", , B400), "")</f>
        <v/>
      </c>
      <c r="K400" s="11">
        <f>IFERROR(_xll.ciqfunctions.udf.CIQ(mh_ticker, "IQ_LT_Mark_Securities", , B400), "")</f>
        <v/>
      </c>
      <c r="L400" s="12">
        <f>IFERROR(C400*D400, "")</f>
        <v/>
      </c>
      <c r="M400" s="12">
        <f>IFERROR(L400-E400-F400+G400+H400+I400-J400-K400, "")</f>
        <v/>
      </c>
      <c r="N400" s="11">
        <f>IFERROR(_xll.ciqfunctions.udf.CIQ(mh_ticker, "IQ_EBITDA_EST", IQ_NTM, B400, , , "USD"), "")</f>
        <v/>
      </c>
      <c r="O400" s="13">
        <f>IFERROR(M400/N400, "")</f>
        <v/>
      </c>
    </row>
    <row r="401">
      <c r="B401" s="8" t="n"/>
      <c r="C401" s="9">
        <f>IFERROR(_xll.ciqfunctions.udf.CIQ(mh_ticker, "IQ_LASTSALEPRICE", B401), "")</f>
        <v/>
      </c>
      <c r="D401" s="10">
        <f>IFERROR(_xll.ciqfunctions.udf.CIQ(mh_ticker, "IQ_SHARESOUTSTANDING_OUT", B401), "")</f>
        <v/>
      </c>
      <c r="E401" s="11">
        <f>IFERROR(_xll.ciqfunctions.udf.CIQ(mh_ticker, "IQ_CASH_EQUIV", , B401), "")</f>
        <v/>
      </c>
      <c r="F401" s="11">
        <f>IFERROR(_xll.ciqfunctions.udf.CIQ(mh_ticker, "IQ_ST_INVEST", , B401), "")</f>
        <v/>
      </c>
      <c r="G401" s="11">
        <f>IFERROR(_xll.ciqfunctions.udf.CIQ(mh_ticker, "IQ_TOTAL_DEBT_EXCL_OPER_LEASES", , B401), "")</f>
        <v/>
      </c>
      <c r="H401" s="11">
        <f>IFERROR(_xll.ciqfunctions.udf.CIQ(mh_ticker, "IQ_PREF_EQUITY", , B401), "")</f>
        <v/>
      </c>
      <c r="I401" s="11">
        <f>IFERROR(_xll.ciqfunctions.udf.CIQ(mh_ticker, "IQ_MINORITY_INTEREST", , B401), "")</f>
        <v/>
      </c>
      <c r="J401" s="11">
        <f>IFERROR(_xll.ciqfunctions.udf.CIQ(mh_ticker, "IQ_EQUITY_METHOD", , B401), "")</f>
        <v/>
      </c>
      <c r="K401" s="11">
        <f>IFERROR(_xll.ciqfunctions.udf.CIQ(mh_ticker, "IQ_LT_Mark_Securities", , B401), "")</f>
        <v/>
      </c>
      <c r="L401" s="12">
        <f>IFERROR(C401*D401, "")</f>
        <v/>
      </c>
      <c r="M401" s="12">
        <f>IFERROR(L401-E401-F401+G401+H401+I401-J401-K401, "")</f>
        <v/>
      </c>
      <c r="N401" s="11">
        <f>IFERROR(_xll.ciqfunctions.udf.CIQ(mh_ticker, "IQ_EBITDA_EST", IQ_NTM, B401, , , "USD"), "")</f>
        <v/>
      </c>
      <c r="O401" s="13">
        <f>IFERROR(M401/N401, "")</f>
        <v/>
      </c>
    </row>
    <row r="402">
      <c r="B402" s="8" t="n"/>
      <c r="C402" s="9">
        <f>IFERROR(_xll.ciqfunctions.udf.CIQ(mh_ticker, "IQ_LASTSALEPRICE", B402), "")</f>
        <v/>
      </c>
      <c r="D402" s="10">
        <f>IFERROR(_xll.ciqfunctions.udf.CIQ(mh_ticker, "IQ_SHARESOUTSTANDING_OUT", B402), "")</f>
        <v/>
      </c>
      <c r="E402" s="11">
        <f>IFERROR(_xll.ciqfunctions.udf.CIQ(mh_ticker, "IQ_CASH_EQUIV", , B402), "")</f>
        <v/>
      </c>
      <c r="F402" s="11">
        <f>IFERROR(_xll.ciqfunctions.udf.CIQ(mh_ticker, "IQ_ST_INVEST", , B402), "")</f>
        <v/>
      </c>
      <c r="G402" s="11">
        <f>IFERROR(_xll.ciqfunctions.udf.CIQ(mh_ticker, "IQ_TOTAL_DEBT_EXCL_OPER_LEASES", , B402), "")</f>
        <v/>
      </c>
      <c r="H402" s="11">
        <f>IFERROR(_xll.ciqfunctions.udf.CIQ(mh_ticker, "IQ_PREF_EQUITY", , B402), "")</f>
        <v/>
      </c>
      <c r="I402" s="11">
        <f>IFERROR(_xll.ciqfunctions.udf.CIQ(mh_ticker, "IQ_MINORITY_INTEREST", , B402), "")</f>
        <v/>
      </c>
      <c r="J402" s="11">
        <f>IFERROR(_xll.ciqfunctions.udf.CIQ(mh_ticker, "IQ_EQUITY_METHOD", , B402), "")</f>
        <v/>
      </c>
      <c r="K402" s="11">
        <f>IFERROR(_xll.ciqfunctions.udf.CIQ(mh_ticker, "IQ_LT_Mark_Securities", , B402), "")</f>
        <v/>
      </c>
      <c r="L402" s="12">
        <f>IFERROR(C402*D402, "")</f>
        <v/>
      </c>
      <c r="M402" s="12">
        <f>IFERROR(L402-E402-F402+G402+H402+I402-J402-K402, "")</f>
        <v/>
      </c>
      <c r="N402" s="11">
        <f>IFERROR(_xll.ciqfunctions.udf.CIQ(mh_ticker, "IQ_EBITDA_EST", IQ_NTM, B402, , , "USD"), "")</f>
        <v/>
      </c>
      <c r="O402" s="13">
        <f>IFERROR(M402/N402, "")</f>
        <v/>
      </c>
    </row>
    <row r="403">
      <c r="B403" s="8" t="n"/>
      <c r="C403" s="9">
        <f>IFERROR(_xll.ciqfunctions.udf.CIQ(mh_ticker, "IQ_LASTSALEPRICE", B403), "")</f>
        <v/>
      </c>
      <c r="D403" s="10">
        <f>IFERROR(_xll.ciqfunctions.udf.CIQ(mh_ticker, "IQ_SHARESOUTSTANDING_OUT", B403), "")</f>
        <v/>
      </c>
      <c r="E403" s="11">
        <f>IFERROR(_xll.ciqfunctions.udf.CIQ(mh_ticker, "IQ_CASH_EQUIV", , B403), "")</f>
        <v/>
      </c>
      <c r="F403" s="11">
        <f>IFERROR(_xll.ciqfunctions.udf.CIQ(mh_ticker, "IQ_ST_INVEST", , B403), "")</f>
        <v/>
      </c>
      <c r="G403" s="11">
        <f>IFERROR(_xll.ciqfunctions.udf.CIQ(mh_ticker, "IQ_TOTAL_DEBT_EXCL_OPER_LEASES", , B403), "")</f>
        <v/>
      </c>
      <c r="H403" s="11">
        <f>IFERROR(_xll.ciqfunctions.udf.CIQ(mh_ticker, "IQ_PREF_EQUITY", , B403), "")</f>
        <v/>
      </c>
      <c r="I403" s="11">
        <f>IFERROR(_xll.ciqfunctions.udf.CIQ(mh_ticker, "IQ_MINORITY_INTEREST", , B403), "")</f>
        <v/>
      </c>
      <c r="J403" s="11">
        <f>IFERROR(_xll.ciqfunctions.udf.CIQ(mh_ticker, "IQ_EQUITY_METHOD", , B403), "")</f>
        <v/>
      </c>
      <c r="K403" s="11">
        <f>IFERROR(_xll.ciqfunctions.udf.CIQ(mh_ticker, "IQ_LT_Mark_Securities", , B403), "")</f>
        <v/>
      </c>
      <c r="L403" s="12">
        <f>IFERROR(C403*D403, "")</f>
        <v/>
      </c>
      <c r="M403" s="12">
        <f>IFERROR(L403-E403-F403+G403+H403+I403-J403-K403, "")</f>
        <v/>
      </c>
      <c r="N403" s="11">
        <f>IFERROR(_xll.ciqfunctions.udf.CIQ(mh_ticker, "IQ_EBITDA_EST", IQ_NTM, B403, , , "USD"), "")</f>
        <v/>
      </c>
      <c r="O403" s="13">
        <f>IFERROR(M403/N403, "")</f>
        <v/>
      </c>
    </row>
    <row r="404">
      <c r="B404" s="8" t="n"/>
      <c r="C404" s="9">
        <f>IFERROR(_xll.ciqfunctions.udf.CIQ(mh_ticker, "IQ_LASTSALEPRICE", B404), "")</f>
        <v/>
      </c>
      <c r="D404" s="10">
        <f>IFERROR(_xll.ciqfunctions.udf.CIQ(mh_ticker, "IQ_SHARESOUTSTANDING_OUT", B404), "")</f>
        <v/>
      </c>
      <c r="E404" s="11">
        <f>IFERROR(_xll.ciqfunctions.udf.CIQ(mh_ticker, "IQ_CASH_EQUIV", , B404), "")</f>
        <v/>
      </c>
      <c r="F404" s="11">
        <f>IFERROR(_xll.ciqfunctions.udf.CIQ(mh_ticker, "IQ_ST_INVEST", , B404), "")</f>
        <v/>
      </c>
      <c r="G404" s="11">
        <f>IFERROR(_xll.ciqfunctions.udf.CIQ(mh_ticker, "IQ_TOTAL_DEBT_EXCL_OPER_LEASES", , B404), "")</f>
        <v/>
      </c>
      <c r="H404" s="11">
        <f>IFERROR(_xll.ciqfunctions.udf.CIQ(mh_ticker, "IQ_PREF_EQUITY", , B404), "")</f>
        <v/>
      </c>
      <c r="I404" s="11">
        <f>IFERROR(_xll.ciqfunctions.udf.CIQ(mh_ticker, "IQ_MINORITY_INTEREST", , B404), "")</f>
        <v/>
      </c>
      <c r="J404" s="11">
        <f>IFERROR(_xll.ciqfunctions.udf.CIQ(mh_ticker, "IQ_EQUITY_METHOD", , B404), "")</f>
        <v/>
      </c>
      <c r="K404" s="11">
        <f>IFERROR(_xll.ciqfunctions.udf.CIQ(mh_ticker, "IQ_LT_Mark_Securities", , B404), "")</f>
        <v/>
      </c>
      <c r="L404" s="12">
        <f>IFERROR(C404*D404, "")</f>
        <v/>
      </c>
      <c r="M404" s="12">
        <f>IFERROR(L404-E404-F404+G404+H404+I404-J404-K404, "")</f>
        <v/>
      </c>
      <c r="N404" s="11">
        <f>IFERROR(_xll.ciqfunctions.udf.CIQ(mh_ticker, "IQ_EBITDA_EST", IQ_NTM, B404, , , "USD"), "")</f>
        <v/>
      </c>
      <c r="O404" s="13">
        <f>IFERROR(M404/N404, "")</f>
        <v/>
      </c>
    </row>
    <row r="405">
      <c r="B405" s="8" t="n"/>
      <c r="C405" s="9">
        <f>IFERROR(_xll.ciqfunctions.udf.CIQ(mh_ticker, "IQ_LASTSALEPRICE", B405), "")</f>
        <v/>
      </c>
      <c r="D405" s="10">
        <f>IFERROR(_xll.ciqfunctions.udf.CIQ(mh_ticker, "IQ_SHARESOUTSTANDING_OUT", B405), "")</f>
        <v/>
      </c>
      <c r="E405" s="11">
        <f>IFERROR(_xll.ciqfunctions.udf.CIQ(mh_ticker, "IQ_CASH_EQUIV", , B405), "")</f>
        <v/>
      </c>
      <c r="F405" s="11">
        <f>IFERROR(_xll.ciqfunctions.udf.CIQ(mh_ticker, "IQ_ST_INVEST", , B405), "")</f>
        <v/>
      </c>
      <c r="G405" s="11">
        <f>IFERROR(_xll.ciqfunctions.udf.CIQ(mh_ticker, "IQ_TOTAL_DEBT_EXCL_OPER_LEASES", , B405), "")</f>
        <v/>
      </c>
      <c r="H405" s="11">
        <f>IFERROR(_xll.ciqfunctions.udf.CIQ(mh_ticker, "IQ_PREF_EQUITY", , B405), "")</f>
        <v/>
      </c>
      <c r="I405" s="11">
        <f>IFERROR(_xll.ciqfunctions.udf.CIQ(mh_ticker, "IQ_MINORITY_INTEREST", , B405), "")</f>
        <v/>
      </c>
      <c r="J405" s="11">
        <f>IFERROR(_xll.ciqfunctions.udf.CIQ(mh_ticker, "IQ_EQUITY_METHOD", , B405), "")</f>
        <v/>
      </c>
      <c r="K405" s="11">
        <f>IFERROR(_xll.ciqfunctions.udf.CIQ(mh_ticker, "IQ_LT_Mark_Securities", , B405), "")</f>
        <v/>
      </c>
      <c r="L405" s="12">
        <f>IFERROR(C405*D405, "")</f>
        <v/>
      </c>
      <c r="M405" s="12">
        <f>IFERROR(L405-E405-F405+G405+H405+I405-J405-K405, "")</f>
        <v/>
      </c>
      <c r="N405" s="11">
        <f>IFERROR(_xll.ciqfunctions.udf.CIQ(mh_ticker, "IQ_EBITDA_EST", IQ_NTM, B405, , , "USD"), "")</f>
        <v/>
      </c>
      <c r="O405" s="13">
        <f>IFERROR(M405/N405, "")</f>
        <v/>
      </c>
    </row>
    <row r="406">
      <c r="B406" s="8" t="n"/>
      <c r="C406" s="9">
        <f>IFERROR(_xll.ciqfunctions.udf.CIQ(mh_ticker, "IQ_LASTSALEPRICE", B406), "")</f>
        <v/>
      </c>
      <c r="D406" s="10">
        <f>IFERROR(_xll.ciqfunctions.udf.CIQ(mh_ticker, "IQ_SHARESOUTSTANDING_OUT", B406), "")</f>
        <v/>
      </c>
      <c r="E406" s="11">
        <f>IFERROR(_xll.ciqfunctions.udf.CIQ(mh_ticker, "IQ_CASH_EQUIV", , B406), "")</f>
        <v/>
      </c>
      <c r="F406" s="11">
        <f>IFERROR(_xll.ciqfunctions.udf.CIQ(mh_ticker, "IQ_ST_INVEST", , B406), "")</f>
        <v/>
      </c>
      <c r="G406" s="11">
        <f>IFERROR(_xll.ciqfunctions.udf.CIQ(mh_ticker, "IQ_TOTAL_DEBT_EXCL_OPER_LEASES", , B406), "")</f>
        <v/>
      </c>
      <c r="H406" s="11">
        <f>IFERROR(_xll.ciqfunctions.udf.CIQ(mh_ticker, "IQ_PREF_EQUITY", , B406), "")</f>
        <v/>
      </c>
      <c r="I406" s="11">
        <f>IFERROR(_xll.ciqfunctions.udf.CIQ(mh_ticker, "IQ_MINORITY_INTEREST", , B406), "")</f>
        <v/>
      </c>
      <c r="J406" s="11">
        <f>IFERROR(_xll.ciqfunctions.udf.CIQ(mh_ticker, "IQ_EQUITY_METHOD", , B406), "")</f>
        <v/>
      </c>
      <c r="K406" s="11">
        <f>IFERROR(_xll.ciqfunctions.udf.CIQ(mh_ticker, "IQ_LT_Mark_Securities", , B406), "")</f>
        <v/>
      </c>
      <c r="L406" s="12">
        <f>IFERROR(C406*D406, "")</f>
        <v/>
      </c>
      <c r="M406" s="12">
        <f>IFERROR(L406-E406-F406+G406+H406+I406-J406-K406, "")</f>
        <v/>
      </c>
      <c r="N406" s="11">
        <f>IFERROR(_xll.ciqfunctions.udf.CIQ(mh_ticker, "IQ_EBITDA_EST", IQ_NTM, B406, , , "USD"), "")</f>
        <v/>
      </c>
      <c r="O406" s="13">
        <f>IFERROR(M406/N406, "")</f>
        <v/>
      </c>
    </row>
    <row r="407">
      <c r="B407" s="8" t="n"/>
      <c r="C407" s="9">
        <f>IFERROR(_xll.ciqfunctions.udf.CIQ(mh_ticker, "IQ_LASTSALEPRICE", B407), "")</f>
        <v/>
      </c>
      <c r="D407" s="10">
        <f>IFERROR(_xll.ciqfunctions.udf.CIQ(mh_ticker, "IQ_SHARESOUTSTANDING_OUT", B407), "")</f>
        <v/>
      </c>
      <c r="E407" s="11">
        <f>IFERROR(_xll.ciqfunctions.udf.CIQ(mh_ticker, "IQ_CASH_EQUIV", , B407), "")</f>
        <v/>
      </c>
      <c r="F407" s="11">
        <f>IFERROR(_xll.ciqfunctions.udf.CIQ(mh_ticker, "IQ_ST_INVEST", , B407), "")</f>
        <v/>
      </c>
      <c r="G407" s="11">
        <f>IFERROR(_xll.ciqfunctions.udf.CIQ(mh_ticker, "IQ_TOTAL_DEBT_EXCL_OPER_LEASES", , B407), "")</f>
        <v/>
      </c>
      <c r="H407" s="11">
        <f>IFERROR(_xll.ciqfunctions.udf.CIQ(mh_ticker, "IQ_PREF_EQUITY", , B407), "")</f>
        <v/>
      </c>
      <c r="I407" s="11">
        <f>IFERROR(_xll.ciqfunctions.udf.CIQ(mh_ticker, "IQ_MINORITY_INTEREST", , B407), "")</f>
        <v/>
      </c>
      <c r="J407" s="11">
        <f>IFERROR(_xll.ciqfunctions.udf.CIQ(mh_ticker, "IQ_EQUITY_METHOD", , B407), "")</f>
        <v/>
      </c>
      <c r="K407" s="11">
        <f>IFERROR(_xll.ciqfunctions.udf.CIQ(mh_ticker, "IQ_LT_Mark_Securities", , B407), "")</f>
        <v/>
      </c>
      <c r="L407" s="12">
        <f>IFERROR(C407*D407, "")</f>
        <v/>
      </c>
      <c r="M407" s="12">
        <f>IFERROR(L407-E407-F407+G407+H407+I407-J407-K407, "")</f>
        <v/>
      </c>
      <c r="N407" s="11">
        <f>IFERROR(_xll.ciqfunctions.udf.CIQ(mh_ticker, "IQ_EBITDA_EST", IQ_NTM, B407, , , "USD"), "")</f>
        <v/>
      </c>
      <c r="O407" s="13">
        <f>IFERROR(M407/N407, "")</f>
        <v/>
      </c>
    </row>
    <row r="408">
      <c r="B408" s="8" t="n"/>
      <c r="C408" s="9">
        <f>IFERROR(_xll.ciqfunctions.udf.CIQ(mh_ticker, "IQ_LASTSALEPRICE", B408), "")</f>
        <v/>
      </c>
      <c r="D408" s="10">
        <f>IFERROR(_xll.ciqfunctions.udf.CIQ(mh_ticker, "IQ_SHARESOUTSTANDING_OUT", B408), "")</f>
        <v/>
      </c>
      <c r="E408" s="11">
        <f>IFERROR(_xll.ciqfunctions.udf.CIQ(mh_ticker, "IQ_CASH_EQUIV", , B408), "")</f>
        <v/>
      </c>
      <c r="F408" s="11">
        <f>IFERROR(_xll.ciqfunctions.udf.CIQ(mh_ticker, "IQ_ST_INVEST", , B408), "")</f>
        <v/>
      </c>
      <c r="G408" s="11">
        <f>IFERROR(_xll.ciqfunctions.udf.CIQ(mh_ticker, "IQ_TOTAL_DEBT_EXCL_OPER_LEASES", , B408), "")</f>
        <v/>
      </c>
      <c r="H408" s="11">
        <f>IFERROR(_xll.ciqfunctions.udf.CIQ(mh_ticker, "IQ_PREF_EQUITY", , B408), "")</f>
        <v/>
      </c>
      <c r="I408" s="11">
        <f>IFERROR(_xll.ciqfunctions.udf.CIQ(mh_ticker, "IQ_MINORITY_INTEREST", , B408), "")</f>
        <v/>
      </c>
      <c r="J408" s="11">
        <f>IFERROR(_xll.ciqfunctions.udf.CIQ(mh_ticker, "IQ_EQUITY_METHOD", , B408), "")</f>
        <v/>
      </c>
      <c r="K408" s="11">
        <f>IFERROR(_xll.ciqfunctions.udf.CIQ(mh_ticker, "IQ_LT_Mark_Securities", , B408), "")</f>
        <v/>
      </c>
      <c r="L408" s="12">
        <f>IFERROR(C408*D408, "")</f>
        <v/>
      </c>
      <c r="M408" s="12">
        <f>IFERROR(L408-E408-F408+G408+H408+I408-J408-K408, "")</f>
        <v/>
      </c>
      <c r="N408" s="11">
        <f>IFERROR(_xll.ciqfunctions.udf.CIQ(mh_ticker, "IQ_EBITDA_EST", IQ_NTM, B408, , , "USD"), "")</f>
        <v/>
      </c>
      <c r="O408" s="13">
        <f>IFERROR(M408/N408, "")</f>
        <v/>
      </c>
    </row>
    <row r="409">
      <c r="B409" s="8" t="n"/>
      <c r="C409" s="9">
        <f>IFERROR(_xll.ciqfunctions.udf.CIQ(mh_ticker, "IQ_LASTSALEPRICE", B409), "")</f>
        <v/>
      </c>
      <c r="D409" s="10">
        <f>IFERROR(_xll.ciqfunctions.udf.CIQ(mh_ticker, "IQ_SHARESOUTSTANDING_OUT", B409), "")</f>
        <v/>
      </c>
      <c r="E409" s="11">
        <f>IFERROR(_xll.ciqfunctions.udf.CIQ(mh_ticker, "IQ_CASH_EQUIV", , B409), "")</f>
        <v/>
      </c>
      <c r="F409" s="11">
        <f>IFERROR(_xll.ciqfunctions.udf.CIQ(mh_ticker, "IQ_ST_INVEST", , B409), "")</f>
        <v/>
      </c>
      <c r="G409" s="11">
        <f>IFERROR(_xll.ciqfunctions.udf.CIQ(mh_ticker, "IQ_TOTAL_DEBT_EXCL_OPER_LEASES", , B409), "")</f>
        <v/>
      </c>
      <c r="H409" s="11">
        <f>IFERROR(_xll.ciqfunctions.udf.CIQ(mh_ticker, "IQ_PREF_EQUITY", , B409), "")</f>
        <v/>
      </c>
      <c r="I409" s="11">
        <f>IFERROR(_xll.ciqfunctions.udf.CIQ(mh_ticker, "IQ_MINORITY_INTEREST", , B409), "")</f>
        <v/>
      </c>
      <c r="J409" s="11">
        <f>IFERROR(_xll.ciqfunctions.udf.CIQ(mh_ticker, "IQ_EQUITY_METHOD", , B409), "")</f>
        <v/>
      </c>
      <c r="K409" s="11">
        <f>IFERROR(_xll.ciqfunctions.udf.CIQ(mh_ticker, "IQ_LT_Mark_Securities", , B409), "")</f>
        <v/>
      </c>
      <c r="L409" s="12">
        <f>IFERROR(C409*D409, "")</f>
        <v/>
      </c>
      <c r="M409" s="12">
        <f>IFERROR(L409-E409-F409+G409+H409+I409-J409-K409, "")</f>
        <v/>
      </c>
      <c r="N409" s="11">
        <f>IFERROR(_xll.ciqfunctions.udf.CIQ(mh_ticker, "IQ_EBITDA_EST", IQ_NTM, B409, , , "USD"), "")</f>
        <v/>
      </c>
      <c r="O409" s="13">
        <f>IFERROR(M409/N409, "")</f>
        <v/>
      </c>
    </row>
    <row r="410">
      <c r="B410" s="8" t="n"/>
      <c r="C410" s="9">
        <f>IFERROR(_xll.ciqfunctions.udf.CIQ(mh_ticker, "IQ_LASTSALEPRICE", B410), "")</f>
        <v/>
      </c>
      <c r="D410" s="10">
        <f>IFERROR(_xll.ciqfunctions.udf.CIQ(mh_ticker, "IQ_SHARESOUTSTANDING_OUT", B410), "")</f>
        <v/>
      </c>
      <c r="E410" s="11">
        <f>IFERROR(_xll.ciqfunctions.udf.CIQ(mh_ticker, "IQ_CASH_EQUIV", , B410), "")</f>
        <v/>
      </c>
      <c r="F410" s="11">
        <f>IFERROR(_xll.ciqfunctions.udf.CIQ(mh_ticker, "IQ_ST_INVEST", , B410), "")</f>
        <v/>
      </c>
      <c r="G410" s="11">
        <f>IFERROR(_xll.ciqfunctions.udf.CIQ(mh_ticker, "IQ_TOTAL_DEBT_EXCL_OPER_LEASES", , B410), "")</f>
        <v/>
      </c>
      <c r="H410" s="11">
        <f>IFERROR(_xll.ciqfunctions.udf.CIQ(mh_ticker, "IQ_PREF_EQUITY", , B410), "")</f>
        <v/>
      </c>
      <c r="I410" s="11">
        <f>IFERROR(_xll.ciqfunctions.udf.CIQ(mh_ticker, "IQ_MINORITY_INTEREST", , B410), "")</f>
        <v/>
      </c>
      <c r="J410" s="11">
        <f>IFERROR(_xll.ciqfunctions.udf.CIQ(mh_ticker, "IQ_EQUITY_METHOD", , B410), "")</f>
        <v/>
      </c>
      <c r="K410" s="11">
        <f>IFERROR(_xll.ciqfunctions.udf.CIQ(mh_ticker, "IQ_LT_Mark_Securities", , B410), "")</f>
        <v/>
      </c>
      <c r="L410" s="12">
        <f>IFERROR(C410*D410, "")</f>
        <v/>
      </c>
      <c r="M410" s="12">
        <f>IFERROR(L410-E410-F410+G410+H410+I410-J410-K410, "")</f>
        <v/>
      </c>
      <c r="N410" s="11">
        <f>IFERROR(_xll.ciqfunctions.udf.CIQ(mh_ticker, "IQ_EBITDA_EST", IQ_NTM, B410, , , "USD"), "")</f>
        <v/>
      </c>
      <c r="O410" s="13">
        <f>IFERROR(M410/N410, "")</f>
        <v/>
      </c>
    </row>
    <row r="411">
      <c r="B411" s="8" t="n"/>
      <c r="C411" s="9">
        <f>IFERROR(_xll.ciqfunctions.udf.CIQ(mh_ticker, "IQ_LASTSALEPRICE", B411), "")</f>
        <v/>
      </c>
      <c r="D411" s="10">
        <f>IFERROR(_xll.ciqfunctions.udf.CIQ(mh_ticker, "IQ_SHARESOUTSTANDING_OUT", B411), "")</f>
        <v/>
      </c>
      <c r="E411" s="11">
        <f>IFERROR(_xll.ciqfunctions.udf.CIQ(mh_ticker, "IQ_CASH_EQUIV", , B411), "")</f>
        <v/>
      </c>
      <c r="F411" s="11">
        <f>IFERROR(_xll.ciqfunctions.udf.CIQ(mh_ticker, "IQ_ST_INVEST", , B411), "")</f>
        <v/>
      </c>
      <c r="G411" s="11">
        <f>IFERROR(_xll.ciqfunctions.udf.CIQ(mh_ticker, "IQ_TOTAL_DEBT_EXCL_OPER_LEASES", , B411), "")</f>
        <v/>
      </c>
      <c r="H411" s="11">
        <f>IFERROR(_xll.ciqfunctions.udf.CIQ(mh_ticker, "IQ_PREF_EQUITY", , B411), "")</f>
        <v/>
      </c>
      <c r="I411" s="11">
        <f>IFERROR(_xll.ciqfunctions.udf.CIQ(mh_ticker, "IQ_MINORITY_INTEREST", , B411), "")</f>
        <v/>
      </c>
      <c r="J411" s="11">
        <f>IFERROR(_xll.ciqfunctions.udf.CIQ(mh_ticker, "IQ_EQUITY_METHOD", , B411), "")</f>
        <v/>
      </c>
      <c r="K411" s="11">
        <f>IFERROR(_xll.ciqfunctions.udf.CIQ(mh_ticker, "IQ_LT_Mark_Securities", , B411), "")</f>
        <v/>
      </c>
      <c r="L411" s="12">
        <f>IFERROR(C411*D411, "")</f>
        <v/>
      </c>
      <c r="M411" s="12">
        <f>IFERROR(L411-E411-F411+G411+H411+I411-J411-K411, "")</f>
        <v/>
      </c>
      <c r="N411" s="11">
        <f>IFERROR(_xll.ciqfunctions.udf.CIQ(mh_ticker, "IQ_EBITDA_EST", IQ_NTM, B411, , , "USD"), "")</f>
        <v/>
      </c>
      <c r="O411" s="13">
        <f>IFERROR(M411/N411, "")</f>
        <v/>
      </c>
    </row>
    <row r="412">
      <c r="B412" s="8" t="n"/>
      <c r="C412" s="9">
        <f>IFERROR(_xll.ciqfunctions.udf.CIQ(mh_ticker, "IQ_LASTSALEPRICE", B412), "")</f>
        <v/>
      </c>
      <c r="D412" s="10">
        <f>IFERROR(_xll.ciqfunctions.udf.CIQ(mh_ticker, "IQ_SHARESOUTSTANDING_OUT", B412), "")</f>
        <v/>
      </c>
      <c r="E412" s="11">
        <f>IFERROR(_xll.ciqfunctions.udf.CIQ(mh_ticker, "IQ_CASH_EQUIV", , B412), "")</f>
        <v/>
      </c>
      <c r="F412" s="11">
        <f>IFERROR(_xll.ciqfunctions.udf.CIQ(mh_ticker, "IQ_ST_INVEST", , B412), "")</f>
        <v/>
      </c>
      <c r="G412" s="11">
        <f>IFERROR(_xll.ciqfunctions.udf.CIQ(mh_ticker, "IQ_TOTAL_DEBT_EXCL_OPER_LEASES", , B412), "")</f>
        <v/>
      </c>
      <c r="H412" s="11">
        <f>IFERROR(_xll.ciqfunctions.udf.CIQ(mh_ticker, "IQ_PREF_EQUITY", , B412), "")</f>
        <v/>
      </c>
      <c r="I412" s="11">
        <f>IFERROR(_xll.ciqfunctions.udf.CIQ(mh_ticker, "IQ_MINORITY_INTEREST", , B412), "")</f>
        <v/>
      </c>
      <c r="J412" s="11">
        <f>IFERROR(_xll.ciqfunctions.udf.CIQ(mh_ticker, "IQ_EQUITY_METHOD", , B412), "")</f>
        <v/>
      </c>
      <c r="K412" s="11">
        <f>IFERROR(_xll.ciqfunctions.udf.CIQ(mh_ticker, "IQ_LT_Mark_Securities", , B412), "")</f>
        <v/>
      </c>
      <c r="L412" s="12">
        <f>IFERROR(C412*D412, "")</f>
        <v/>
      </c>
      <c r="M412" s="12">
        <f>IFERROR(L412-E412-F412+G412+H412+I412-J412-K412, "")</f>
        <v/>
      </c>
      <c r="N412" s="11">
        <f>IFERROR(_xll.ciqfunctions.udf.CIQ(mh_ticker, "IQ_EBITDA_EST", IQ_NTM, B412, , , "USD"), "")</f>
        <v/>
      </c>
      <c r="O412" s="13">
        <f>IFERROR(M412/N412, "")</f>
        <v/>
      </c>
    </row>
    <row r="413">
      <c r="B413" s="8" t="n"/>
      <c r="C413" s="9">
        <f>IFERROR(_xll.ciqfunctions.udf.CIQ(mh_ticker, "IQ_LASTSALEPRICE", B413), "")</f>
        <v/>
      </c>
      <c r="D413" s="10">
        <f>IFERROR(_xll.ciqfunctions.udf.CIQ(mh_ticker, "IQ_SHARESOUTSTANDING_OUT", B413), "")</f>
        <v/>
      </c>
      <c r="E413" s="11">
        <f>IFERROR(_xll.ciqfunctions.udf.CIQ(mh_ticker, "IQ_CASH_EQUIV", , B413), "")</f>
        <v/>
      </c>
      <c r="F413" s="11">
        <f>IFERROR(_xll.ciqfunctions.udf.CIQ(mh_ticker, "IQ_ST_INVEST", , B413), "")</f>
        <v/>
      </c>
      <c r="G413" s="11">
        <f>IFERROR(_xll.ciqfunctions.udf.CIQ(mh_ticker, "IQ_TOTAL_DEBT_EXCL_OPER_LEASES", , B413), "")</f>
        <v/>
      </c>
      <c r="H413" s="11">
        <f>IFERROR(_xll.ciqfunctions.udf.CIQ(mh_ticker, "IQ_PREF_EQUITY", , B413), "")</f>
        <v/>
      </c>
      <c r="I413" s="11">
        <f>IFERROR(_xll.ciqfunctions.udf.CIQ(mh_ticker, "IQ_MINORITY_INTEREST", , B413), "")</f>
        <v/>
      </c>
      <c r="J413" s="11">
        <f>IFERROR(_xll.ciqfunctions.udf.CIQ(mh_ticker, "IQ_EQUITY_METHOD", , B413), "")</f>
        <v/>
      </c>
      <c r="K413" s="11">
        <f>IFERROR(_xll.ciqfunctions.udf.CIQ(mh_ticker, "IQ_LT_Mark_Securities", , B413), "")</f>
        <v/>
      </c>
      <c r="L413" s="12">
        <f>IFERROR(C413*D413, "")</f>
        <v/>
      </c>
      <c r="M413" s="12">
        <f>IFERROR(L413-E413-F413+G413+H413+I413-J413-K413, "")</f>
        <v/>
      </c>
      <c r="N413" s="11">
        <f>IFERROR(_xll.ciqfunctions.udf.CIQ(mh_ticker, "IQ_EBITDA_EST", IQ_NTM, B413, , , "USD"), "")</f>
        <v/>
      </c>
      <c r="O413" s="13">
        <f>IFERROR(M413/N413, "")</f>
        <v/>
      </c>
    </row>
    <row r="414">
      <c r="B414" s="8" t="n"/>
      <c r="C414" s="9">
        <f>IFERROR(_xll.ciqfunctions.udf.CIQ(mh_ticker, "IQ_LASTSALEPRICE", B414), "")</f>
        <v/>
      </c>
      <c r="D414" s="10">
        <f>IFERROR(_xll.ciqfunctions.udf.CIQ(mh_ticker, "IQ_SHARESOUTSTANDING_OUT", B414), "")</f>
        <v/>
      </c>
      <c r="E414" s="11">
        <f>IFERROR(_xll.ciqfunctions.udf.CIQ(mh_ticker, "IQ_CASH_EQUIV", , B414), "")</f>
        <v/>
      </c>
      <c r="F414" s="11">
        <f>IFERROR(_xll.ciqfunctions.udf.CIQ(mh_ticker, "IQ_ST_INVEST", , B414), "")</f>
        <v/>
      </c>
      <c r="G414" s="11">
        <f>IFERROR(_xll.ciqfunctions.udf.CIQ(mh_ticker, "IQ_TOTAL_DEBT_EXCL_OPER_LEASES", , B414), "")</f>
        <v/>
      </c>
      <c r="H414" s="11">
        <f>IFERROR(_xll.ciqfunctions.udf.CIQ(mh_ticker, "IQ_PREF_EQUITY", , B414), "")</f>
        <v/>
      </c>
      <c r="I414" s="11">
        <f>IFERROR(_xll.ciqfunctions.udf.CIQ(mh_ticker, "IQ_MINORITY_INTEREST", , B414), "")</f>
        <v/>
      </c>
      <c r="J414" s="11">
        <f>IFERROR(_xll.ciqfunctions.udf.CIQ(mh_ticker, "IQ_EQUITY_METHOD", , B414), "")</f>
        <v/>
      </c>
      <c r="K414" s="11">
        <f>IFERROR(_xll.ciqfunctions.udf.CIQ(mh_ticker, "IQ_LT_Mark_Securities", , B414), "")</f>
        <v/>
      </c>
      <c r="L414" s="12">
        <f>IFERROR(C414*D414, "")</f>
        <v/>
      </c>
      <c r="M414" s="12">
        <f>IFERROR(L414-E414-F414+G414+H414+I414-J414-K414, "")</f>
        <v/>
      </c>
      <c r="N414" s="11">
        <f>IFERROR(_xll.ciqfunctions.udf.CIQ(mh_ticker, "IQ_EBITDA_EST", IQ_NTM, B414, , , "USD"), "")</f>
        <v/>
      </c>
      <c r="O414" s="13">
        <f>IFERROR(M414/N414, "")</f>
        <v/>
      </c>
    </row>
    <row r="415">
      <c r="B415" s="8" t="n"/>
      <c r="C415" s="9">
        <f>IFERROR(_xll.ciqfunctions.udf.CIQ(mh_ticker, "IQ_LASTSALEPRICE", B415), "")</f>
        <v/>
      </c>
      <c r="D415" s="10">
        <f>IFERROR(_xll.ciqfunctions.udf.CIQ(mh_ticker, "IQ_SHARESOUTSTANDING_OUT", B415), "")</f>
        <v/>
      </c>
      <c r="E415" s="11">
        <f>IFERROR(_xll.ciqfunctions.udf.CIQ(mh_ticker, "IQ_CASH_EQUIV", , B415), "")</f>
        <v/>
      </c>
      <c r="F415" s="11">
        <f>IFERROR(_xll.ciqfunctions.udf.CIQ(mh_ticker, "IQ_ST_INVEST", , B415), "")</f>
        <v/>
      </c>
      <c r="G415" s="11">
        <f>IFERROR(_xll.ciqfunctions.udf.CIQ(mh_ticker, "IQ_TOTAL_DEBT_EXCL_OPER_LEASES", , B415), "")</f>
        <v/>
      </c>
      <c r="H415" s="11">
        <f>IFERROR(_xll.ciqfunctions.udf.CIQ(mh_ticker, "IQ_PREF_EQUITY", , B415), "")</f>
        <v/>
      </c>
      <c r="I415" s="11">
        <f>IFERROR(_xll.ciqfunctions.udf.CIQ(mh_ticker, "IQ_MINORITY_INTEREST", , B415), "")</f>
        <v/>
      </c>
      <c r="J415" s="11">
        <f>IFERROR(_xll.ciqfunctions.udf.CIQ(mh_ticker, "IQ_EQUITY_METHOD", , B415), "")</f>
        <v/>
      </c>
      <c r="K415" s="11">
        <f>IFERROR(_xll.ciqfunctions.udf.CIQ(mh_ticker, "IQ_LT_Mark_Securities", , B415), "")</f>
        <v/>
      </c>
      <c r="L415" s="12">
        <f>IFERROR(C415*D415, "")</f>
        <v/>
      </c>
      <c r="M415" s="12">
        <f>IFERROR(L415-E415-F415+G415+H415+I415-J415-K415, "")</f>
        <v/>
      </c>
      <c r="N415" s="11">
        <f>IFERROR(_xll.ciqfunctions.udf.CIQ(mh_ticker, "IQ_EBITDA_EST", IQ_NTM, B415, , , "USD"), "")</f>
        <v/>
      </c>
      <c r="O415" s="13">
        <f>IFERROR(M415/N415, "")</f>
        <v/>
      </c>
    </row>
    <row r="416">
      <c r="B416" s="8" t="n"/>
      <c r="C416" s="9">
        <f>IFERROR(_xll.ciqfunctions.udf.CIQ(mh_ticker, "IQ_LASTSALEPRICE", B416), "")</f>
        <v/>
      </c>
      <c r="D416" s="10">
        <f>IFERROR(_xll.ciqfunctions.udf.CIQ(mh_ticker, "IQ_SHARESOUTSTANDING_OUT", B416), "")</f>
        <v/>
      </c>
      <c r="E416" s="11">
        <f>IFERROR(_xll.ciqfunctions.udf.CIQ(mh_ticker, "IQ_CASH_EQUIV", , B416), "")</f>
        <v/>
      </c>
      <c r="F416" s="11">
        <f>IFERROR(_xll.ciqfunctions.udf.CIQ(mh_ticker, "IQ_ST_INVEST", , B416), "")</f>
        <v/>
      </c>
      <c r="G416" s="11">
        <f>IFERROR(_xll.ciqfunctions.udf.CIQ(mh_ticker, "IQ_TOTAL_DEBT_EXCL_OPER_LEASES", , B416), "")</f>
        <v/>
      </c>
      <c r="H416" s="11">
        <f>IFERROR(_xll.ciqfunctions.udf.CIQ(mh_ticker, "IQ_PREF_EQUITY", , B416), "")</f>
        <v/>
      </c>
      <c r="I416" s="11">
        <f>IFERROR(_xll.ciqfunctions.udf.CIQ(mh_ticker, "IQ_MINORITY_INTEREST", , B416), "")</f>
        <v/>
      </c>
      <c r="J416" s="11">
        <f>IFERROR(_xll.ciqfunctions.udf.CIQ(mh_ticker, "IQ_EQUITY_METHOD", , B416), "")</f>
        <v/>
      </c>
      <c r="K416" s="11">
        <f>IFERROR(_xll.ciqfunctions.udf.CIQ(mh_ticker, "IQ_LT_Mark_Securities", , B416), "")</f>
        <v/>
      </c>
      <c r="L416" s="12">
        <f>IFERROR(C416*D416, "")</f>
        <v/>
      </c>
      <c r="M416" s="12">
        <f>IFERROR(L416-E416-F416+G416+H416+I416-J416-K416, "")</f>
        <v/>
      </c>
      <c r="N416" s="11">
        <f>IFERROR(_xll.ciqfunctions.udf.CIQ(mh_ticker, "IQ_EBITDA_EST", IQ_NTM, B416, , , "USD"), "")</f>
        <v/>
      </c>
      <c r="O416" s="13">
        <f>IFERROR(M416/N416, "")</f>
        <v/>
      </c>
    </row>
    <row r="417">
      <c r="B417" s="8" t="n"/>
      <c r="C417" s="9">
        <f>IFERROR(_xll.ciqfunctions.udf.CIQ(mh_ticker, "IQ_LASTSALEPRICE", B417), "")</f>
        <v/>
      </c>
      <c r="D417" s="10">
        <f>IFERROR(_xll.ciqfunctions.udf.CIQ(mh_ticker, "IQ_SHARESOUTSTANDING_OUT", B417), "")</f>
        <v/>
      </c>
      <c r="E417" s="11">
        <f>IFERROR(_xll.ciqfunctions.udf.CIQ(mh_ticker, "IQ_CASH_EQUIV", , B417), "")</f>
        <v/>
      </c>
      <c r="F417" s="11">
        <f>IFERROR(_xll.ciqfunctions.udf.CIQ(mh_ticker, "IQ_ST_INVEST", , B417), "")</f>
        <v/>
      </c>
      <c r="G417" s="11">
        <f>IFERROR(_xll.ciqfunctions.udf.CIQ(mh_ticker, "IQ_TOTAL_DEBT_EXCL_OPER_LEASES", , B417), "")</f>
        <v/>
      </c>
      <c r="H417" s="11">
        <f>IFERROR(_xll.ciqfunctions.udf.CIQ(mh_ticker, "IQ_PREF_EQUITY", , B417), "")</f>
        <v/>
      </c>
      <c r="I417" s="11">
        <f>IFERROR(_xll.ciqfunctions.udf.CIQ(mh_ticker, "IQ_MINORITY_INTEREST", , B417), "")</f>
        <v/>
      </c>
      <c r="J417" s="11">
        <f>IFERROR(_xll.ciqfunctions.udf.CIQ(mh_ticker, "IQ_EQUITY_METHOD", , B417), "")</f>
        <v/>
      </c>
      <c r="K417" s="11">
        <f>IFERROR(_xll.ciqfunctions.udf.CIQ(mh_ticker, "IQ_LT_Mark_Securities", , B417), "")</f>
        <v/>
      </c>
      <c r="L417" s="12">
        <f>IFERROR(C417*D417, "")</f>
        <v/>
      </c>
      <c r="M417" s="12">
        <f>IFERROR(L417-E417-F417+G417+H417+I417-J417-K417, "")</f>
        <v/>
      </c>
      <c r="N417" s="11">
        <f>IFERROR(_xll.ciqfunctions.udf.CIQ(mh_ticker, "IQ_EBITDA_EST", IQ_NTM, B417, , , "USD"), "")</f>
        <v/>
      </c>
      <c r="O417" s="13">
        <f>IFERROR(M417/N417, "")</f>
        <v/>
      </c>
    </row>
    <row r="418">
      <c r="B418" s="8" t="n"/>
      <c r="C418" s="9">
        <f>IFERROR(_xll.ciqfunctions.udf.CIQ(mh_ticker, "IQ_LASTSALEPRICE", B418), "")</f>
        <v/>
      </c>
      <c r="D418" s="10">
        <f>IFERROR(_xll.ciqfunctions.udf.CIQ(mh_ticker, "IQ_SHARESOUTSTANDING_OUT", B418), "")</f>
        <v/>
      </c>
      <c r="E418" s="11">
        <f>IFERROR(_xll.ciqfunctions.udf.CIQ(mh_ticker, "IQ_CASH_EQUIV", , B418), "")</f>
        <v/>
      </c>
      <c r="F418" s="11">
        <f>IFERROR(_xll.ciqfunctions.udf.CIQ(mh_ticker, "IQ_ST_INVEST", , B418), "")</f>
        <v/>
      </c>
      <c r="G418" s="11">
        <f>IFERROR(_xll.ciqfunctions.udf.CIQ(mh_ticker, "IQ_TOTAL_DEBT_EXCL_OPER_LEASES", , B418), "")</f>
        <v/>
      </c>
      <c r="H418" s="11">
        <f>IFERROR(_xll.ciqfunctions.udf.CIQ(mh_ticker, "IQ_PREF_EQUITY", , B418), "")</f>
        <v/>
      </c>
      <c r="I418" s="11">
        <f>IFERROR(_xll.ciqfunctions.udf.CIQ(mh_ticker, "IQ_MINORITY_INTEREST", , B418), "")</f>
        <v/>
      </c>
      <c r="J418" s="11">
        <f>IFERROR(_xll.ciqfunctions.udf.CIQ(mh_ticker, "IQ_EQUITY_METHOD", , B418), "")</f>
        <v/>
      </c>
      <c r="K418" s="11">
        <f>IFERROR(_xll.ciqfunctions.udf.CIQ(mh_ticker, "IQ_LT_Mark_Securities", , B418), "")</f>
        <v/>
      </c>
      <c r="L418" s="12">
        <f>IFERROR(C418*D418, "")</f>
        <v/>
      </c>
      <c r="M418" s="12">
        <f>IFERROR(L418-E418-F418+G418+H418+I418-J418-K418, "")</f>
        <v/>
      </c>
      <c r="N418" s="11">
        <f>IFERROR(_xll.ciqfunctions.udf.CIQ(mh_ticker, "IQ_EBITDA_EST", IQ_NTM, B418, , , "USD"), "")</f>
        <v/>
      </c>
      <c r="O418" s="13">
        <f>IFERROR(M418/N418, "")</f>
        <v/>
      </c>
    </row>
    <row r="419">
      <c r="B419" s="8" t="n"/>
      <c r="C419" s="9">
        <f>IFERROR(_xll.ciqfunctions.udf.CIQ(mh_ticker, "IQ_LASTSALEPRICE", B419), "")</f>
        <v/>
      </c>
      <c r="D419" s="10">
        <f>IFERROR(_xll.ciqfunctions.udf.CIQ(mh_ticker, "IQ_SHARESOUTSTANDING_OUT", B419), "")</f>
        <v/>
      </c>
      <c r="E419" s="11">
        <f>IFERROR(_xll.ciqfunctions.udf.CIQ(mh_ticker, "IQ_CASH_EQUIV", , B419), "")</f>
        <v/>
      </c>
      <c r="F419" s="11">
        <f>IFERROR(_xll.ciqfunctions.udf.CIQ(mh_ticker, "IQ_ST_INVEST", , B419), "")</f>
        <v/>
      </c>
      <c r="G419" s="11">
        <f>IFERROR(_xll.ciqfunctions.udf.CIQ(mh_ticker, "IQ_TOTAL_DEBT_EXCL_OPER_LEASES", , B419), "")</f>
        <v/>
      </c>
      <c r="H419" s="11">
        <f>IFERROR(_xll.ciqfunctions.udf.CIQ(mh_ticker, "IQ_PREF_EQUITY", , B419), "")</f>
        <v/>
      </c>
      <c r="I419" s="11">
        <f>IFERROR(_xll.ciqfunctions.udf.CIQ(mh_ticker, "IQ_MINORITY_INTEREST", , B419), "")</f>
        <v/>
      </c>
      <c r="J419" s="11">
        <f>IFERROR(_xll.ciqfunctions.udf.CIQ(mh_ticker, "IQ_EQUITY_METHOD", , B419), "")</f>
        <v/>
      </c>
      <c r="K419" s="11">
        <f>IFERROR(_xll.ciqfunctions.udf.CIQ(mh_ticker, "IQ_LT_Mark_Securities", , B419), "")</f>
        <v/>
      </c>
      <c r="L419" s="12">
        <f>IFERROR(C419*D419, "")</f>
        <v/>
      </c>
      <c r="M419" s="12">
        <f>IFERROR(L419-E419-F419+G419+H419+I419-J419-K419, "")</f>
        <v/>
      </c>
      <c r="N419" s="11">
        <f>IFERROR(_xll.ciqfunctions.udf.CIQ(mh_ticker, "IQ_EBITDA_EST", IQ_NTM, B419, , , "USD"), "")</f>
        <v/>
      </c>
      <c r="O419" s="13">
        <f>IFERROR(M419/N419, "")</f>
        <v/>
      </c>
    </row>
    <row r="420">
      <c r="B420" s="8" t="n"/>
      <c r="C420" s="9">
        <f>IFERROR(_xll.ciqfunctions.udf.CIQ(mh_ticker, "IQ_LASTSALEPRICE", B420), "")</f>
        <v/>
      </c>
      <c r="D420" s="10">
        <f>IFERROR(_xll.ciqfunctions.udf.CIQ(mh_ticker, "IQ_SHARESOUTSTANDING_OUT", B420), "")</f>
        <v/>
      </c>
      <c r="E420" s="11">
        <f>IFERROR(_xll.ciqfunctions.udf.CIQ(mh_ticker, "IQ_CASH_EQUIV", , B420), "")</f>
        <v/>
      </c>
      <c r="F420" s="11">
        <f>IFERROR(_xll.ciqfunctions.udf.CIQ(mh_ticker, "IQ_ST_INVEST", , B420), "")</f>
        <v/>
      </c>
      <c r="G420" s="11">
        <f>IFERROR(_xll.ciqfunctions.udf.CIQ(mh_ticker, "IQ_TOTAL_DEBT_EXCL_OPER_LEASES", , B420), "")</f>
        <v/>
      </c>
      <c r="H420" s="11">
        <f>IFERROR(_xll.ciqfunctions.udf.CIQ(mh_ticker, "IQ_PREF_EQUITY", , B420), "")</f>
        <v/>
      </c>
      <c r="I420" s="11">
        <f>IFERROR(_xll.ciqfunctions.udf.CIQ(mh_ticker, "IQ_MINORITY_INTEREST", , B420), "")</f>
        <v/>
      </c>
      <c r="J420" s="11">
        <f>IFERROR(_xll.ciqfunctions.udf.CIQ(mh_ticker, "IQ_EQUITY_METHOD", , B420), "")</f>
        <v/>
      </c>
      <c r="K420" s="11">
        <f>IFERROR(_xll.ciqfunctions.udf.CIQ(mh_ticker, "IQ_LT_Mark_Securities", , B420), "")</f>
        <v/>
      </c>
      <c r="L420" s="12">
        <f>IFERROR(C420*D420, "")</f>
        <v/>
      </c>
      <c r="M420" s="12">
        <f>IFERROR(L420-E420-F420+G420+H420+I420-J420-K420, "")</f>
        <v/>
      </c>
      <c r="N420" s="11">
        <f>IFERROR(_xll.ciqfunctions.udf.CIQ(mh_ticker, "IQ_EBITDA_EST", IQ_NTM, B420, , , "USD"), "")</f>
        <v/>
      </c>
      <c r="O420" s="13">
        <f>IFERROR(M420/N420, "")</f>
        <v/>
      </c>
    </row>
    <row r="421">
      <c r="B421" s="8" t="n"/>
      <c r="C421" s="9">
        <f>IFERROR(_xll.ciqfunctions.udf.CIQ(mh_ticker, "IQ_LASTSALEPRICE", B421), "")</f>
        <v/>
      </c>
      <c r="D421" s="10">
        <f>IFERROR(_xll.ciqfunctions.udf.CIQ(mh_ticker, "IQ_SHARESOUTSTANDING_OUT", B421), "")</f>
        <v/>
      </c>
      <c r="E421" s="11">
        <f>IFERROR(_xll.ciqfunctions.udf.CIQ(mh_ticker, "IQ_CASH_EQUIV", , B421), "")</f>
        <v/>
      </c>
      <c r="F421" s="11">
        <f>IFERROR(_xll.ciqfunctions.udf.CIQ(mh_ticker, "IQ_ST_INVEST", , B421), "")</f>
        <v/>
      </c>
      <c r="G421" s="11">
        <f>IFERROR(_xll.ciqfunctions.udf.CIQ(mh_ticker, "IQ_TOTAL_DEBT_EXCL_OPER_LEASES", , B421), "")</f>
        <v/>
      </c>
      <c r="H421" s="11">
        <f>IFERROR(_xll.ciqfunctions.udf.CIQ(mh_ticker, "IQ_PREF_EQUITY", , B421), "")</f>
        <v/>
      </c>
      <c r="I421" s="11">
        <f>IFERROR(_xll.ciqfunctions.udf.CIQ(mh_ticker, "IQ_MINORITY_INTEREST", , B421), "")</f>
        <v/>
      </c>
      <c r="J421" s="11">
        <f>IFERROR(_xll.ciqfunctions.udf.CIQ(mh_ticker, "IQ_EQUITY_METHOD", , B421), "")</f>
        <v/>
      </c>
      <c r="K421" s="11">
        <f>IFERROR(_xll.ciqfunctions.udf.CIQ(mh_ticker, "IQ_LT_Mark_Securities", , B421), "")</f>
        <v/>
      </c>
      <c r="L421" s="12">
        <f>IFERROR(C421*D421, "")</f>
        <v/>
      </c>
      <c r="M421" s="12">
        <f>IFERROR(L421-E421-F421+G421+H421+I421-J421-K421, "")</f>
        <v/>
      </c>
      <c r="N421" s="11">
        <f>IFERROR(_xll.ciqfunctions.udf.CIQ(mh_ticker, "IQ_EBITDA_EST", IQ_NTM, B421, , , "USD"), "")</f>
        <v/>
      </c>
      <c r="O421" s="13">
        <f>IFERROR(M421/N421, "")</f>
        <v/>
      </c>
    </row>
    <row r="422">
      <c r="B422" s="8" t="n"/>
      <c r="C422" s="9">
        <f>IFERROR(_xll.ciqfunctions.udf.CIQ(mh_ticker, "IQ_LASTSALEPRICE", B422), "")</f>
        <v/>
      </c>
      <c r="D422" s="10">
        <f>IFERROR(_xll.ciqfunctions.udf.CIQ(mh_ticker, "IQ_SHARESOUTSTANDING_OUT", B422), "")</f>
        <v/>
      </c>
      <c r="E422" s="11">
        <f>IFERROR(_xll.ciqfunctions.udf.CIQ(mh_ticker, "IQ_CASH_EQUIV", , B422), "")</f>
        <v/>
      </c>
      <c r="F422" s="11">
        <f>IFERROR(_xll.ciqfunctions.udf.CIQ(mh_ticker, "IQ_ST_INVEST", , B422), "")</f>
        <v/>
      </c>
      <c r="G422" s="11">
        <f>IFERROR(_xll.ciqfunctions.udf.CIQ(mh_ticker, "IQ_TOTAL_DEBT_EXCL_OPER_LEASES", , B422), "")</f>
        <v/>
      </c>
      <c r="H422" s="11">
        <f>IFERROR(_xll.ciqfunctions.udf.CIQ(mh_ticker, "IQ_PREF_EQUITY", , B422), "")</f>
        <v/>
      </c>
      <c r="I422" s="11">
        <f>IFERROR(_xll.ciqfunctions.udf.CIQ(mh_ticker, "IQ_MINORITY_INTEREST", , B422), "")</f>
        <v/>
      </c>
      <c r="J422" s="11">
        <f>IFERROR(_xll.ciqfunctions.udf.CIQ(mh_ticker, "IQ_EQUITY_METHOD", , B422), "")</f>
        <v/>
      </c>
      <c r="K422" s="11">
        <f>IFERROR(_xll.ciqfunctions.udf.CIQ(mh_ticker, "IQ_LT_Mark_Securities", , B422), "")</f>
        <v/>
      </c>
      <c r="L422" s="12">
        <f>IFERROR(C422*D422, "")</f>
        <v/>
      </c>
      <c r="M422" s="12">
        <f>IFERROR(L422-E422-F422+G422+H422+I422-J422-K422, "")</f>
        <v/>
      </c>
      <c r="N422" s="11">
        <f>IFERROR(_xll.ciqfunctions.udf.CIQ(mh_ticker, "IQ_EBITDA_EST", IQ_NTM, B422, , , "USD"), "")</f>
        <v/>
      </c>
      <c r="O422" s="13">
        <f>IFERROR(M422/N422, "")</f>
        <v/>
      </c>
    </row>
    <row r="423">
      <c r="B423" s="8" t="n"/>
      <c r="C423" s="9">
        <f>IFERROR(_xll.ciqfunctions.udf.CIQ(mh_ticker, "IQ_LASTSALEPRICE", B423), "")</f>
        <v/>
      </c>
      <c r="D423" s="10">
        <f>IFERROR(_xll.ciqfunctions.udf.CIQ(mh_ticker, "IQ_SHARESOUTSTANDING_OUT", B423), "")</f>
        <v/>
      </c>
      <c r="E423" s="11">
        <f>IFERROR(_xll.ciqfunctions.udf.CIQ(mh_ticker, "IQ_CASH_EQUIV", , B423), "")</f>
        <v/>
      </c>
      <c r="F423" s="11">
        <f>IFERROR(_xll.ciqfunctions.udf.CIQ(mh_ticker, "IQ_ST_INVEST", , B423), "")</f>
        <v/>
      </c>
      <c r="G423" s="11">
        <f>IFERROR(_xll.ciqfunctions.udf.CIQ(mh_ticker, "IQ_TOTAL_DEBT_EXCL_OPER_LEASES", , B423), "")</f>
        <v/>
      </c>
      <c r="H423" s="11">
        <f>IFERROR(_xll.ciqfunctions.udf.CIQ(mh_ticker, "IQ_PREF_EQUITY", , B423), "")</f>
        <v/>
      </c>
      <c r="I423" s="11">
        <f>IFERROR(_xll.ciqfunctions.udf.CIQ(mh_ticker, "IQ_MINORITY_INTEREST", , B423), "")</f>
        <v/>
      </c>
      <c r="J423" s="11">
        <f>IFERROR(_xll.ciqfunctions.udf.CIQ(mh_ticker, "IQ_EQUITY_METHOD", , B423), "")</f>
        <v/>
      </c>
      <c r="K423" s="11">
        <f>IFERROR(_xll.ciqfunctions.udf.CIQ(mh_ticker, "IQ_LT_Mark_Securities", , B423), "")</f>
        <v/>
      </c>
      <c r="L423" s="12">
        <f>IFERROR(C423*D423, "")</f>
        <v/>
      </c>
      <c r="M423" s="12">
        <f>IFERROR(L423-E423-F423+G423+H423+I423-J423-K423, "")</f>
        <v/>
      </c>
      <c r="N423" s="11">
        <f>IFERROR(_xll.ciqfunctions.udf.CIQ(mh_ticker, "IQ_EBITDA_EST", IQ_NTM, B423, , , "USD"), "")</f>
        <v/>
      </c>
      <c r="O423" s="13">
        <f>IFERROR(M423/N423, "")</f>
        <v/>
      </c>
    </row>
    <row r="424">
      <c r="B424" s="8" t="n"/>
      <c r="C424" s="9">
        <f>IFERROR(_xll.ciqfunctions.udf.CIQ(mh_ticker, "IQ_LASTSALEPRICE", B424), "")</f>
        <v/>
      </c>
      <c r="D424" s="10">
        <f>IFERROR(_xll.ciqfunctions.udf.CIQ(mh_ticker, "IQ_SHARESOUTSTANDING_OUT", B424), "")</f>
        <v/>
      </c>
      <c r="E424" s="11">
        <f>IFERROR(_xll.ciqfunctions.udf.CIQ(mh_ticker, "IQ_CASH_EQUIV", , B424), "")</f>
        <v/>
      </c>
      <c r="F424" s="11">
        <f>IFERROR(_xll.ciqfunctions.udf.CIQ(mh_ticker, "IQ_ST_INVEST", , B424), "")</f>
        <v/>
      </c>
      <c r="G424" s="11">
        <f>IFERROR(_xll.ciqfunctions.udf.CIQ(mh_ticker, "IQ_TOTAL_DEBT_EXCL_OPER_LEASES", , B424), "")</f>
        <v/>
      </c>
      <c r="H424" s="11">
        <f>IFERROR(_xll.ciqfunctions.udf.CIQ(mh_ticker, "IQ_PREF_EQUITY", , B424), "")</f>
        <v/>
      </c>
      <c r="I424" s="11">
        <f>IFERROR(_xll.ciqfunctions.udf.CIQ(mh_ticker, "IQ_MINORITY_INTEREST", , B424), "")</f>
        <v/>
      </c>
      <c r="J424" s="11">
        <f>IFERROR(_xll.ciqfunctions.udf.CIQ(mh_ticker, "IQ_EQUITY_METHOD", , B424), "")</f>
        <v/>
      </c>
      <c r="K424" s="11">
        <f>IFERROR(_xll.ciqfunctions.udf.CIQ(mh_ticker, "IQ_LT_Mark_Securities", , B424), "")</f>
        <v/>
      </c>
      <c r="L424" s="12">
        <f>IFERROR(C424*D424, "")</f>
        <v/>
      </c>
      <c r="M424" s="12">
        <f>IFERROR(L424-E424-F424+G424+H424+I424-J424-K424, "")</f>
        <v/>
      </c>
      <c r="N424" s="11">
        <f>IFERROR(_xll.ciqfunctions.udf.CIQ(mh_ticker, "IQ_EBITDA_EST", IQ_NTM, B424, , , "USD"), "")</f>
        <v/>
      </c>
      <c r="O424" s="13">
        <f>IFERROR(M424/N424, "")</f>
        <v/>
      </c>
    </row>
    <row r="425">
      <c r="B425" s="8" t="n"/>
      <c r="C425" s="9">
        <f>IFERROR(_xll.ciqfunctions.udf.CIQ(mh_ticker, "IQ_LASTSALEPRICE", B425), "")</f>
        <v/>
      </c>
      <c r="D425" s="10">
        <f>IFERROR(_xll.ciqfunctions.udf.CIQ(mh_ticker, "IQ_SHARESOUTSTANDING_OUT", B425), "")</f>
        <v/>
      </c>
      <c r="E425" s="11">
        <f>IFERROR(_xll.ciqfunctions.udf.CIQ(mh_ticker, "IQ_CASH_EQUIV", , B425), "")</f>
        <v/>
      </c>
      <c r="F425" s="11">
        <f>IFERROR(_xll.ciqfunctions.udf.CIQ(mh_ticker, "IQ_ST_INVEST", , B425), "")</f>
        <v/>
      </c>
      <c r="G425" s="11">
        <f>IFERROR(_xll.ciqfunctions.udf.CIQ(mh_ticker, "IQ_TOTAL_DEBT_EXCL_OPER_LEASES", , B425), "")</f>
        <v/>
      </c>
      <c r="H425" s="11">
        <f>IFERROR(_xll.ciqfunctions.udf.CIQ(mh_ticker, "IQ_PREF_EQUITY", , B425), "")</f>
        <v/>
      </c>
      <c r="I425" s="11">
        <f>IFERROR(_xll.ciqfunctions.udf.CIQ(mh_ticker, "IQ_MINORITY_INTEREST", , B425), "")</f>
        <v/>
      </c>
      <c r="J425" s="11">
        <f>IFERROR(_xll.ciqfunctions.udf.CIQ(mh_ticker, "IQ_EQUITY_METHOD", , B425), "")</f>
        <v/>
      </c>
      <c r="K425" s="11">
        <f>IFERROR(_xll.ciqfunctions.udf.CIQ(mh_ticker, "IQ_LT_Mark_Securities", , B425), "")</f>
        <v/>
      </c>
      <c r="L425" s="12">
        <f>IFERROR(C425*D425, "")</f>
        <v/>
      </c>
      <c r="M425" s="12">
        <f>IFERROR(L425-E425-F425+G425+H425+I425-J425-K425, "")</f>
        <v/>
      </c>
      <c r="N425" s="11">
        <f>IFERROR(_xll.ciqfunctions.udf.CIQ(mh_ticker, "IQ_EBITDA_EST", IQ_NTM, B425, , , "USD"), "")</f>
        <v/>
      </c>
      <c r="O425" s="13">
        <f>IFERROR(M425/N425, "")</f>
        <v/>
      </c>
    </row>
    <row r="426">
      <c r="B426" s="8" t="n"/>
      <c r="C426" s="9">
        <f>IFERROR(_xll.ciqfunctions.udf.CIQ(mh_ticker, "IQ_LASTSALEPRICE", B426), "")</f>
        <v/>
      </c>
      <c r="D426" s="10">
        <f>IFERROR(_xll.ciqfunctions.udf.CIQ(mh_ticker, "IQ_SHARESOUTSTANDING_OUT", B426), "")</f>
        <v/>
      </c>
      <c r="E426" s="11">
        <f>IFERROR(_xll.ciqfunctions.udf.CIQ(mh_ticker, "IQ_CASH_EQUIV", , B426), "")</f>
        <v/>
      </c>
      <c r="F426" s="11">
        <f>IFERROR(_xll.ciqfunctions.udf.CIQ(mh_ticker, "IQ_ST_INVEST", , B426), "")</f>
        <v/>
      </c>
      <c r="G426" s="11">
        <f>IFERROR(_xll.ciqfunctions.udf.CIQ(mh_ticker, "IQ_TOTAL_DEBT_EXCL_OPER_LEASES", , B426), "")</f>
        <v/>
      </c>
      <c r="H426" s="11">
        <f>IFERROR(_xll.ciqfunctions.udf.CIQ(mh_ticker, "IQ_PREF_EQUITY", , B426), "")</f>
        <v/>
      </c>
      <c r="I426" s="11">
        <f>IFERROR(_xll.ciqfunctions.udf.CIQ(mh_ticker, "IQ_MINORITY_INTEREST", , B426), "")</f>
        <v/>
      </c>
      <c r="J426" s="11">
        <f>IFERROR(_xll.ciqfunctions.udf.CIQ(mh_ticker, "IQ_EQUITY_METHOD", , B426), "")</f>
        <v/>
      </c>
      <c r="K426" s="11">
        <f>IFERROR(_xll.ciqfunctions.udf.CIQ(mh_ticker, "IQ_LT_Mark_Securities", , B426), "")</f>
        <v/>
      </c>
      <c r="L426" s="12">
        <f>IFERROR(C426*D426, "")</f>
        <v/>
      </c>
      <c r="M426" s="12">
        <f>IFERROR(L426-E426-F426+G426+H426+I426-J426-K426, "")</f>
        <v/>
      </c>
      <c r="N426" s="11">
        <f>IFERROR(_xll.ciqfunctions.udf.CIQ(mh_ticker, "IQ_EBITDA_EST", IQ_NTM, B426, , , "USD"), "")</f>
        <v/>
      </c>
      <c r="O426" s="13">
        <f>IFERROR(M426/N426, "")</f>
        <v/>
      </c>
    </row>
    <row r="427">
      <c r="B427" s="8" t="n"/>
      <c r="C427" s="9">
        <f>IFERROR(_xll.ciqfunctions.udf.CIQ(mh_ticker, "IQ_LASTSALEPRICE", B427), "")</f>
        <v/>
      </c>
      <c r="D427" s="10">
        <f>IFERROR(_xll.ciqfunctions.udf.CIQ(mh_ticker, "IQ_SHARESOUTSTANDING_OUT", B427), "")</f>
        <v/>
      </c>
      <c r="E427" s="11">
        <f>IFERROR(_xll.ciqfunctions.udf.CIQ(mh_ticker, "IQ_CASH_EQUIV", , B427), "")</f>
        <v/>
      </c>
      <c r="F427" s="11">
        <f>IFERROR(_xll.ciqfunctions.udf.CIQ(mh_ticker, "IQ_ST_INVEST", , B427), "")</f>
        <v/>
      </c>
      <c r="G427" s="11">
        <f>IFERROR(_xll.ciqfunctions.udf.CIQ(mh_ticker, "IQ_TOTAL_DEBT_EXCL_OPER_LEASES", , B427), "")</f>
        <v/>
      </c>
      <c r="H427" s="11">
        <f>IFERROR(_xll.ciqfunctions.udf.CIQ(mh_ticker, "IQ_PREF_EQUITY", , B427), "")</f>
        <v/>
      </c>
      <c r="I427" s="11">
        <f>IFERROR(_xll.ciqfunctions.udf.CIQ(mh_ticker, "IQ_MINORITY_INTEREST", , B427), "")</f>
        <v/>
      </c>
      <c r="J427" s="11">
        <f>IFERROR(_xll.ciqfunctions.udf.CIQ(mh_ticker, "IQ_EQUITY_METHOD", , B427), "")</f>
        <v/>
      </c>
      <c r="K427" s="11">
        <f>IFERROR(_xll.ciqfunctions.udf.CIQ(mh_ticker, "IQ_LT_Mark_Securities", , B427), "")</f>
        <v/>
      </c>
      <c r="L427" s="12">
        <f>IFERROR(C427*D427, "")</f>
        <v/>
      </c>
      <c r="M427" s="12">
        <f>IFERROR(L427-E427-F427+G427+H427+I427-J427-K427, "")</f>
        <v/>
      </c>
      <c r="N427" s="11">
        <f>IFERROR(_xll.ciqfunctions.udf.CIQ(mh_ticker, "IQ_EBITDA_EST", IQ_NTM, B427, , , "USD"), "")</f>
        <v/>
      </c>
      <c r="O427" s="13">
        <f>IFERROR(M427/N427, "")</f>
        <v/>
      </c>
    </row>
    <row r="428">
      <c r="B428" s="8" t="n"/>
      <c r="C428" s="9">
        <f>IFERROR(_xll.ciqfunctions.udf.CIQ(mh_ticker, "IQ_LASTSALEPRICE", B428), "")</f>
        <v/>
      </c>
      <c r="D428" s="10">
        <f>IFERROR(_xll.ciqfunctions.udf.CIQ(mh_ticker, "IQ_SHARESOUTSTANDING_OUT", B428), "")</f>
        <v/>
      </c>
      <c r="E428" s="11">
        <f>IFERROR(_xll.ciqfunctions.udf.CIQ(mh_ticker, "IQ_CASH_EQUIV", , B428), "")</f>
        <v/>
      </c>
      <c r="F428" s="11">
        <f>IFERROR(_xll.ciqfunctions.udf.CIQ(mh_ticker, "IQ_ST_INVEST", , B428), "")</f>
        <v/>
      </c>
      <c r="G428" s="11">
        <f>IFERROR(_xll.ciqfunctions.udf.CIQ(mh_ticker, "IQ_TOTAL_DEBT_EXCL_OPER_LEASES", , B428), "")</f>
        <v/>
      </c>
      <c r="H428" s="11">
        <f>IFERROR(_xll.ciqfunctions.udf.CIQ(mh_ticker, "IQ_PREF_EQUITY", , B428), "")</f>
        <v/>
      </c>
      <c r="I428" s="11">
        <f>IFERROR(_xll.ciqfunctions.udf.CIQ(mh_ticker, "IQ_MINORITY_INTEREST", , B428), "")</f>
        <v/>
      </c>
      <c r="J428" s="11">
        <f>IFERROR(_xll.ciqfunctions.udf.CIQ(mh_ticker, "IQ_EQUITY_METHOD", , B428), "")</f>
        <v/>
      </c>
      <c r="K428" s="11">
        <f>IFERROR(_xll.ciqfunctions.udf.CIQ(mh_ticker, "IQ_LT_Mark_Securities", , B428), "")</f>
        <v/>
      </c>
      <c r="L428" s="12">
        <f>IFERROR(C428*D428, "")</f>
        <v/>
      </c>
      <c r="M428" s="12">
        <f>IFERROR(L428-E428-F428+G428+H428+I428-J428-K428, "")</f>
        <v/>
      </c>
      <c r="N428" s="11">
        <f>IFERROR(_xll.ciqfunctions.udf.CIQ(mh_ticker, "IQ_EBITDA_EST", IQ_NTM, B428, , , "USD"), "")</f>
        <v/>
      </c>
      <c r="O428" s="13">
        <f>IFERROR(M428/N428, "")</f>
        <v/>
      </c>
    </row>
    <row r="429">
      <c r="B429" s="8" t="n"/>
      <c r="C429" s="9">
        <f>IFERROR(_xll.ciqfunctions.udf.CIQ(mh_ticker, "IQ_LASTSALEPRICE", B429), "")</f>
        <v/>
      </c>
      <c r="D429" s="10">
        <f>IFERROR(_xll.ciqfunctions.udf.CIQ(mh_ticker, "IQ_SHARESOUTSTANDING_OUT", B429), "")</f>
        <v/>
      </c>
      <c r="E429" s="11">
        <f>IFERROR(_xll.ciqfunctions.udf.CIQ(mh_ticker, "IQ_CASH_EQUIV", , B429), "")</f>
        <v/>
      </c>
      <c r="F429" s="11">
        <f>IFERROR(_xll.ciqfunctions.udf.CIQ(mh_ticker, "IQ_ST_INVEST", , B429), "")</f>
        <v/>
      </c>
      <c r="G429" s="11">
        <f>IFERROR(_xll.ciqfunctions.udf.CIQ(mh_ticker, "IQ_TOTAL_DEBT_EXCL_OPER_LEASES", , B429), "")</f>
        <v/>
      </c>
      <c r="H429" s="11">
        <f>IFERROR(_xll.ciqfunctions.udf.CIQ(mh_ticker, "IQ_PREF_EQUITY", , B429), "")</f>
        <v/>
      </c>
      <c r="I429" s="11">
        <f>IFERROR(_xll.ciqfunctions.udf.CIQ(mh_ticker, "IQ_MINORITY_INTEREST", , B429), "")</f>
        <v/>
      </c>
      <c r="J429" s="11">
        <f>IFERROR(_xll.ciqfunctions.udf.CIQ(mh_ticker, "IQ_EQUITY_METHOD", , B429), "")</f>
        <v/>
      </c>
      <c r="K429" s="11">
        <f>IFERROR(_xll.ciqfunctions.udf.CIQ(mh_ticker, "IQ_LT_Mark_Securities", , B429), "")</f>
        <v/>
      </c>
      <c r="L429" s="12">
        <f>IFERROR(C429*D429, "")</f>
        <v/>
      </c>
      <c r="M429" s="12">
        <f>IFERROR(L429-E429-F429+G429+H429+I429-J429-K429, "")</f>
        <v/>
      </c>
      <c r="N429" s="11">
        <f>IFERROR(_xll.ciqfunctions.udf.CIQ(mh_ticker, "IQ_EBITDA_EST", IQ_NTM, B429, , , "USD"), "")</f>
        <v/>
      </c>
      <c r="O429" s="13">
        <f>IFERROR(M429/N429, "")</f>
        <v/>
      </c>
    </row>
    <row r="430">
      <c r="B430" s="8" t="n"/>
      <c r="C430" s="9">
        <f>IFERROR(_xll.ciqfunctions.udf.CIQ(mh_ticker, "IQ_LASTSALEPRICE", B430), "")</f>
        <v/>
      </c>
      <c r="D430" s="10">
        <f>IFERROR(_xll.ciqfunctions.udf.CIQ(mh_ticker, "IQ_SHARESOUTSTANDING_OUT", B430), "")</f>
        <v/>
      </c>
      <c r="E430" s="11">
        <f>IFERROR(_xll.ciqfunctions.udf.CIQ(mh_ticker, "IQ_CASH_EQUIV", , B430), "")</f>
        <v/>
      </c>
      <c r="F430" s="11">
        <f>IFERROR(_xll.ciqfunctions.udf.CIQ(mh_ticker, "IQ_ST_INVEST", , B430), "")</f>
        <v/>
      </c>
      <c r="G430" s="11">
        <f>IFERROR(_xll.ciqfunctions.udf.CIQ(mh_ticker, "IQ_TOTAL_DEBT_EXCL_OPER_LEASES", , B430), "")</f>
        <v/>
      </c>
      <c r="H430" s="11">
        <f>IFERROR(_xll.ciqfunctions.udf.CIQ(mh_ticker, "IQ_PREF_EQUITY", , B430), "")</f>
        <v/>
      </c>
      <c r="I430" s="11">
        <f>IFERROR(_xll.ciqfunctions.udf.CIQ(mh_ticker, "IQ_MINORITY_INTEREST", , B430), "")</f>
        <v/>
      </c>
      <c r="J430" s="11">
        <f>IFERROR(_xll.ciqfunctions.udf.CIQ(mh_ticker, "IQ_EQUITY_METHOD", , B430), "")</f>
        <v/>
      </c>
      <c r="K430" s="11">
        <f>IFERROR(_xll.ciqfunctions.udf.CIQ(mh_ticker, "IQ_LT_Mark_Securities", , B430), "")</f>
        <v/>
      </c>
      <c r="L430" s="12">
        <f>IFERROR(C430*D430, "")</f>
        <v/>
      </c>
      <c r="M430" s="12">
        <f>IFERROR(L430-E430-F430+G430+H430+I430-J430-K430, "")</f>
        <v/>
      </c>
      <c r="N430" s="11">
        <f>IFERROR(_xll.ciqfunctions.udf.CIQ(mh_ticker, "IQ_EBITDA_EST", IQ_NTM, B430, , , "USD"), "")</f>
        <v/>
      </c>
      <c r="O430" s="13">
        <f>IFERROR(M430/N430, "")</f>
        <v/>
      </c>
    </row>
    <row r="431">
      <c r="B431" s="8" t="n"/>
      <c r="C431" s="9">
        <f>IFERROR(_xll.ciqfunctions.udf.CIQ(mh_ticker, "IQ_LASTSALEPRICE", B431), "")</f>
        <v/>
      </c>
      <c r="D431" s="10">
        <f>IFERROR(_xll.ciqfunctions.udf.CIQ(mh_ticker, "IQ_SHARESOUTSTANDING_OUT", B431), "")</f>
        <v/>
      </c>
      <c r="E431" s="11">
        <f>IFERROR(_xll.ciqfunctions.udf.CIQ(mh_ticker, "IQ_CASH_EQUIV", , B431), "")</f>
        <v/>
      </c>
      <c r="F431" s="11">
        <f>IFERROR(_xll.ciqfunctions.udf.CIQ(mh_ticker, "IQ_ST_INVEST", , B431), "")</f>
        <v/>
      </c>
      <c r="G431" s="11">
        <f>IFERROR(_xll.ciqfunctions.udf.CIQ(mh_ticker, "IQ_TOTAL_DEBT_EXCL_OPER_LEASES", , B431), "")</f>
        <v/>
      </c>
      <c r="H431" s="11">
        <f>IFERROR(_xll.ciqfunctions.udf.CIQ(mh_ticker, "IQ_PREF_EQUITY", , B431), "")</f>
        <v/>
      </c>
      <c r="I431" s="11">
        <f>IFERROR(_xll.ciqfunctions.udf.CIQ(mh_ticker, "IQ_MINORITY_INTEREST", , B431), "")</f>
        <v/>
      </c>
      <c r="J431" s="11">
        <f>IFERROR(_xll.ciqfunctions.udf.CIQ(mh_ticker, "IQ_EQUITY_METHOD", , B431), "")</f>
        <v/>
      </c>
      <c r="K431" s="11">
        <f>IFERROR(_xll.ciqfunctions.udf.CIQ(mh_ticker, "IQ_LT_Mark_Securities", , B431), "")</f>
        <v/>
      </c>
      <c r="L431" s="12">
        <f>IFERROR(C431*D431, "")</f>
        <v/>
      </c>
      <c r="M431" s="12">
        <f>IFERROR(L431-E431-F431+G431+H431+I431-J431-K431, "")</f>
        <v/>
      </c>
      <c r="N431" s="11">
        <f>IFERROR(_xll.ciqfunctions.udf.CIQ(mh_ticker, "IQ_EBITDA_EST", IQ_NTM, B431, , , "USD"), "")</f>
        <v/>
      </c>
      <c r="O431" s="13">
        <f>IFERROR(M431/N431, "")</f>
        <v/>
      </c>
    </row>
    <row r="432">
      <c r="B432" s="8" t="n"/>
      <c r="C432" s="9">
        <f>IFERROR(_xll.ciqfunctions.udf.CIQ(mh_ticker, "IQ_LASTSALEPRICE", B432), "")</f>
        <v/>
      </c>
      <c r="D432" s="10">
        <f>IFERROR(_xll.ciqfunctions.udf.CIQ(mh_ticker, "IQ_SHARESOUTSTANDING_OUT", B432), "")</f>
        <v/>
      </c>
      <c r="E432" s="11">
        <f>IFERROR(_xll.ciqfunctions.udf.CIQ(mh_ticker, "IQ_CASH_EQUIV", , B432), "")</f>
        <v/>
      </c>
      <c r="F432" s="11">
        <f>IFERROR(_xll.ciqfunctions.udf.CIQ(mh_ticker, "IQ_ST_INVEST", , B432), "")</f>
        <v/>
      </c>
      <c r="G432" s="11">
        <f>IFERROR(_xll.ciqfunctions.udf.CIQ(mh_ticker, "IQ_TOTAL_DEBT_EXCL_OPER_LEASES", , B432), "")</f>
        <v/>
      </c>
      <c r="H432" s="11">
        <f>IFERROR(_xll.ciqfunctions.udf.CIQ(mh_ticker, "IQ_PREF_EQUITY", , B432), "")</f>
        <v/>
      </c>
      <c r="I432" s="11">
        <f>IFERROR(_xll.ciqfunctions.udf.CIQ(mh_ticker, "IQ_MINORITY_INTEREST", , B432), "")</f>
        <v/>
      </c>
      <c r="J432" s="11">
        <f>IFERROR(_xll.ciqfunctions.udf.CIQ(mh_ticker, "IQ_EQUITY_METHOD", , B432), "")</f>
        <v/>
      </c>
      <c r="K432" s="11">
        <f>IFERROR(_xll.ciqfunctions.udf.CIQ(mh_ticker, "IQ_LT_Mark_Securities", , B432), "")</f>
        <v/>
      </c>
      <c r="L432" s="12">
        <f>IFERROR(C432*D432, "")</f>
        <v/>
      </c>
      <c r="M432" s="12">
        <f>IFERROR(L432-E432-F432+G432+H432+I432-J432-K432, "")</f>
        <v/>
      </c>
      <c r="N432" s="11">
        <f>IFERROR(_xll.ciqfunctions.udf.CIQ(mh_ticker, "IQ_EBITDA_EST", IQ_NTM, B432, , , "USD"), "")</f>
        <v/>
      </c>
      <c r="O432" s="13">
        <f>IFERROR(M432/N432, "")</f>
        <v/>
      </c>
    </row>
    <row r="433">
      <c r="B433" s="8" t="n"/>
      <c r="C433" s="9">
        <f>IFERROR(_xll.ciqfunctions.udf.CIQ(mh_ticker, "IQ_LASTSALEPRICE", B433), "")</f>
        <v/>
      </c>
      <c r="D433" s="10">
        <f>IFERROR(_xll.ciqfunctions.udf.CIQ(mh_ticker, "IQ_SHARESOUTSTANDING_OUT", B433), "")</f>
        <v/>
      </c>
      <c r="E433" s="11">
        <f>IFERROR(_xll.ciqfunctions.udf.CIQ(mh_ticker, "IQ_CASH_EQUIV", , B433), "")</f>
        <v/>
      </c>
      <c r="F433" s="11">
        <f>IFERROR(_xll.ciqfunctions.udf.CIQ(mh_ticker, "IQ_ST_INVEST", , B433), "")</f>
        <v/>
      </c>
      <c r="G433" s="11">
        <f>IFERROR(_xll.ciqfunctions.udf.CIQ(mh_ticker, "IQ_TOTAL_DEBT_EXCL_OPER_LEASES", , B433), "")</f>
        <v/>
      </c>
      <c r="H433" s="11">
        <f>IFERROR(_xll.ciqfunctions.udf.CIQ(mh_ticker, "IQ_PREF_EQUITY", , B433), "")</f>
        <v/>
      </c>
      <c r="I433" s="11">
        <f>IFERROR(_xll.ciqfunctions.udf.CIQ(mh_ticker, "IQ_MINORITY_INTEREST", , B433), "")</f>
        <v/>
      </c>
      <c r="J433" s="11">
        <f>IFERROR(_xll.ciqfunctions.udf.CIQ(mh_ticker, "IQ_EQUITY_METHOD", , B433), "")</f>
        <v/>
      </c>
      <c r="K433" s="11">
        <f>IFERROR(_xll.ciqfunctions.udf.CIQ(mh_ticker, "IQ_LT_Mark_Securities", , B433), "")</f>
        <v/>
      </c>
      <c r="L433" s="12">
        <f>IFERROR(C433*D433, "")</f>
        <v/>
      </c>
      <c r="M433" s="12">
        <f>IFERROR(L433-E433-F433+G433+H433+I433-J433-K433, "")</f>
        <v/>
      </c>
      <c r="N433" s="11">
        <f>IFERROR(_xll.ciqfunctions.udf.CIQ(mh_ticker, "IQ_EBITDA_EST", IQ_NTM, B433, , , "USD"), "")</f>
        <v/>
      </c>
      <c r="O433" s="13">
        <f>IFERROR(M433/N433, "")</f>
        <v/>
      </c>
    </row>
    <row r="434">
      <c r="B434" s="8" t="n"/>
      <c r="C434" s="9">
        <f>IFERROR(_xll.ciqfunctions.udf.CIQ(mh_ticker, "IQ_LASTSALEPRICE", B434), "")</f>
        <v/>
      </c>
      <c r="D434" s="10">
        <f>IFERROR(_xll.ciqfunctions.udf.CIQ(mh_ticker, "IQ_SHARESOUTSTANDING_OUT", B434), "")</f>
        <v/>
      </c>
      <c r="E434" s="11">
        <f>IFERROR(_xll.ciqfunctions.udf.CIQ(mh_ticker, "IQ_CASH_EQUIV", , B434), "")</f>
        <v/>
      </c>
      <c r="F434" s="11">
        <f>IFERROR(_xll.ciqfunctions.udf.CIQ(mh_ticker, "IQ_ST_INVEST", , B434), "")</f>
        <v/>
      </c>
      <c r="G434" s="11">
        <f>IFERROR(_xll.ciqfunctions.udf.CIQ(mh_ticker, "IQ_TOTAL_DEBT_EXCL_OPER_LEASES", , B434), "")</f>
        <v/>
      </c>
      <c r="H434" s="11">
        <f>IFERROR(_xll.ciqfunctions.udf.CIQ(mh_ticker, "IQ_PREF_EQUITY", , B434), "")</f>
        <v/>
      </c>
      <c r="I434" s="11">
        <f>IFERROR(_xll.ciqfunctions.udf.CIQ(mh_ticker, "IQ_MINORITY_INTEREST", , B434), "")</f>
        <v/>
      </c>
      <c r="J434" s="11">
        <f>IFERROR(_xll.ciqfunctions.udf.CIQ(mh_ticker, "IQ_EQUITY_METHOD", , B434), "")</f>
        <v/>
      </c>
      <c r="K434" s="11">
        <f>IFERROR(_xll.ciqfunctions.udf.CIQ(mh_ticker, "IQ_LT_Mark_Securities", , B434), "")</f>
        <v/>
      </c>
      <c r="L434" s="12">
        <f>IFERROR(C434*D434, "")</f>
        <v/>
      </c>
      <c r="M434" s="12">
        <f>IFERROR(L434-E434-F434+G434+H434+I434-J434-K434, "")</f>
        <v/>
      </c>
      <c r="N434" s="11">
        <f>IFERROR(_xll.ciqfunctions.udf.CIQ(mh_ticker, "IQ_EBITDA_EST", IQ_NTM, B434, , , "USD"), "")</f>
        <v/>
      </c>
      <c r="O434" s="13">
        <f>IFERROR(M434/N434, "")</f>
        <v/>
      </c>
    </row>
    <row r="435">
      <c r="B435" s="8" t="n"/>
      <c r="C435" s="9">
        <f>IFERROR(_xll.ciqfunctions.udf.CIQ(mh_ticker, "IQ_LASTSALEPRICE", B435), "")</f>
        <v/>
      </c>
      <c r="D435" s="10">
        <f>IFERROR(_xll.ciqfunctions.udf.CIQ(mh_ticker, "IQ_SHARESOUTSTANDING_OUT", B435), "")</f>
        <v/>
      </c>
      <c r="E435" s="11">
        <f>IFERROR(_xll.ciqfunctions.udf.CIQ(mh_ticker, "IQ_CASH_EQUIV", , B435), "")</f>
        <v/>
      </c>
      <c r="F435" s="11">
        <f>IFERROR(_xll.ciqfunctions.udf.CIQ(mh_ticker, "IQ_ST_INVEST", , B435), "")</f>
        <v/>
      </c>
      <c r="G435" s="11">
        <f>IFERROR(_xll.ciqfunctions.udf.CIQ(mh_ticker, "IQ_TOTAL_DEBT_EXCL_OPER_LEASES", , B435), "")</f>
        <v/>
      </c>
      <c r="H435" s="11">
        <f>IFERROR(_xll.ciqfunctions.udf.CIQ(mh_ticker, "IQ_PREF_EQUITY", , B435), "")</f>
        <v/>
      </c>
      <c r="I435" s="11">
        <f>IFERROR(_xll.ciqfunctions.udf.CIQ(mh_ticker, "IQ_MINORITY_INTEREST", , B435), "")</f>
        <v/>
      </c>
      <c r="J435" s="11">
        <f>IFERROR(_xll.ciqfunctions.udf.CIQ(mh_ticker, "IQ_EQUITY_METHOD", , B435), "")</f>
        <v/>
      </c>
      <c r="K435" s="11">
        <f>IFERROR(_xll.ciqfunctions.udf.CIQ(mh_ticker, "IQ_LT_Mark_Securities", , B435), "")</f>
        <v/>
      </c>
      <c r="L435" s="12">
        <f>IFERROR(C435*D435, "")</f>
        <v/>
      </c>
      <c r="M435" s="12">
        <f>IFERROR(L435-E435-F435+G435+H435+I435-J435-K435, "")</f>
        <v/>
      </c>
      <c r="N435" s="11">
        <f>IFERROR(_xll.ciqfunctions.udf.CIQ(mh_ticker, "IQ_EBITDA_EST", IQ_NTM, B435, , , "USD"), "")</f>
        <v/>
      </c>
      <c r="O435" s="13">
        <f>IFERROR(M435/N435, "")</f>
        <v/>
      </c>
    </row>
    <row r="436">
      <c r="B436" s="8" t="n"/>
      <c r="C436" s="9">
        <f>IFERROR(_xll.ciqfunctions.udf.CIQ(mh_ticker, "IQ_LASTSALEPRICE", B436), "")</f>
        <v/>
      </c>
      <c r="D436" s="10">
        <f>IFERROR(_xll.ciqfunctions.udf.CIQ(mh_ticker, "IQ_SHARESOUTSTANDING_OUT", B436), "")</f>
        <v/>
      </c>
      <c r="E436" s="11">
        <f>IFERROR(_xll.ciqfunctions.udf.CIQ(mh_ticker, "IQ_CASH_EQUIV", , B436), "")</f>
        <v/>
      </c>
      <c r="F436" s="11">
        <f>IFERROR(_xll.ciqfunctions.udf.CIQ(mh_ticker, "IQ_ST_INVEST", , B436), "")</f>
        <v/>
      </c>
      <c r="G436" s="11">
        <f>IFERROR(_xll.ciqfunctions.udf.CIQ(mh_ticker, "IQ_TOTAL_DEBT_EXCL_OPER_LEASES", , B436), "")</f>
        <v/>
      </c>
      <c r="H436" s="11">
        <f>IFERROR(_xll.ciqfunctions.udf.CIQ(mh_ticker, "IQ_PREF_EQUITY", , B436), "")</f>
        <v/>
      </c>
      <c r="I436" s="11">
        <f>IFERROR(_xll.ciqfunctions.udf.CIQ(mh_ticker, "IQ_MINORITY_INTEREST", , B436), "")</f>
        <v/>
      </c>
      <c r="J436" s="11">
        <f>IFERROR(_xll.ciqfunctions.udf.CIQ(mh_ticker, "IQ_EQUITY_METHOD", , B436), "")</f>
        <v/>
      </c>
      <c r="K436" s="11">
        <f>IFERROR(_xll.ciqfunctions.udf.CIQ(mh_ticker, "IQ_LT_Mark_Securities", , B436), "")</f>
        <v/>
      </c>
      <c r="L436" s="12">
        <f>IFERROR(C436*D436, "")</f>
        <v/>
      </c>
      <c r="M436" s="12">
        <f>IFERROR(L436-E436-F436+G436+H436+I436-J436-K436, "")</f>
        <v/>
      </c>
      <c r="N436" s="11">
        <f>IFERROR(_xll.ciqfunctions.udf.CIQ(mh_ticker, "IQ_EBITDA_EST", IQ_NTM, B436, , , "USD"), "")</f>
        <v/>
      </c>
      <c r="O436" s="13">
        <f>IFERROR(M436/N436, "")</f>
        <v/>
      </c>
    </row>
    <row r="437">
      <c r="B437" s="8" t="n"/>
      <c r="C437" s="9">
        <f>IFERROR(_xll.ciqfunctions.udf.CIQ(mh_ticker, "IQ_LASTSALEPRICE", B437), "")</f>
        <v/>
      </c>
      <c r="D437" s="10">
        <f>IFERROR(_xll.ciqfunctions.udf.CIQ(mh_ticker, "IQ_SHARESOUTSTANDING_OUT", B437), "")</f>
        <v/>
      </c>
      <c r="E437" s="11">
        <f>IFERROR(_xll.ciqfunctions.udf.CIQ(mh_ticker, "IQ_CASH_EQUIV", , B437), "")</f>
        <v/>
      </c>
      <c r="F437" s="11">
        <f>IFERROR(_xll.ciqfunctions.udf.CIQ(mh_ticker, "IQ_ST_INVEST", , B437), "")</f>
        <v/>
      </c>
      <c r="G437" s="11">
        <f>IFERROR(_xll.ciqfunctions.udf.CIQ(mh_ticker, "IQ_TOTAL_DEBT_EXCL_OPER_LEASES", , B437), "")</f>
        <v/>
      </c>
      <c r="H437" s="11">
        <f>IFERROR(_xll.ciqfunctions.udf.CIQ(mh_ticker, "IQ_PREF_EQUITY", , B437), "")</f>
        <v/>
      </c>
      <c r="I437" s="11">
        <f>IFERROR(_xll.ciqfunctions.udf.CIQ(mh_ticker, "IQ_MINORITY_INTEREST", , B437), "")</f>
        <v/>
      </c>
      <c r="J437" s="11">
        <f>IFERROR(_xll.ciqfunctions.udf.CIQ(mh_ticker, "IQ_EQUITY_METHOD", , B437), "")</f>
        <v/>
      </c>
      <c r="K437" s="11">
        <f>IFERROR(_xll.ciqfunctions.udf.CIQ(mh_ticker, "IQ_LT_Mark_Securities", , B437), "")</f>
        <v/>
      </c>
      <c r="L437" s="12">
        <f>IFERROR(C437*D437, "")</f>
        <v/>
      </c>
      <c r="M437" s="12">
        <f>IFERROR(L437-E437-F437+G437+H437+I437-J437-K437, "")</f>
        <v/>
      </c>
      <c r="N437" s="11">
        <f>IFERROR(_xll.ciqfunctions.udf.CIQ(mh_ticker, "IQ_EBITDA_EST", IQ_NTM, B437, , , "USD"), "")</f>
        <v/>
      </c>
      <c r="O437" s="13">
        <f>IFERROR(M437/N437, "")</f>
        <v/>
      </c>
    </row>
    <row r="438">
      <c r="B438" s="8" t="n"/>
      <c r="C438" s="9">
        <f>IFERROR(_xll.ciqfunctions.udf.CIQ(mh_ticker, "IQ_LASTSALEPRICE", B438), "")</f>
        <v/>
      </c>
      <c r="D438" s="10">
        <f>IFERROR(_xll.ciqfunctions.udf.CIQ(mh_ticker, "IQ_SHARESOUTSTANDING_OUT", B438), "")</f>
        <v/>
      </c>
      <c r="E438" s="11">
        <f>IFERROR(_xll.ciqfunctions.udf.CIQ(mh_ticker, "IQ_CASH_EQUIV", , B438), "")</f>
        <v/>
      </c>
      <c r="F438" s="11">
        <f>IFERROR(_xll.ciqfunctions.udf.CIQ(mh_ticker, "IQ_ST_INVEST", , B438), "")</f>
        <v/>
      </c>
      <c r="G438" s="11">
        <f>IFERROR(_xll.ciqfunctions.udf.CIQ(mh_ticker, "IQ_TOTAL_DEBT_EXCL_OPER_LEASES", , B438), "")</f>
        <v/>
      </c>
      <c r="H438" s="11">
        <f>IFERROR(_xll.ciqfunctions.udf.CIQ(mh_ticker, "IQ_PREF_EQUITY", , B438), "")</f>
        <v/>
      </c>
      <c r="I438" s="11">
        <f>IFERROR(_xll.ciqfunctions.udf.CIQ(mh_ticker, "IQ_MINORITY_INTEREST", , B438), "")</f>
        <v/>
      </c>
      <c r="J438" s="11">
        <f>IFERROR(_xll.ciqfunctions.udf.CIQ(mh_ticker, "IQ_EQUITY_METHOD", , B438), "")</f>
        <v/>
      </c>
      <c r="K438" s="11">
        <f>IFERROR(_xll.ciqfunctions.udf.CIQ(mh_ticker, "IQ_LT_Mark_Securities", , B438), "")</f>
        <v/>
      </c>
      <c r="L438" s="12">
        <f>IFERROR(C438*D438, "")</f>
        <v/>
      </c>
      <c r="M438" s="12">
        <f>IFERROR(L438-E438-F438+G438+H438+I438-J438-K438, "")</f>
        <v/>
      </c>
      <c r="N438" s="11">
        <f>IFERROR(_xll.ciqfunctions.udf.CIQ(mh_ticker, "IQ_EBITDA_EST", IQ_NTM, B438, , , "USD"), "")</f>
        <v/>
      </c>
      <c r="O438" s="13">
        <f>IFERROR(M438/N438, "")</f>
        <v/>
      </c>
    </row>
    <row r="439">
      <c r="B439" s="8" t="n"/>
      <c r="C439" s="9">
        <f>IFERROR(_xll.ciqfunctions.udf.CIQ(mh_ticker, "IQ_LASTSALEPRICE", B439), "")</f>
        <v/>
      </c>
      <c r="D439" s="10">
        <f>IFERROR(_xll.ciqfunctions.udf.CIQ(mh_ticker, "IQ_SHARESOUTSTANDING_OUT", B439), "")</f>
        <v/>
      </c>
      <c r="E439" s="11">
        <f>IFERROR(_xll.ciqfunctions.udf.CIQ(mh_ticker, "IQ_CASH_EQUIV", , B439), "")</f>
        <v/>
      </c>
      <c r="F439" s="11">
        <f>IFERROR(_xll.ciqfunctions.udf.CIQ(mh_ticker, "IQ_ST_INVEST", , B439), "")</f>
        <v/>
      </c>
      <c r="G439" s="11">
        <f>IFERROR(_xll.ciqfunctions.udf.CIQ(mh_ticker, "IQ_TOTAL_DEBT_EXCL_OPER_LEASES", , B439), "")</f>
        <v/>
      </c>
      <c r="H439" s="11">
        <f>IFERROR(_xll.ciqfunctions.udf.CIQ(mh_ticker, "IQ_PREF_EQUITY", , B439), "")</f>
        <v/>
      </c>
      <c r="I439" s="11">
        <f>IFERROR(_xll.ciqfunctions.udf.CIQ(mh_ticker, "IQ_MINORITY_INTEREST", , B439), "")</f>
        <v/>
      </c>
      <c r="J439" s="11">
        <f>IFERROR(_xll.ciqfunctions.udf.CIQ(mh_ticker, "IQ_EQUITY_METHOD", , B439), "")</f>
        <v/>
      </c>
      <c r="K439" s="11">
        <f>IFERROR(_xll.ciqfunctions.udf.CIQ(mh_ticker, "IQ_LT_Mark_Securities", , B439), "")</f>
        <v/>
      </c>
      <c r="L439" s="12">
        <f>IFERROR(C439*D439, "")</f>
        <v/>
      </c>
      <c r="M439" s="12">
        <f>IFERROR(L439-E439-F439+G439+H439+I439-J439-K439, "")</f>
        <v/>
      </c>
      <c r="N439" s="11">
        <f>IFERROR(_xll.ciqfunctions.udf.CIQ(mh_ticker, "IQ_EBITDA_EST", IQ_NTM, B439, , , "USD"), "")</f>
        <v/>
      </c>
      <c r="O439" s="13">
        <f>IFERROR(M439/N439, "")</f>
        <v/>
      </c>
    </row>
    <row r="440">
      <c r="B440" s="8" t="n"/>
      <c r="C440" s="9">
        <f>IFERROR(_xll.ciqfunctions.udf.CIQ(mh_ticker, "IQ_LASTSALEPRICE", B440), "")</f>
        <v/>
      </c>
      <c r="D440" s="10">
        <f>IFERROR(_xll.ciqfunctions.udf.CIQ(mh_ticker, "IQ_SHARESOUTSTANDING_OUT", B440), "")</f>
        <v/>
      </c>
      <c r="E440" s="11">
        <f>IFERROR(_xll.ciqfunctions.udf.CIQ(mh_ticker, "IQ_CASH_EQUIV", , B440), "")</f>
        <v/>
      </c>
      <c r="F440" s="11">
        <f>IFERROR(_xll.ciqfunctions.udf.CIQ(mh_ticker, "IQ_ST_INVEST", , B440), "")</f>
        <v/>
      </c>
      <c r="G440" s="11">
        <f>IFERROR(_xll.ciqfunctions.udf.CIQ(mh_ticker, "IQ_TOTAL_DEBT_EXCL_OPER_LEASES", , B440), "")</f>
        <v/>
      </c>
      <c r="H440" s="11">
        <f>IFERROR(_xll.ciqfunctions.udf.CIQ(mh_ticker, "IQ_PREF_EQUITY", , B440), "")</f>
        <v/>
      </c>
      <c r="I440" s="11">
        <f>IFERROR(_xll.ciqfunctions.udf.CIQ(mh_ticker, "IQ_MINORITY_INTEREST", , B440), "")</f>
        <v/>
      </c>
      <c r="J440" s="11">
        <f>IFERROR(_xll.ciqfunctions.udf.CIQ(mh_ticker, "IQ_EQUITY_METHOD", , B440), "")</f>
        <v/>
      </c>
      <c r="K440" s="11">
        <f>IFERROR(_xll.ciqfunctions.udf.CIQ(mh_ticker, "IQ_LT_Mark_Securities", , B440), "")</f>
        <v/>
      </c>
      <c r="L440" s="12">
        <f>IFERROR(C440*D440, "")</f>
        <v/>
      </c>
      <c r="M440" s="12">
        <f>IFERROR(L440-E440-F440+G440+H440+I440-J440-K440, "")</f>
        <v/>
      </c>
      <c r="N440" s="11">
        <f>IFERROR(_xll.ciqfunctions.udf.CIQ(mh_ticker, "IQ_EBITDA_EST", IQ_NTM, B440, , , "USD"), "")</f>
        <v/>
      </c>
      <c r="O440" s="13">
        <f>IFERROR(M440/N440, "")</f>
        <v/>
      </c>
    </row>
    <row r="441">
      <c r="B441" s="8" t="n"/>
      <c r="C441" s="9">
        <f>IFERROR(_xll.ciqfunctions.udf.CIQ(mh_ticker, "IQ_LASTSALEPRICE", B441), "")</f>
        <v/>
      </c>
      <c r="D441" s="10">
        <f>IFERROR(_xll.ciqfunctions.udf.CIQ(mh_ticker, "IQ_SHARESOUTSTANDING_OUT", B441), "")</f>
        <v/>
      </c>
      <c r="E441" s="11">
        <f>IFERROR(_xll.ciqfunctions.udf.CIQ(mh_ticker, "IQ_CASH_EQUIV", , B441), "")</f>
        <v/>
      </c>
      <c r="F441" s="11">
        <f>IFERROR(_xll.ciqfunctions.udf.CIQ(mh_ticker, "IQ_ST_INVEST", , B441), "")</f>
        <v/>
      </c>
      <c r="G441" s="11">
        <f>IFERROR(_xll.ciqfunctions.udf.CIQ(mh_ticker, "IQ_TOTAL_DEBT_EXCL_OPER_LEASES", , B441), "")</f>
        <v/>
      </c>
      <c r="H441" s="11">
        <f>IFERROR(_xll.ciqfunctions.udf.CIQ(mh_ticker, "IQ_PREF_EQUITY", , B441), "")</f>
        <v/>
      </c>
      <c r="I441" s="11">
        <f>IFERROR(_xll.ciqfunctions.udf.CIQ(mh_ticker, "IQ_MINORITY_INTEREST", , B441), "")</f>
        <v/>
      </c>
      <c r="J441" s="11">
        <f>IFERROR(_xll.ciqfunctions.udf.CIQ(mh_ticker, "IQ_EQUITY_METHOD", , B441), "")</f>
        <v/>
      </c>
      <c r="K441" s="11">
        <f>IFERROR(_xll.ciqfunctions.udf.CIQ(mh_ticker, "IQ_LT_Mark_Securities", , B441), "")</f>
        <v/>
      </c>
      <c r="L441" s="12">
        <f>IFERROR(C441*D441, "")</f>
        <v/>
      </c>
      <c r="M441" s="12">
        <f>IFERROR(L441-E441-F441+G441+H441+I441-J441-K441, "")</f>
        <v/>
      </c>
      <c r="N441" s="11">
        <f>IFERROR(_xll.ciqfunctions.udf.CIQ(mh_ticker, "IQ_EBITDA_EST", IQ_NTM, B441, , , "USD"), "")</f>
        <v/>
      </c>
      <c r="O441" s="13">
        <f>IFERROR(M441/N441, "")</f>
        <v/>
      </c>
    </row>
    <row r="442">
      <c r="B442" s="8" t="n"/>
      <c r="C442" s="9">
        <f>IFERROR(_xll.ciqfunctions.udf.CIQ(mh_ticker, "IQ_LASTSALEPRICE", B442), "")</f>
        <v/>
      </c>
      <c r="D442" s="10">
        <f>IFERROR(_xll.ciqfunctions.udf.CIQ(mh_ticker, "IQ_SHARESOUTSTANDING_OUT", B442), "")</f>
        <v/>
      </c>
      <c r="E442" s="11">
        <f>IFERROR(_xll.ciqfunctions.udf.CIQ(mh_ticker, "IQ_CASH_EQUIV", , B442), "")</f>
        <v/>
      </c>
      <c r="F442" s="11">
        <f>IFERROR(_xll.ciqfunctions.udf.CIQ(mh_ticker, "IQ_ST_INVEST", , B442), "")</f>
        <v/>
      </c>
      <c r="G442" s="11">
        <f>IFERROR(_xll.ciqfunctions.udf.CIQ(mh_ticker, "IQ_TOTAL_DEBT_EXCL_OPER_LEASES", , B442), "")</f>
        <v/>
      </c>
      <c r="H442" s="11">
        <f>IFERROR(_xll.ciqfunctions.udf.CIQ(mh_ticker, "IQ_PREF_EQUITY", , B442), "")</f>
        <v/>
      </c>
      <c r="I442" s="11">
        <f>IFERROR(_xll.ciqfunctions.udf.CIQ(mh_ticker, "IQ_MINORITY_INTEREST", , B442), "")</f>
        <v/>
      </c>
      <c r="J442" s="11">
        <f>IFERROR(_xll.ciqfunctions.udf.CIQ(mh_ticker, "IQ_EQUITY_METHOD", , B442), "")</f>
        <v/>
      </c>
      <c r="K442" s="11">
        <f>IFERROR(_xll.ciqfunctions.udf.CIQ(mh_ticker, "IQ_LT_Mark_Securities", , B442), "")</f>
        <v/>
      </c>
      <c r="L442" s="12">
        <f>IFERROR(C442*D442, "")</f>
        <v/>
      </c>
      <c r="M442" s="12">
        <f>IFERROR(L442-E442-F442+G442+H442+I442-J442-K442, "")</f>
        <v/>
      </c>
      <c r="N442" s="11">
        <f>IFERROR(_xll.ciqfunctions.udf.CIQ(mh_ticker, "IQ_EBITDA_EST", IQ_NTM, B442, , , "USD"), "")</f>
        <v/>
      </c>
      <c r="O442" s="13">
        <f>IFERROR(M442/N442, "")</f>
        <v/>
      </c>
    </row>
    <row r="443">
      <c r="B443" s="8" t="n"/>
      <c r="C443" s="9">
        <f>IFERROR(_xll.ciqfunctions.udf.CIQ(mh_ticker, "IQ_LASTSALEPRICE", B443), "")</f>
        <v/>
      </c>
      <c r="D443" s="10">
        <f>IFERROR(_xll.ciqfunctions.udf.CIQ(mh_ticker, "IQ_SHARESOUTSTANDING_OUT", B443), "")</f>
        <v/>
      </c>
      <c r="E443" s="11">
        <f>IFERROR(_xll.ciqfunctions.udf.CIQ(mh_ticker, "IQ_CASH_EQUIV", , B443), "")</f>
        <v/>
      </c>
      <c r="F443" s="11">
        <f>IFERROR(_xll.ciqfunctions.udf.CIQ(mh_ticker, "IQ_ST_INVEST", , B443), "")</f>
        <v/>
      </c>
      <c r="G443" s="11">
        <f>IFERROR(_xll.ciqfunctions.udf.CIQ(mh_ticker, "IQ_TOTAL_DEBT_EXCL_OPER_LEASES", , B443), "")</f>
        <v/>
      </c>
      <c r="H443" s="11">
        <f>IFERROR(_xll.ciqfunctions.udf.CIQ(mh_ticker, "IQ_PREF_EQUITY", , B443), "")</f>
        <v/>
      </c>
      <c r="I443" s="11">
        <f>IFERROR(_xll.ciqfunctions.udf.CIQ(mh_ticker, "IQ_MINORITY_INTEREST", , B443), "")</f>
        <v/>
      </c>
      <c r="J443" s="11">
        <f>IFERROR(_xll.ciqfunctions.udf.CIQ(mh_ticker, "IQ_EQUITY_METHOD", , B443), "")</f>
        <v/>
      </c>
      <c r="K443" s="11">
        <f>IFERROR(_xll.ciqfunctions.udf.CIQ(mh_ticker, "IQ_LT_Mark_Securities", , B443), "")</f>
        <v/>
      </c>
      <c r="L443" s="12">
        <f>IFERROR(C443*D443, "")</f>
        <v/>
      </c>
      <c r="M443" s="12">
        <f>IFERROR(L443-E443-F443+G443+H443+I443-J443-K443, "")</f>
        <v/>
      </c>
      <c r="N443" s="11">
        <f>IFERROR(_xll.ciqfunctions.udf.CIQ(mh_ticker, "IQ_EBITDA_EST", IQ_NTM, B443, , , "USD"), "")</f>
        <v/>
      </c>
      <c r="O443" s="13">
        <f>IFERROR(M443/N443, "")</f>
        <v/>
      </c>
    </row>
    <row r="444">
      <c r="B444" s="8" t="n"/>
      <c r="C444" s="9">
        <f>IFERROR(_xll.ciqfunctions.udf.CIQ(mh_ticker, "IQ_LASTSALEPRICE", B444), "")</f>
        <v/>
      </c>
      <c r="D444" s="10">
        <f>IFERROR(_xll.ciqfunctions.udf.CIQ(mh_ticker, "IQ_SHARESOUTSTANDING_OUT", B444), "")</f>
        <v/>
      </c>
      <c r="E444" s="11">
        <f>IFERROR(_xll.ciqfunctions.udf.CIQ(mh_ticker, "IQ_CASH_EQUIV", , B444), "")</f>
        <v/>
      </c>
      <c r="F444" s="11">
        <f>IFERROR(_xll.ciqfunctions.udf.CIQ(mh_ticker, "IQ_ST_INVEST", , B444), "")</f>
        <v/>
      </c>
      <c r="G444" s="11">
        <f>IFERROR(_xll.ciqfunctions.udf.CIQ(mh_ticker, "IQ_TOTAL_DEBT_EXCL_OPER_LEASES", , B444), "")</f>
        <v/>
      </c>
      <c r="H444" s="11">
        <f>IFERROR(_xll.ciqfunctions.udf.CIQ(mh_ticker, "IQ_PREF_EQUITY", , B444), "")</f>
        <v/>
      </c>
      <c r="I444" s="11">
        <f>IFERROR(_xll.ciqfunctions.udf.CIQ(mh_ticker, "IQ_MINORITY_INTEREST", , B444), "")</f>
        <v/>
      </c>
      <c r="J444" s="11">
        <f>IFERROR(_xll.ciqfunctions.udf.CIQ(mh_ticker, "IQ_EQUITY_METHOD", , B444), "")</f>
        <v/>
      </c>
      <c r="K444" s="11">
        <f>IFERROR(_xll.ciqfunctions.udf.CIQ(mh_ticker, "IQ_LT_Mark_Securities", , B444), "")</f>
        <v/>
      </c>
      <c r="L444" s="12">
        <f>IFERROR(C444*D444, "")</f>
        <v/>
      </c>
      <c r="M444" s="12">
        <f>IFERROR(L444-E444-F444+G444+H444+I444-J444-K444, "")</f>
        <v/>
      </c>
      <c r="N444" s="11">
        <f>IFERROR(_xll.ciqfunctions.udf.CIQ(mh_ticker, "IQ_EBITDA_EST", IQ_NTM, B444, , , "USD"), "")</f>
        <v/>
      </c>
      <c r="O444" s="13">
        <f>IFERROR(M444/N444, "")</f>
        <v/>
      </c>
    </row>
    <row r="445">
      <c r="B445" s="8" t="n"/>
      <c r="C445" s="9">
        <f>IFERROR(_xll.ciqfunctions.udf.CIQ(mh_ticker, "IQ_LASTSALEPRICE", B445), "")</f>
        <v/>
      </c>
      <c r="D445" s="10">
        <f>IFERROR(_xll.ciqfunctions.udf.CIQ(mh_ticker, "IQ_SHARESOUTSTANDING_OUT", B445), "")</f>
        <v/>
      </c>
      <c r="E445" s="11">
        <f>IFERROR(_xll.ciqfunctions.udf.CIQ(mh_ticker, "IQ_CASH_EQUIV", , B445), "")</f>
        <v/>
      </c>
      <c r="F445" s="11">
        <f>IFERROR(_xll.ciqfunctions.udf.CIQ(mh_ticker, "IQ_ST_INVEST", , B445), "")</f>
        <v/>
      </c>
      <c r="G445" s="11">
        <f>IFERROR(_xll.ciqfunctions.udf.CIQ(mh_ticker, "IQ_TOTAL_DEBT_EXCL_OPER_LEASES", , B445), "")</f>
        <v/>
      </c>
      <c r="H445" s="11">
        <f>IFERROR(_xll.ciqfunctions.udf.CIQ(mh_ticker, "IQ_PREF_EQUITY", , B445), "")</f>
        <v/>
      </c>
      <c r="I445" s="11">
        <f>IFERROR(_xll.ciqfunctions.udf.CIQ(mh_ticker, "IQ_MINORITY_INTEREST", , B445), "")</f>
        <v/>
      </c>
      <c r="J445" s="11">
        <f>IFERROR(_xll.ciqfunctions.udf.CIQ(mh_ticker, "IQ_EQUITY_METHOD", , B445), "")</f>
        <v/>
      </c>
      <c r="K445" s="11">
        <f>IFERROR(_xll.ciqfunctions.udf.CIQ(mh_ticker, "IQ_LT_Mark_Securities", , B445), "")</f>
        <v/>
      </c>
      <c r="L445" s="12">
        <f>IFERROR(C445*D445, "")</f>
        <v/>
      </c>
      <c r="M445" s="12">
        <f>IFERROR(L445-E445-F445+G445+H445+I445-J445-K445, "")</f>
        <v/>
      </c>
      <c r="N445" s="11">
        <f>IFERROR(_xll.ciqfunctions.udf.CIQ(mh_ticker, "IQ_EBITDA_EST", IQ_NTM, B445, , , "USD"), "")</f>
        <v/>
      </c>
      <c r="O445" s="13">
        <f>IFERROR(M445/N445, "")</f>
        <v/>
      </c>
    </row>
    <row r="446">
      <c r="B446" s="8" t="n"/>
      <c r="C446" s="9">
        <f>IFERROR(_xll.ciqfunctions.udf.CIQ(mh_ticker, "IQ_LASTSALEPRICE", B446), "")</f>
        <v/>
      </c>
      <c r="D446" s="10">
        <f>IFERROR(_xll.ciqfunctions.udf.CIQ(mh_ticker, "IQ_SHARESOUTSTANDING_OUT", B446), "")</f>
        <v/>
      </c>
      <c r="E446" s="11">
        <f>IFERROR(_xll.ciqfunctions.udf.CIQ(mh_ticker, "IQ_CASH_EQUIV", , B446), "")</f>
        <v/>
      </c>
      <c r="F446" s="11">
        <f>IFERROR(_xll.ciqfunctions.udf.CIQ(mh_ticker, "IQ_ST_INVEST", , B446), "")</f>
        <v/>
      </c>
      <c r="G446" s="11">
        <f>IFERROR(_xll.ciqfunctions.udf.CIQ(mh_ticker, "IQ_TOTAL_DEBT_EXCL_OPER_LEASES", , B446), "")</f>
        <v/>
      </c>
      <c r="H446" s="11">
        <f>IFERROR(_xll.ciqfunctions.udf.CIQ(mh_ticker, "IQ_PREF_EQUITY", , B446), "")</f>
        <v/>
      </c>
      <c r="I446" s="11">
        <f>IFERROR(_xll.ciqfunctions.udf.CIQ(mh_ticker, "IQ_MINORITY_INTEREST", , B446), "")</f>
        <v/>
      </c>
      <c r="J446" s="11">
        <f>IFERROR(_xll.ciqfunctions.udf.CIQ(mh_ticker, "IQ_EQUITY_METHOD", , B446), "")</f>
        <v/>
      </c>
      <c r="K446" s="11">
        <f>IFERROR(_xll.ciqfunctions.udf.CIQ(mh_ticker, "IQ_LT_Mark_Securities", , B446), "")</f>
        <v/>
      </c>
      <c r="L446" s="12">
        <f>IFERROR(C446*D446, "")</f>
        <v/>
      </c>
      <c r="M446" s="12">
        <f>IFERROR(L446-E446-F446+G446+H446+I446-J446-K446, "")</f>
        <v/>
      </c>
      <c r="N446" s="11">
        <f>IFERROR(_xll.ciqfunctions.udf.CIQ(mh_ticker, "IQ_EBITDA_EST", IQ_NTM, B446, , , "USD"), "")</f>
        <v/>
      </c>
      <c r="O446" s="13">
        <f>IFERROR(M446/N446, "")</f>
        <v/>
      </c>
    </row>
    <row r="447">
      <c r="B447" s="8" t="n"/>
      <c r="C447" s="9">
        <f>IFERROR(_xll.ciqfunctions.udf.CIQ(mh_ticker, "IQ_LASTSALEPRICE", B447), "")</f>
        <v/>
      </c>
      <c r="D447" s="10">
        <f>IFERROR(_xll.ciqfunctions.udf.CIQ(mh_ticker, "IQ_SHARESOUTSTANDING_OUT", B447), "")</f>
        <v/>
      </c>
      <c r="E447" s="11">
        <f>IFERROR(_xll.ciqfunctions.udf.CIQ(mh_ticker, "IQ_CASH_EQUIV", , B447), "")</f>
        <v/>
      </c>
      <c r="F447" s="11">
        <f>IFERROR(_xll.ciqfunctions.udf.CIQ(mh_ticker, "IQ_ST_INVEST", , B447), "")</f>
        <v/>
      </c>
      <c r="G447" s="11">
        <f>IFERROR(_xll.ciqfunctions.udf.CIQ(mh_ticker, "IQ_TOTAL_DEBT_EXCL_OPER_LEASES", , B447), "")</f>
        <v/>
      </c>
      <c r="H447" s="11">
        <f>IFERROR(_xll.ciqfunctions.udf.CIQ(mh_ticker, "IQ_PREF_EQUITY", , B447), "")</f>
        <v/>
      </c>
      <c r="I447" s="11">
        <f>IFERROR(_xll.ciqfunctions.udf.CIQ(mh_ticker, "IQ_MINORITY_INTEREST", , B447), "")</f>
        <v/>
      </c>
      <c r="J447" s="11">
        <f>IFERROR(_xll.ciqfunctions.udf.CIQ(mh_ticker, "IQ_EQUITY_METHOD", , B447), "")</f>
        <v/>
      </c>
      <c r="K447" s="11">
        <f>IFERROR(_xll.ciqfunctions.udf.CIQ(mh_ticker, "IQ_LT_Mark_Securities", , B447), "")</f>
        <v/>
      </c>
      <c r="L447" s="12">
        <f>IFERROR(C447*D447, "")</f>
        <v/>
      </c>
      <c r="M447" s="12">
        <f>IFERROR(L447-E447-F447+G447+H447+I447-J447-K447, "")</f>
        <v/>
      </c>
      <c r="N447" s="11">
        <f>IFERROR(_xll.ciqfunctions.udf.CIQ(mh_ticker, "IQ_EBITDA_EST", IQ_NTM, B447, , , "USD"), "")</f>
        <v/>
      </c>
      <c r="O447" s="13">
        <f>IFERROR(M447/N447, "")</f>
        <v/>
      </c>
    </row>
    <row r="448">
      <c r="B448" s="8" t="n"/>
      <c r="C448" s="9">
        <f>IFERROR(_xll.ciqfunctions.udf.CIQ(mh_ticker, "IQ_LASTSALEPRICE", B448), "")</f>
        <v/>
      </c>
      <c r="D448" s="10">
        <f>IFERROR(_xll.ciqfunctions.udf.CIQ(mh_ticker, "IQ_SHARESOUTSTANDING_OUT", B448), "")</f>
        <v/>
      </c>
      <c r="E448" s="11">
        <f>IFERROR(_xll.ciqfunctions.udf.CIQ(mh_ticker, "IQ_CASH_EQUIV", , B448), "")</f>
        <v/>
      </c>
      <c r="F448" s="11">
        <f>IFERROR(_xll.ciqfunctions.udf.CIQ(mh_ticker, "IQ_ST_INVEST", , B448), "")</f>
        <v/>
      </c>
      <c r="G448" s="11">
        <f>IFERROR(_xll.ciqfunctions.udf.CIQ(mh_ticker, "IQ_TOTAL_DEBT_EXCL_OPER_LEASES", , B448), "")</f>
        <v/>
      </c>
      <c r="H448" s="11">
        <f>IFERROR(_xll.ciqfunctions.udf.CIQ(mh_ticker, "IQ_PREF_EQUITY", , B448), "")</f>
        <v/>
      </c>
      <c r="I448" s="11">
        <f>IFERROR(_xll.ciqfunctions.udf.CIQ(mh_ticker, "IQ_MINORITY_INTEREST", , B448), "")</f>
        <v/>
      </c>
      <c r="J448" s="11">
        <f>IFERROR(_xll.ciqfunctions.udf.CIQ(mh_ticker, "IQ_EQUITY_METHOD", , B448), "")</f>
        <v/>
      </c>
      <c r="K448" s="11">
        <f>IFERROR(_xll.ciqfunctions.udf.CIQ(mh_ticker, "IQ_LT_Mark_Securities", , B448), "")</f>
        <v/>
      </c>
      <c r="L448" s="12">
        <f>IFERROR(C448*D448, "")</f>
        <v/>
      </c>
      <c r="M448" s="12">
        <f>IFERROR(L448-E448-F448+G448+H448+I448-J448-K448, "")</f>
        <v/>
      </c>
      <c r="N448" s="11">
        <f>IFERROR(_xll.ciqfunctions.udf.CIQ(mh_ticker, "IQ_EBITDA_EST", IQ_NTM, B448, , , "USD"), "")</f>
        <v/>
      </c>
      <c r="O448" s="13">
        <f>IFERROR(M448/N448, "")</f>
        <v/>
      </c>
    </row>
    <row r="449">
      <c r="B449" s="8" t="n"/>
      <c r="C449" s="9">
        <f>IFERROR(_xll.ciqfunctions.udf.CIQ(mh_ticker, "IQ_LASTSALEPRICE", B449), "")</f>
        <v/>
      </c>
      <c r="D449" s="10">
        <f>IFERROR(_xll.ciqfunctions.udf.CIQ(mh_ticker, "IQ_SHARESOUTSTANDING_OUT", B449), "")</f>
        <v/>
      </c>
      <c r="E449" s="11">
        <f>IFERROR(_xll.ciqfunctions.udf.CIQ(mh_ticker, "IQ_CASH_EQUIV", , B449), "")</f>
        <v/>
      </c>
      <c r="F449" s="11">
        <f>IFERROR(_xll.ciqfunctions.udf.CIQ(mh_ticker, "IQ_ST_INVEST", , B449), "")</f>
        <v/>
      </c>
      <c r="G449" s="11">
        <f>IFERROR(_xll.ciqfunctions.udf.CIQ(mh_ticker, "IQ_TOTAL_DEBT_EXCL_OPER_LEASES", , B449), "")</f>
        <v/>
      </c>
      <c r="H449" s="11">
        <f>IFERROR(_xll.ciqfunctions.udf.CIQ(mh_ticker, "IQ_PREF_EQUITY", , B449), "")</f>
        <v/>
      </c>
      <c r="I449" s="11">
        <f>IFERROR(_xll.ciqfunctions.udf.CIQ(mh_ticker, "IQ_MINORITY_INTEREST", , B449), "")</f>
        <v/>
      </c>
      <c r="J449" s="11">
        <f>IFERROR(_xll.ciqfunctions.udf.CIQ(mh_ticker, "IQ_EQUITY_METHOD", , B449), "")</f>
        <v/>
      </c>
      <c r="K449" s="11">
        <f>IFERROR(_xll.ciqfunctions.udf.CIQ(mh_ticker, "IQ_LT_Mark_Securities", , B449), "")</f>
        <v/>
      </c>
      <c r="L449" s="12">
        <f>IFERROR(C449*D449, "")</f>
        <v/>
      </c>
      <c r="M449" s="12">
        <f>IFERROR(L449-E449-F449+G449+H449+I449-J449-K449, "")</f>
        <v/>
      </c>
      <c r="N449" s="11">
        <f>IFERROR(_xll.ciqfunctions.udf.CIQ(mh_ticker, "IQ_EBITDA_EST", IQ_NTM, B449, , , "USD"), "")</f>
        <v/>
      </c>
      <c r="O449" s="13">
        <f>IFERROR(M449/N449, "")</f>
        <v/>
      </c>
    </row>
    <row r="450">
      <c r="B450" s="8" t="n"/>
      <c r="C450" s="9">
        <f>IFERROR(_xll.ciqfunctions.udf.CIQ(mh_ticker, "IQ_LASTSALEPRICE", B450), "")</f>
        <v/>
      </c>
      <c r="D450" s="10">
        <f>IFERROR(_xll.ciqfunctions.udf.CIQ(mh_ticker, "IQ_SHARESOUTSTANDING_OUT", B450), "")</f>
        <v/>
      </c>
      <c r="E450" s="11">
        <f>IFERROR(_xll.ciqfunctions.udf.CIQ(mh_ticker, "IQ_CASH_EQUIV", , B450), "")</f>
        <v/>
      </c>
      <c r="F450" s="11">
        <f>IFERROR(_xll.ciqfunctions.udf.CIQ(mh_ticker, "IQ_ST_INVEST", , B450), "")</f>
        <v/>
      </c>
      <c r="G450" s="11">
        <f>IFERROR(_xll.ciqfunctions.udf.CIQ(mh_ticker, "IQ_TOTAL_DEBT_EXCL_OPER_LEASES", , B450), "")</f>
        <v/>
      </c>
      <c r="H450" s="11">
        <f>IFERROR(_xll.ciqfunctions.udf.CIQ(mh_ticker, "IQ_PREF_EQUITY", , B450), "")</f>
        <v/>
      </c>
      <c r="I450" s="11">
        <f>IFERROR(_xll.ciqfunctions.udf.CIQ(mh_ticker, "IQ_MINORITY_INTEREST", , B450), "")</f>
        <v/>
      </c>
      <c r="J450" s="11">
        <f>IFERROR(_xll.ciqfunctions.udf.CIQ(mh_ticker, "IQ_EQUITY_METHOD", , B450), "")</f>
        <v/>
      </c>
      <c r="K450" s="11">
        <f>IFERROR(_xll.ciqfunctions.udf.CIQ(mh_ticker, "IQ_LT_Mark_Securities", , B450), "")</f>
        <v/>
      </c>
      <c r="L450" s="12">
        <f>IFERROR(C450*D450, "")</f>
        <v/>
      </c>
      <c r="M450" s="12">
        <f>IFERROR(L450-E450-F450+G450+H450+I450-J450-K450, "")</f>
        <v/>
      </c>
      <c r="N450" s="11">
        <f>IFERROR(_xll.ciqfunctions.udf.CIQ(mh_ticker, "IQ_EBITDA_EST", IQ_NTM, B450, , , "USD"), "")</f>
        <v/>
      </c>
      <c r="O450" s="13">
        <f>IFERROR(M450/N450, "")</f>
        <v/>
      </c>
    </row>
    <row r="451">
      <c r="B451" s="8" t="n"/>
      <c r="C451" s="9">
        <f>IFERROR(_xll.ciqfunctions.udf.CIQ(mh_ticker, "IQ_LASTSALEPRICE", B451), "")</f>
        <v/>
      </c>
      <c r="D451" s="10">
        <f>IFERROR(_xll.ciqfunctions.udf.CIQ(mh_ticker, "IQ_SHARESOUTSTANDING_OUT", B451), "")</f>
        <v/>
      </c>
      <c r="E451" s="11">
        <f>IFERROR(_xll.ciqfunctions.udf.CIQ(mh_ticker, "IQ_CASH_EQUIV", , B451), "")</f>
        <v/>
      </c>
      <c r="F451" s="11">
        <f>IFERROR(_xll.ciqfunctions.udf.CIQ(mh_ticker, "IQ_ST_INVEST", , B451), "")</f>
        <v/>
      </c>
      <c r="G451" s="11">
        <f>IFERROR(_xll.ciqfunctions.udf.CIQ(mh_ticker, "IQ_TOTAL_DEBT_EXCL_OPER_LEASES", , B451), "")</f>
        <v/>
      </c>
      <c r="H451" s="11">
        <f>IFERROR(_xll.ciqfunctions.udf.CIQ(mh_ticker, "IQ_PREF_EQUITY", , B451), "")</f>
        <v/>
      </c>
      <c r="I451" s="11">
        <f>IFERROR(_xll.ciqfunctions.udf.CIQ(mh_ticker, "IQ_MINORITY_INTEREST", , B451), "")</f>
        <v/>
      </c>
      <c r="J451" s="11">
        <f>IFERROR(_xll.ciqfunctions.udf.CIQ(mh_ticker, "IQ_EQUITY_METHOD", , B451), "")</f>
        <v/>
      </c>
      <c r="K451" s="11">
        <f>IFERROR(_xll.ciqfunctions.udf.CIQ(mh_ticker, "IQ_LT_Mark_Securities", , B451), "")</f>
        <v/>
      </c>
      <c r="L451" s="12">
        <f>IFERROR(C451*D451, "")</f>
        <v/>
      </c>
      <c r="M451" s="12">
        <f>IFERROR(L451-E451-F451+G451+H451+I451-J451-K451, "")</f>
        <v/>
      </c>
      <c r="N451" s="11">
        <f>IFERROR(_xll.ciqfunctions.udf.CIQ(mh_ticker, "IQ_EBITDA_EST", IQ_NTM, B451, , , "USD"), "")</f>
        <v/>
      </c>
      <c r="O451" s="13">
        <f>IFERROR(M451/N451, "")</f>
        <v/>
      </c>
    </row>
    <row r="452">
      <c r="B452" s="8" t="n"/>
      <c r="C452" s="9">
        <f>IFERROR(_xll.ciqfunctions.udf.CIQ(mh_ticker, "IQ_LASTSALEPRICE", B452), "")</f>
        <v/>
      </c>
      <c r="D452" s="10">
        <f>IFERROR(_xll.ciqfunctions.udf.CIQ(mh_ticker, "IQ_SHARESOUTSTANDING_OUT", B452), "")</f>
        <v/>
      </c>
      <c r="E452" s="11">
        <f>IFERROR(_xll.ciqfunctions.udf.CIQ(mh_ticker, "IQ_CASH_EQUIV", , B452), "")</f>
        <v/>
      </c>
      <c r="F452" s="11">
        <f>IFERROR(_xll.ciqfunctions.udf.CIQ(mh_ticker, "IQ_ST_INVEST", , B452), "")</f>
        <v/>
      </c>
      <c r="G452" s="11">
        <f>IFERROR(_xll.ciqfunctions.udf.CIQ(mh_ticker, "IQ_TOTAL_DEBT_EXCL_OPER_LEASES", , B452), "")</f>
        <v/>
      </c>
      <c r="H452" s="11">
        <f>IFERROR(_xll.ciqfunctions.udf.CIQ(mh_ticker, "IQ_PREF_EQUITY", , B452), "")</f>
        <v/>
      </c>
      <c r="I452" s="11">
        <f>IFERROR(_xll.ciqfunctions.udf.CIQ(mh_ticker, "IQ_MINORITY_INTEREST", , B452), "")</f>
        <v/>
      </c>
      <c r="J452" s="11">
        <f>IFERROR(_xll.ciqfunctions.udf.CIQ(mh_ticker, "IQ_EQUITY_METHOD", , B452), "")</f>
        <v/>
      </c>
      <c r="K452" s="11">
        <f>IFERROR(_xll.ciqfunctions.udf.CIQ(mh_ticker, "IQ_LT_Mark_Securities", , B452), "")</f>
        <v/>
      </c>
      <c r="L452" s="12">
        <f>IFERROR(C452*D452, "")</f>
        <v/>
      </c>
      <c r="M452" s="12">
        <f>IFERROR(L452-E452-F452+G452+H452+I452-J452-K452, "")</f>
        <v/>
      </c>
      <c r="N452" s="11">
        <f>IFERROR(_xll.ciqfunctions.udf.CIQ(mh_ticker, "IQ_EBITDA_EST", IQ_NTM, B452, , , "USD"), "")</f>
        <v/>
      </c>
      <c r="O452" s="13">
        <f>IFERROR(M452/N452, "")</f>
        <v/>
      </c>
    </row>
    <row r="453">
      <c r="B453" s="8" t="n"/>
      <c r="C453" s="9">
        <f>IFERROR(_xll.ciqfunctions.udf.CIQ(mh_ticker, "IQ_LASTSALEPRICE", B453), "")</f>
        <v/>
      </c>
      <c r="D453" s="10">
        <f>IFERROR(_xll.ciqfunctions.udf.CIQ(mh_ticker, "IQ_SHARESOUTSTANDING_OUT", B453), "")</f>
        <v/>
      </c>
      <c r="E453" s="11">
        <f>IFERROR(_xll.ciqfunctions.udf.CIQ(mh_ticker, "IQ_CASH_EQUIV", , B453), "")</f>
        <v/>
      </c>
      <c r="F453" s="11">
        <f>IFERROR(_xll.ciqfunctions.udf.CIQ(mh_ticker, "IQ_ST_INVEST", , B453), "")</f>
        <v/>
      </c>
      <c r="G453" s="11">
        <f>IFERROR(_xll.ciqfunctions.udf.CIQ(mh_ticker, "IQ_TOTAL_DEBT_EXCL_OPER_LEASES", , B453), "")</f>
        <v/>
      </c>
      <c r="H453" s="11">
        <f>IFERROR(_xll.ciqfunctions.udf.CIQ(mh_ticker, "IQ_PREF_EQUITY", , B453), "")</f>
        <v/>
      </c>
      <c r="I453" s="11">
        <f>IFERROR(_xll.ciqfunctions.udf.CIQ(mh_ticker, "IQ_MINORITY_INTEREST", , B453), "")</f>
        <v/>
      </c>
      <c r="J453" s="11">
        <f>IFERROR(_xll.ciqfunctions.udf.CIQ(mh_ticker, "IQ_EQUITY_METHOD", , B453), "")</f>
        <v/>
      </c>
      <c r="K453" s="11">
        <f>IFERROR(_xll.ciqfunctions.udf.CIQ(mh_ticker, "IQ_LT_Mark_Securities", , B453), "")</f>
        <v/>
      </c>
      <c r="L453" s="12">
        <f>IFERROR(C453*D453, "")</f>
        <v/>
      </c>
      <c r="M453" s="12">
        <f>IFERROR(L453-E453-F453+G453+H453+I453-J453-K453, "")</f>
        <v/>
      </c>
      <c r="N453" s="11">
        <f>IFERROR(_xll.ciqfunctions.udf.CIQ(mh_ticker, "IQ_EBITDA_EST", IQ_NTM, B453, , , "USD"), "")</f>
        <v/>
      </c>
      <c r="O453" s="13">
        <f>IFERROR(M453/N453, "")</f>
        <v/>
      </c>
    </row>
    <row r="454">
      <c r="B454" s="8" t="n"/>
      <c r="C454" s="9">
        <f>IFERROR(_xll.ciqfunctions.udf.CIQ(mh_ticker, "IQ_LASTSALEPRICE", B454), "")</f>
        <v/>
      </c>
      <c r="D454" s="10">
        <f>IFERROR(_xll.ciqfunctions.udf.CIQ(mh_ticker, "IQ_SHARESOUTSTANDING_OUT", B454), "")</f>
        <v/>
      </c>
      <c r="E454" s="11">
        <f>IFERROR(_xll.ciqfunctions.udf.CIQ(mh_ticker, "IQ_CASH_EQUIV", , B454), "")</f>
        <v/>
      </c>
      <c r="F454" s="11">
        <f>IFERROR(_xll.ciqfunctions.udf.CIQ(mh_ticker, "IQ_ST_INVEST", , B454), "")</f>
        <v/>
      </c>
      <c r="G454" s="11">
        <f>IFERROR(_xll.ciqfunctions.udf.CIQ(mh_ticker, "IQ_TOTAL_DEBT_EXCL_OPER_LEASES", , B454), "")</f>
        <v/>
      </c>
      <c r="H454" s="11">
        <f>IFERROR(_xll.ciqfunctions.udf.CIQ(mh_ticker, "IQ_PREF_EQUITY", , B454), "")</f>
        <v/>
      </c>
      <c r="I454" s="11">
        <f>IFERROR(_xll.ciqfunctions.udf.CIQ(mh_ticker, "IQ_MINORITY_INTEREST", , B454), "")</f>
        <v/>
      </c>
      <c r="J454" s="11">
        <f>IFERROR(_xll.ciqfunctions.udf.CIQ(mh_ticker, "IQ_EQUITY_METHOD", , B454), "")</f>
        <v/>
      </c>
      <c r="K454" s="11">
        <f>IFERROR(_xll.ciqfunctions.udf.CIQ(mh_ticker, "IQ_LT_Mark_Securities", , B454), "")</f>
        <v/>
      </c>
      <c r="L454" s="12">
        <f>IFERROR(C454*D454, "")</f>
        <v/>
      </c>
      <c r="M454" s="12">
        <f>IFERROR(L454-E454-F454+G454+H454+I454-J454-K454, "")</f>
        <v/>
      </c>
      <c r="N454" s="11">
        <f>IFERROR(_xll.ciqfunctions.udf.CIQ(mh_ticker, "IQ_EBITDA_EST", IQ_NTM, B454, , , "USD"), "")</f>
        <v/>
      </c>
      <c r="O454" s="13">
        <f>IFERROR(M454/N454, "")</f>
        <v/>
      </c>
    </row>
    <row r="455">
      <c r="B455" s="8" t="n"/>
      <c r="C455" s="9">
        <f>IFERROR(_xll.ciqfunctions.udf.CIQ(mh_ticker, "IQ_LASTSALEPRICE", B455), "")</f>
        <v/>
      </c>
      <c r="D455" s="10">
        <f>IFERROR(_xll.ciqfunctions.udf.CIQ(mh_ticker, "IQ_SHARESOUTSTANDING_OUT", B455), "")</f>
        <v/>
      </c>
      <c r="E455" s="11">
        <f>IFERROR(_xll.ciqfunctions.udf.CIQ(mh_ticker, "IQ_CASH_EQUIV", , B455), "")</f>
        <v/>
      </c>
      <c r="F455" s="11">
        <f>IFERROR(_xll.ciqfunctions.udf.CIQ(mh_ticker, "IQ_ST_INVEST", , B455), "")</f>
        <v/>
      </c>
      <c r="G455" s="11">
        <f>IFERROR(_xll.ciqfunctions.udf.CIQ(mh_ticker, "IQ_TOTAL_DEBT_EXCL_OPER_LEASES", , B455), "")</f>
        <v/>
      </c>
      <c r="H455" s="11">
        <f>IFERROR(_xll.ciqfunctions.udf.CIQ(mh_ticker, "IQ_PREF_EQUITY", , B455), "")</f>
        <v/>
      </c>
      <c r="I455" s="11">
        <f>IFERROR(_xll.ciqfunctions.udf.CIQ(mh_ticker, "IQ_MINORITY_INTEREST", , B455), "")</f>
        <v/>
      </c>
      <c r="J455" s="11">
        <f>IFERROR(_xll.ciqfunctions.udf.CIQ(mh_ticker, "IQ_EQUITY_METHOD", , B455), "")</f>
        <v/>
      </c>
      <c r="K455" s="11">
        <f>IFERROR(_xll.ciqfunctions.udf.CIQ(mh_ticker, "IQ_LT_Mark_Securities", , B455), "")</f>
        <v/>
      </c>
      <c r="L455" s="12">
        <f>IFERROR(C455*D455, "")</f>
        <v/>
      </c>
      <c r="M455" s="12">
        <f>IFERROR(L455-E455-F455+G455+H455+I455-J455-K455, "")</f>
        <v/>
      </c>
      <c r="N455" s="11">
        <f>IFERROR(_xll.ciqfunctions.udf.CIQ(mh_ticker, "IQ_EBITDA_EST", IQ_NTM, B455, , , "USD"), "")</f>
        <v/>
      </c>
      <c r="O455" s="13">
        <f>IFERROR(M455/N455, "")</f>
        <v/>
      </c>
    </row>
    <row r="456">
      <c r="B456" s="8" t="n"/>
      <c r="C456" s="9">
        <f>IFERROR(_xll.ciqfunctions.udf.CIQ(mh_ticker, "IQ_LASTSALEPRICE", B456), "")</f>
        <v/>
      </c>
      <c r="D456" s="10">
        <f>IFERROR(_xll.ciqfunctions.udf.CIQ(mh_ticker, "IQ_SHARESOUTSTANDING_OUT", B456), "")</f>
        <v/>
      </c>
      <c r="E456" s="11">
        <f>IFERROR(_xll.ciqfunctions.udf.CIQ(mh_ticker, "IQ_CASH_EQUIV", , B456), "")</f>
        <v/>
      </c>
      <c r="F456" s="11">
        <f>IFERROR(_xll.ciqfunctions.udf.CIQ(mh_ticker, "IQ_ST_INVEST", , B456), "")</f>
        <v/>
      </c>
      <c r="G456" s="11">
        <f>IFERROR(_xll.ciqfunctions.udf.CIQ(mh_ticker, "IQ_TOTAL_DEBT_EXCL_OPER_LEASES", , B456), "")</f>
        <v/>
      </c>
      <c r="H456" s="11">
        <f>IFERROR(_xll.ciqfunctions.udf.CIQ(mh_ticker, "IQ_PREF_EQUITY", , B456), "")</f>
        <v/>
      </c>
      <c r="I456" s="11">
        <f>IFERROR(_xll.ciqfunctions.udf.CIQ(mh_ticker, "IQ_MINORITY_INTEREST", , B456), "")</f>
        <v/>
      </c>
      <c r="J456" s="11">
        <f>IFERROR(_xll.ciqfunctions.udf.CIQ(mh_ticker, "IQ_EQUITY_METHOD", , B456), "")</f>
        <v/>
      </c>
      <c r="K456" s="11">
        <f>IFERROR(_xll.ciqfunctions.udf.CIQ(mh_ticker, "IQ_LT_Mark_Securities", , B456), "")</f>
        <v/>
      </c>
      <c r="L456" s="12">
        <f>IFERROR(C456*D456, "")</f>
        <v/>
      </c>
      <c r="M456" s="12">
        <f>IFERROR(L456-E456-F456+G456+H456+I456-J456-K456, "")</f>
        <v/>
      </c>
      <c r="N456" s="11">
        <f>IFERROR(_xll.ciqfunctions.udf.CIQ(mh_ticker, "IQ_EBITDA_EST", IQ_NTM, B456, , , "USD"), "")</f>
        <v/>
      </c>
      <c r="O456" s="13">
        <f>IFERROR(M456/N456, "")</f>
        <v/>
      </c>
    </row>
    <row r="457">
      <c r="B457" s="8" t="n"/>
      <c r="C457" s="9">
        <f>IFERROR(_xll.ciqfunctions.udf.CIQ(mh_ticker, "IQ_LASTSALEPRICE", B457), "")</f>
        <v/>
      </c>
      <c r="D457" s="10">
        <f>IFERROR(_xll.ciqfunctions.udf.CIQ(mh_ticker, "IQ_SHARESOUTSTANDING_OUT", B457), "")</f>
        <v/>
      </c>
      <c r="E457" s="11">
        <f>IFERROR(_xll.ciqfunctions.udf.CIQ(mh_ticker, "IQ_CASH_EQUIV", , B457), "")</f>
        <v/>
      </c>
      <c r="F457" s="11">
        <f>IFERROR(_xll.ciqfunctions.udf.CIQ(mh_ticker, "IQ_ST_INVEST", , B457), "")</f>
        <v/>
      </c>
      <c r="G457" s="11">
        <f>IFERROR(_xll.ciqfunctions.udf.CIQ(mh_ticker, "IQ_TOTAL_DEBT_EXCL_OPER_LEASES", , B457), "")</f>
        <v/>
      </c>
      <c r="H457" s="11">
        <f>IFERROR(_xll.ciqfunctions.udf.CIQ(mh_ticker, "IQ_PREF_EQUITY", , B457), "")</f>
        <v/>
      </c>
      <c r="I457" s="11">
        <f>IFERROR(_xll.ciqfunctions.udf.CIQ(mh_ticker, "IQ_MINORITY_INTEREST", , B457), "")</f>
        <v/>
      </c>
      <c r="J457" s="11">
        <f>IFERROR(_xll.ciqfunctions.udf.CIQ(mh_ticker, "IQ_EQUITY_METHOD", , B457), "")</f>
        <v/>
      </c>
      <c r="K457" s="11">
        <f>IFERROR(_xll.ciqfunctions.udf.CIQ(mh_ticker, "IQ_LT_Mark_Securities", , B457), "")</f>
        <v/>
      </c>
      <c r="L457" s="12">
        <f>IFERROR(C457*D457, "")</f>
        <v/>
      </c>
      <c r="M457" s="12">
        <f>IFERROR(L457-E457-F457+G457+H457+I457-J457-K457, "")</f>
        <v/>
      </c>
      <c r="N457" s="11">
        <f>IFERROR(_xll.ciqfunctions.udf.CIQ(mh_ticker, "IQ_EBITDA_EST", IQ_NTM, B457, , , "USD"), "")</f>
        <v/>
      </c>
      <c r="O457" s="13">
        <f>IFERROR(M457/N457, "")</f>
        <v/>
      </c>
    </row>
    <row r="458">
      <c r="B458" s="8" t="n"/>
      <c r="C458" s="9">
        <f>IFERROR(_xll.ciqfunctions.udf.CIQ(mh_ticker, "IQ_LASTSALEPRICE", B458), "")</f>
        <v/>
      </c>
      <c r="D458" s="10">
        <f>IFERROR(_xll.ciqfunctions.udf.CIQ(mh_ticker, "IQ_SHARESOUTSTANDING_OUT", B458), "")</f>
        <v/>
      </c>
      <c r="E458" s="11">
        <f>IFERROR(_xll.ciqfunctions.udf.CIQ(mh_ticker, "IQ_CASH_EQUIV", , B458), "")</f>
        <v/>
      </c>
      <c r="F458" s="11">
        <f>IFERROR(_xll.ciqfunctions.udf.CIQ(mh_ticker, "IQ_ST_INVEST", , B458), "")</f>
        <v/>
      </c>
      <c r="G458" s="11">
        <f>IFERROR(_xll.ciqfunctions.udf.CIQ(mh_ticker, "IQ_TOTAL_DEBT_EXCL_OPER_LEASES", , B458), "")</f>
        <v/>
      </c>
      <c r="H458" s="11">
        <f>IFERROR(_xll.ciqfunctions.udf.CIQ(mh_ticker, "IQ_PREF_EQUITY", , B458), "")</f>
        <v/>
      </c>
      <c r="I458" s="11">
        <f>IFERROR(_xll.ciqfunctions.udf.CIQ(mh_ticker, "IQ_MINORITY_INTEREST", , B458), "")</f>
        <v/>
      </c>
      <c r="J458" s="11">
        <f>IFERROR(_xll.ciqfunctions.udf.CIQ(mh_ticker, "IQ_EQUITY_METHOD", , B458), "")</f>
        <v/>
      </c>
      <c r="K458" s="11">
        <f>IFERROR(_xll.ciqfunctions.udf.CIQ(mh_ticker, "IQ_LT_Mark_Securities", , B458), "")</f>
        <v/>
      </c>
      <c r="L458" s="12">
        <f>IFERROR(C458*D458, "")</f>
        <v/>
      </c>
      <c r="M458" s="12">
        <f>IFERROR(L458-E458-F458+G458+H458+I458-J458-K458, "")</f>
        <v/>
      </c>
      <c r="N458" s="11">
        <f>IFERROR(_xll.ciqfunctions.udf.CIQ(mh_ticker, "IQ_EBITDA_EST", IQ_NTM, B458, , , "USD"), "")</f>
        <v/>
      </c>
      <c r="O458" s="13">
        <f>IFERROR(M458/N458, "")</f>
        <v/>
      </c>
    </row>
    <row r="459">
      <c r="B459" s="8" t="n"/>
      <c r="C459" s="9">
        <f>IFERROR(_xll.ciqfunctions.udf.CIQ(mh_ticker, "IQ_LASTSALEPRICE", B459), "")</f>
        <v/>
      </c>
      <c r="D459" s="10">
        <f>IFERROR(_xll.ciqfunctions.udf.CIQ(mh_ticker, "IQ_SHARESOUTSTANDING_OUT", B459), "")</f>
        <v/>
      </c>
      <c r="E459" s="11">
        <f>IFERROR(_xll.ciqfunctions.udf.CIQ(mh_ticker, "IQ_CASH_EQUIV", , B459), "")</f>
        <v/>
      </c>
      <c r="F459" s="11">
        <f>IFERROR(_xll.ciqfunctions.udf.CIQ(mh_ticker, "IQ_ST_INVEST", , B459), "")</f>
        <v/>
      </c>
      <c r="G459" s="11">
        <f>IFERROR(_xll.ciqfunctions.udf.CIQ(mh_ticker, "IQ_TOTAL_DEBT_EXCL_OPER_LEASES", , B459), "")</f>
        <v/>
      </c>
      <c r="H459" s="11">
        <f>IFERROR(_xll.ciqfunctions.udf.CIQ(mh_ticker, "IQ_PREF_EQUITY", , B459), "")</f>
        <v/>
      </c>
      <c r="I459" s="11">
        <f>IFERROR(_xll.ciqfunctions.udf.CIQ(mh_ticker, "IQ_MINORITY_INTEREST", , B459), "")</f>
        <v/>
      </c>
      <c r="J459" s="11">
        <f>IFERROR(_xll.ciqfunctions.udf.CIQ(mh_ticker, "IQ_EQUITY_METHOD", , B459), "")</f>
        <v/>
      </c>
      <c r="K459" s="11">
        <f>IFERROR(_xll.ciqfunctions.udf.CIQ(mh_ticker, "IQ_LT_Mark_Securities", , B459), "")</f>
        <v/>
      </c>
      <c r="L459" s="12">
        <f>IFERROR(C459*D459, "")</f>
        <v/>
      </c>
      <c r="M459" s="12">
        <f>IFERROR(L459-E459-F459+G459+H459+I459-J459-K459, "")</f>
        <v/>
      </c>
      <c r="N459" s="11">
        <f>IFERROR(_xll.ciqfunctions.udf.CIQ(mh_ticker, "IQ_EBITDA_EST", IQ_NTM, B459, , , "USD"), "")</f>
        <v/>
      </c>
      <c r="O459" s="13">
        <f>IFERROR(M459/N459, "")</f>
        <v/>
      </c>
    </row>
    <row r="460">
      <c r="B460" s="8" t="n"/>
      <c r="C460" s="9">
        <f>IFERROR(_xll.ciqfunctions.udf.CIQ(mh_ticker, "IQ_LASTSALEPRICE", B460), "")</f>
        <v/>
      </c>
      <c r="D460" s="10">
        <f>IFERROR(_xll.ciqfunctions.udf.CIQ(mh_ticker, "IQ_SHARESOUTSTANDING_OUT", B460), "")</f>
        <v/>
      </c>
      <c r="E460" s="11">
        <f>IFERROR(_xll.ciqfunctions.udf.CIQ(mh_ticker, "IQ_CASH_EQUIV", , B460), "")</f>
        <v/>
      </c>
      <c r="F460" s="11">
        <f>IFERROR(_xll.ciqfunctions.udf.CIQ(mh_ticker, "IQ_ST_INVEST", , B460), "")</f>
        <v/>
      </c>
      <c r="G460" s="11">
        <f>IFERROR(_xll.ciqfunctions.udf.CIQ(mh_ticker, "IQ_TOTAL_DEBT_EXCL_OPER_LEASES", , B460), "")</f>
        <v/>
      </c>
      <c r="H460" s="11">
        <f>IFERROR(_xll.ciqfunctions.udf.CIQ(mh_ticker, "IQ_PREF_EQUITY", , B460), "")</f>
        <v/>
      </c>
      <c r="I460" s="11">
        <f>IFERROR(_xll.ciqfunctions.udf.CIQ(mh_ticker, "IQ_MINORITY_INTEREST", , B460), "")</f>
        <v/>
      </c>
      <c r="J460" s="11">
        <f>IFERROR(_xll.ciqfunctions.udf.CIQ(mh_ticker, "IQ_EQUITY_METHOD", , B460), "")</f>
        <v/>
      </c>
      <c r="K460" s="11">
        <f>IFERROR(_xll.ciqfunctions.udf.CIQ(mh_ticker, "IQ_LT_Mark_Securities", , B460), "")</f>
        <v/>
      </c>
      <c r="L460" s="12">
        <f>IFERROR(C460*D460, "")</f>
        <v/>
      </c>
      <c r="M460" s="12">
        <f>IFERROR(L460-E460-F460+G460+H460+I460-J460-K460, "")</f>
        <v/>
      </c>
      <c r="N460" s="11">
        <f>IFERROR(_xll.ciqfunctions.udf.CIQ(mh_ticker, "IQ_EBITDA_EST", IQ_NTM, B460, , , "USD"), "")</f>
        <v/>
      </c>
      <c r="O460" s="13">
        <f>IFERROR(M460/N460, "")</f>
        <v/>
      </c>
    </row>
    <row r="461">
      <c r="B461" s="8" t="n"/>
      <c r="C461" s="9">
        <f>IFERROR(_xll.ciqfunctions.udf.CIQ(mh_ticker, "IQ_LASTSALEPRICE", B461), "")</f>
        <v/>
      </c>
      <c r="D461" s="10">
        <f>IFERROR(_xll.ciqfunctions.udf.CIQ(mh_ticker, "IQ_SHARESOUTSTANDING_OUT", B461), "")</f>
        <v/>
      </c>
      <c r="E461" s="11">
        <f>IFERROR(_xll.ciqfunctions.udf.CIQ(mh_ticker, "IQ_CASH_EQUIV", , B461), "")</f>
        <v/>
      </c>
      <c r="F461" s="11">
        <f>IFERROR(_xll.ciqfunctions.udf.CIQ(mh_ticker, "IQ_ST_INVEST", , B461), "")</f>
        <v/>
      </c>
      <c r="G461" s="11">
        <f>IFERROR(_xll.ciqfunctions.udf.CIQ(mh_ticker, "IQ_TOTAL_DEBT_EXCL_OPER_LEASES", , B461), "")</f>
        <v/>
      </c>
      <c r="H461" s="11">
        <f>IFERROR(_xll.ciqfunctions.udf.CIQ(mh_ticker, "IQ_PREF_EQUITY", , B461), "")</f>
        <v/>
      </c>
      <c r="I461" s="11">
        <f>IFERROR(_xll.ciqfunctions.udf.CIQ(mh_ticker, "IQ_MINORITY_INTEREST", , B461), "")</f>
        <v/>
      </c>
      <c r="J461" s="11">
        <f>IFERROR(_xll.ciqfunctions.udf.CIQ(mh_ticker, "IQ_EQUITY_METHOD", , B461), "")</f>
        <v/>
      </c>
      <c r="K461" s="11">
        <f>IFERROR(_xll.ciqfunctions.udf.CIQ(mh_ticker, "IQ_LT_Mark_Securities", , B461), "")</f>
        <v/>
      </c>
      <c r="L461" s="12">
        <f>IFERROR(C461*D461, "")</f>
        <v/>
      </c>
      <c r="M461" s="12">
        <f>IFERROR(L461-E461-F461+G461+H461+I461-J461-K461, "")</f>
        <v/>
      </c>
      <c r="N461" s="11">
        <f>IFERROR(_xll.ciqfunctions.udf.CIQ(mh_ticker, "IQ_EBITDA_EST", IQ_NTM, B461, , , "USD"), "")</f>
        <v/>
      </c>
      <c r="O461" s="13">
        <f>IFERROR(M461/N461, "")</f>
        <v/>
      </c>
    </row>
    <row r="462">
      <c r="B462" s="8" t="n"/>
      <c r="C462" s="9">
        <f>IFERROR(_xll.ciqfunctions.udf.CIQ(mh_ticker, "IQ_LASTSALEPRICE", B462), "")</f>
        <v/>
      </c>
      <c r="D462" s="10">
        <f>IFERROR(_xll.ciqfunctions.udf.CIQ(mh_ticker, "IQ_SHARESOUTSTANDING_OUT", B462), "")</f>
        <v/>
      </c>
      <c r="E462" s="11">
        <f>IFERROR(_xll.ciqfunctions.udf.CIQ(mh_ticker, "IQ_CASH_EQUIV", , B462), "")</f>
        <v/>
      </c>
      <c r="F462" s="11">
        <f>IFERROR(_xll.ciqfunctions.udf.CIQ(mh_ticker, "IQ_ST_INVEST", , B462), "")</f>
        <v/>
      </c>
      <c r="G462" s="11">
        <f>IFERROR(_xll.ciqfunctions.udf.CIQ(mh_ticker, "IQ_TOTAL_DEBT_EXCL_OPER_LEASES", , B462), "")</f>
        <v/>
      </c>
      <c r="H462" s="11">
        <f>IFERROR(_xll.ciqfunctions.udf.CIQ(mh_ticker, "IQ_PREF_EQUITY", , B462), "")</f>
        <v/>
      </c>
      <c r="I462" s="11">
        <f>IFERROR(_xll.ciqfunctions.udf.CIQ(mh_ticker, "IQ_MINORITY_INTEREST", , B462), "")</f>
        <v/>
      </c>
      <c r="J462" s="11">
        <f>IFERROR(_xll.ciqfunctions.udf.CIQ(mh_ticker, "IQ_EQUITY_METHOD", , B462), "")</f>
        <v/>
      </c>
      <c r="K462" s="11">
        <f>IFERROR(_xll.ciqfunctions.udf.CIQ(mh_ticker, "IQ_LT_Mark_Securities", , B462), "")</f>
        <v/>
      </c>
      <c r="L462" s="12">
        <f>IFERROR(C462*D462, "")</f>
        <v/>
      </c>
      <c r="M462" s="12">
        <f>IFERROR(L462-E462-F462+G462+H462+I462-J462-K462, "")</f>
        <v/>
      </c>
      <c r="N462" s="11">
        <f>IFERROR(_xll.ciqfunctions.udf.CIQ(mh_ticker, "IQ_EBITDA_EST", IQ_NTM, B462, , , "USD"), "")</f>
        <v/>
      </c>
      <c r="O462" s="13">
        <f>IFERROR(M462/N462, "")</f>
        <v/>
      </c>
    </row>
    <row r="463">
      <c r="B463" s="8" t="n"/>
      <c r="C463" s="9">
        <f>IFERROR(_xll.ciqfunctions.udf.CIQ(mh_ticker, "IQ_LASTSALEPRICE", B463), "")</f>
        <v/>
      </c>
      <c r="D463" s="10">
        <f>IFERROR(_xll.ciqfunctions.udf.CIQ(mh_ticker, "IQ_SHARESOUTSTANDING_OUT", B463), "")</f>
        <v/>
      </c>
      <c r="E463" s="11">
        <f>IFERROR(_xll.ciqfunctions.udf.CIQ(mh_ticker, "IQ_CASH_EQUIV", , B463), "")</f>
        <v/>
      </c>
      <c r="F463" s="11">
        <f>IFERROR(_xll.ciqfunctions.udf.CIQ(mh_ticker, "IQ_ST_INVEST", , B463), "")</f>
        <v/>
      </c>
      <c r="G463" s="11">
        <f>IFERROR(_xll.ciqfunctions.udf.CIQ(mh_ticker, "IQ_TOTAL_DEBT_EXCL_OPER_LEASES", , B463), "")</f>
        <v/>
      </c>
      <c r="H463" s="11">
        <f>IFERROR(_xll.ciqfunctions.udf.CIQ(mh_ticker, "IQ_PREF_EQUITY", , B463), "")</f>
        <v/>
      </c>
      <c r="I463" s="11">
        <f>IFERROR(_xll.ciqfunctions.udf.CIQ(mh_ticker, "IQ_MINORITY_INTEREST", , B463), "")</f>
        <v/>
      </c>
      <c r="J463" s="11">
        <f>IFERROR(_xll.ciqfunctions.udf.CIQ(mh_ticker, "IQ_EQUITY_METHOD", , B463), "")</f>
        <v/>
      </c>
      <c r="K463" s="11">
        <f>IFERROR(_xll.ciqfunctions.udf.CIQ(mh_ticker, "IQ_LT_Mark_Securities", , B463), "")</f>
        <v/>
      </c>
      <c r="L463" s="12">
        <f>IFERROR(C463*D463, "")</f>
        <v/>
      </c>
      <c r="M463" s="12">
        <f>IFERROR(L463-E463-F463+G463+H463+I463-J463-K463, "")</f>
        <v/>
      </c>
      <c r="N463" s="11">
        <f>IFERROR(_xll.ciqfunctions.udf.CIQ(mh_ticker, "IQ_EBITDA_EST", IQ_NTM, B463, , , "USD"), "")</f>
        <v/>
      </c>
      <c r="O463" s="13">
        <f>IFERROR(M463/N463, "")</f>
        <v/>
      </c>
    </row>
    <row r="464">
      <c r="B464" s="8" t="n"/>
      <c r="C464" s="9">
        <f>IFERROR(_xll.ciqfunctions.udf.CIQ(mh_ticker, "IQ_LASTSALEPRICE", B464), "")</f>
        <v/>
      </c>
      <c r="D464" s="10">
        <f>IFERROR(_xll.ciqfunctions.udf.CIQ(mh_ticker, "IQ_SHARESOUTSTANDING_OUT", B464), "")</f>
        <v/>
      </c>
      <c r="E464" s="11">
        <f>IFERROR(_xll.ciqfunctions.udf.CIQ(mh_ticker, "IQ_CASH_EQUIV", , B464), "")</f>
        <v/>
      </c>
      <c r="F464" s="11">
        <f>IFERROR(_xll.ciqfunctions.udf.CIQ(mh_ticker, "IQ_ST_INVEST", , B464), "")</f>
        <v/>
      </c>
      <c r="G464" s="11">
        <f>IFERROR(_xll.ciqfunctions.udf.CIQ(mh_ticker, "IQ_TOTAL_DEBT_EXCL_OPER_LEASES", , B464), "")</f>
        <v/>
      </c>
      <c r="H464" s="11">
        <f>IFERROR(_xll.ciqfunctions.udf.CIQ(mh_ticker, "IQ_PREF_EQUITY", , B464), "")</f>
        <v/>
      </c>
      <c r="I464" s="11">
        <f>IFERROR(_xll.ciqfunctions.udf.CIQ(mh_ticker, "IQ_MINORITY_INTEREST", , B464), "")</f>
        <v/>
      </c>
      <c r="J464" s="11">
        <f>IFERROR(_xll.ciqfunctions.udf.CIQ(mh_ticker, "IQ_EQUITY_METHOD", , B464), "")</f>
        <v/>
      </c>
      <c r="K464" s="11">
        <f>IFERROR(_xll.ciqfunctions.udf.CIQ(mh_ticker, "IQ_LT_Mark_Securities", , B464), "")</f>
        <v/>
      </c>
      <c r="L464" s="12">
        <f>IFERROR(C464*D464, "")</f>
        <v/>
      </c>
      <c r="M464" s="12">
        <f>IFERROR(L464-E464-F464+G464+H464+I464-J464-K464, "")</f>
        <v/>
      </c>
      <c r="N464" s="11">
        <f>IFERROR(_xll.ciqfunctions.udf.CIQ(mh_ticker, "IQ_EBITDA_EST", IQ_NTM, B464, , , "USD"), "")</f>
        <v/>
      </c>
      <c r="O464" s="13">
        <f>IFERROR(M464/N464, "")</f>
        <v/>
      </c>
    </row>
    <row r="465">
      <c r="B465" s="8" t="n"/>
      <c r="C465" s="9">
        <f>IFERROR(_xll.ciqfunctions.udf.CIQ(mh_ticker, "IQ_LASTSALEPRICE", B465), "")</f>
        <v/>
      </c>
      <c r="D465" s="10">
        <f>IFERROR(_xll.ciqfunctions.udf.CIQ(mh_ticker, "IQ_SHARESOUTSTANDING_OUT", B465), "")</f>
        <v/>
      </c>
      <c r="E465" s="11">
        <f>IFERROR(_xll.ciqfunctions.udf.CIQ(mh_ticker, "IQ_CASH_EQUIV", , B465), "")</f>
        <v/>
      </c>
      <c r="F465" s="11">
        <f>IFERROR(_xll.ciqfunctions.udf.CIQ(mh_ticker, "IQ_ST_INVEST", , B465), "")</f>
        <v/>
      </c>
      <c r="G465" s="11">
        <f>IFERROR(_xll.ciqfunctions.udf.CIQ(mh_ticker, "IQ_TOTAL_DEBT_EXCL_OPER_LEASES", , B465), "")</f>
        <v/>
      </c>
      <c r="H465" s="11">
        <f>IFERROR(_xll.ciqfunctions.udf.CIQ(mh_ticker, "IQ_PREF_EQUITY", , B465), "")</f>
        <v/>
      </c>
      <c r="I465" s="11">
        <f>IFERROR(_xll.ciqfunctions.udf.CIQ(mh_ticker, "IQ_MINORITY_INTEREST", , B465), "")</f>
        <v/>
      </c>
      <c r="J465" s="11">
        <f>IFERROR(_xll.ciqfunctions.udf.CIQ(mh_ticker, "IQ_EQUITY_METHOD", , B465), "")</f>
        <v/>
      </c>
      <c r="K465" s="11">
        <f>IFERROR(_xll.ciqfunctions.udf.CIQ(mh_ticker, "IQ_LT_Mark_Securities", , B465), "")</f>
        <v/>
      </c>
      <c r="L465" s="12">
        <f>IFERROR(C465*D465, "")</f>
        <v/>
      </c>
      <c r="M465" s="12">
        <f>IFERROR(L465-E465-F465+G465+H465+I465-J465-K465, "")</f>
        <v/>
      </c>
      <c r="N465" s="11">
        <f>IFERROR(_xll.ciqfunctions.udf.CIQ(mh_ticker, "IQ_EBITDA_EST", IQ_NTM, B465, , , "USD"), "")</f>
        <v/>
      </c>
      <c r="O465" s="13">
        <f>IFERROR(M465/N465, "")</f>
        <v/>
      </c>
    </row>
    <row r="466">
      <c r="B466" s="8" t="n"/>
      <c r="C466" s="9">
        <f>IFERROR(_xll.ciqfunctions.udf.CIQ(mh_ticker, "IQ_LASTSALEPRICE", B466), "")</f>
        <v/>
      </c>
      <c r="D466" s="10">
        <f>IFERROR(_xll.ciqfunctions.udf.CIQ(mh_ticker, "IQ_SHARESOUTSTANDING_OUT", B466), "")</f>
        <v/>
      </c>
      <c r="E466" s="11">
        <f>IFERROR(_xll.ciqfunctions.udf.CIQ(mh_ticker, "IQ_CASH_EQUIV", , B466), "")</f>
        <v/>
      </c>
      <c r="F466" s="11">
        <f>IFERROR(_xll.ciqfunctions.udf.CIQ(mh_ticker, "IQ_ST_INVEST", , B466), "")</f>
        <v/>
      </c>
      <c r="G466" s="11">
        <f>IFERROR(_xll.ciqfunctions.udf.CIQ(mh_ticker, "IQ_TOTAL_DEBT_EXCL_OPER_LEASES", , B466), "")</f>
        <v/>
      </c>
      <c r="H466" s="11">
        <f>IFERROR(_xll.ciqfunctions.udf.CIQ(mh_ticker, "IQ_PREF_EQUITY", , B466), "")</f>
        <v/>
      </c>
      <c r="I466" s="11">
        <f>IFERROR(_xll.ciqfunctions.udf.CIQ(mh_ticker, "IQ_MINORITY_INTEREST", , B466), "")</f>
        <v/>
      </c>
      <c r="J466" s="11">
        <f>IFERROR(_xll.ciqfunctions.udf.CIQ(mh_ticker, "IQ_EQUITY_METHOD", , B466), "")</f>
        <v/>
      </c>
      <c r="K466" s="11">
        <f>IFERROR(_xll.ciqfunctions.udf.CIQ(mh_ticker, "IQ_LT_Mark_Securities", , B466), "")</f>
        <v/>
      </c>
      <c r="L466" s="12">
        <f>IFERROR(C466*D466, "")</f>
        <v/>
      </c>
      <c r="M466" s="12">
        <f>IFERROR(L466-E466-F466+G466+H466+I466-J466-K466, "")</f>
        <v/>
      </c>
      <c r="N466" s="11">
        <f>IFERROR(_xll.ciqfunctions.udf.CIQ(mh_ticker, "IQ_EBITDA_EST", IQ_NTM, B466, , , "USD"), "")</f>
        <v/>
      </c>
      <c r="O466" s="13">
        <f>IFERROR(M466/N466, "")</f>
        <v/>
      </c>
    </row>
    <row r="467">
      <c r="B467" s="8" t="n"/>
      <c r="C467" s="9">
        <f>IFERROR(_xll.ciqfunctions.udf.CIQ(mh_ticker, "IQ_LASTSALEPRICE", B467), "")</f>
        <v/>
      </c>
      <c r="D467" s="10">
        <f>IFERROR(_xll.ciqfunctions.udf.CIQ(mh_ticker, "IQ_SHARESOUTSTANDING_OUT", B467), "")</f>
        <v/>
      </c>
      <c r="E467" s="11">
        <f>IFERROR(_xll.ciqfunctions.udf.CIQ(mh_ticker, "IQ_CASH_EQUIV", , B467), "")</f>
        <v/>
      </c>
      <c r="F467" s="11">
        <f>IFERROR(_xll.ciqfunctions.udf.CIQ(mh_ticker, "IQ_ST_INVEST", , B467), "")</f>
        <v/>
      </c>
      <c r="G467" s="11">
        <f>IFERROR(_xll.ciqfunctions.udf.CIQ(mh_ticker, "IQ_TOTAL_DEBT_EXCL_OPER_LEASES", , B467), "")</f>
        <v/>
      </c>
      <c r="H467" s="11">
        <f>IFERROR(_xll.ciqfunctions.udf.CIQ(mh_ticker, "IQ_PREF_EQUITY", , B467), "")</f>
        <v/>
      </c>
      <c r="I467" s="11">
        <f>IFERROR(_xll.ciqfunctions.udf.CIQ(mh_ticker, "IQ_MINORITY_INTEREST", , B467), "")</f>
        <v/>
      </c>
      <c r="J467" s="11">
        <f>IFERROR(_xll.ciqfunctions.udf.CIQ(mh_ticker, "IQ_EQUITY_METHOD", , B467), "")</f>
        <v/>
      </c>
      <c r="K467" s="11">
        <f>IFERROR(_xll.ciqfunctions.udf.CIQ(mh_ticker, "IQ_LT_Mark_Securities", , B467), "")</f>
        <v/>
      </c>
      <c r="L467" s="12">
        <f>IFERROR(C467*D467, "")</f>
        <v/>
      </c>
      <c r="M467" s="12">
        <f>IFERROR(L467-E467-F467+G467+H467+I467-J467-K467, "")</f>
        <v/>
      </c>
      <c r="N467" s="11">
        <f>IFERROR(_xll.ciqfunctions.udf.CIQ(mh_ticker, "IQ_EBITDA_EST", IQ_NTM, B467, , , "USD"), "")</f>
        <v/>
      </c>
      <c r="O467" s="13">
        <f>IFERROR(M467/N467, "")</f>
        <v/>
      </c>
    </row>
    <row r="468">
      <c r="B468" s="8" t="n"/>
      <c r="C468" s="9">
        <f>IFERROR(_xll.ciqfunctions.udf.CIQ(mh_ticker, "IQ_LASTSALEPRICE", B468), "")</f>
        <v/>
      </c>
      <c r="D468" s="10">
        <f>IFERROR(_xll.ciqfunctions.udf.CIQ(mh_ticker, "IQ_SHARESOUTSTANDING_OUT", B468), "")</f>
        <v/>
      </c>
      <c r="E468" s="11">
        <f>IFERROR(_xll.ciqfunctions.udf.CIQ(mh_ticker, "IQ_CASH_EQUIV", , B468), "")</f>
        <v/>
      </c>
      <c r="F468" s="11">
        <f>IFERROR(_xll.ciqfunctions.udf.CIQ(mh_ticker, "IQ_ST_INVEST", , B468), "")</f>
        <v/>
      </c>
      <c r="G468" s="11">
        <f>IFERROR(_xll.ciqfunctions.udf.CIQ(mh_ticker, "IQ_TOTAL_DEBT_EXCL_OPER_LEASES", , B468), "")</f>
        <v/>
      </c>
      <c r="H468" s="11">
        <f>IFERROR(_xll.ciqfunctions.udf.CIQ(mh_ticker, "IQ_PREF_EQUITY", , B468), "")</f>
        <v/>
      </c>
      <c r="I468" s="11">
        <f>IFERROR(_xll.ciqfunctions.udf.CIQ(mh_ticker, "IQ_MINORITY_INTEREST", , B468), "")</f>
        <v/>
      </c>
      <c r="J468" s="11">
        <f>IFERROR(_xll.ciqfunctions.udf.CIQ(mh_ticker, "IQ_EQUITY_METHOD", , B468), "")</f>
        <v/>
      </c>
      <c r="K468" s="11">
        <f>IFERROR(_xll.ciqfunctions.udf.CIQ(mh_ticker, "IQ_LT_Mark_Securities", , B468), "")</f>
        <v/>
      </c>
      <c r="L468" s="12">
        <f>IFERROR(C468*D468, "")</f>
        <v/>
      </c>
      <c r="M468" s="12">
        <f>IFERROR(L468-E468-F468+G468+H468+I468-J468-K468, "")</f>
        <v/>
      </c>
      <c r="N468" s="11">
        <f>IFERROR(_xll.ciqfunctions.udf.CIQ(mh_ticker, "IQ_EBITDA_EST", IQ_NTM, B468, , , "USD"), "")</f>
        <v/>
      </c>
      <c r="O468" s="13">
        <f>IFERROR(M468/N468, "")</f>
        <v/>
      </c>
    </row>
    <row r="469">
      <c r="B469" s="8" t="n"/>
      <c r="C469" s="9">
        <f>IFERROR(_xll.ciqfunctions.udf.CIQ(mh_ticker, "IQ_LASTSALEPRICE", B469), "")</f>
        <v/>
      </c>
      <c r="D469" s="10">
        <f>IFERROR(_xll.ciqfunctions.udf.CIQ(mh_ticker, "IQ_SHARESOUTSTANDING_OUT", B469), "")</f>
        <v/>
      </c>
      <c r="E469" s="11">
        <f>IFERROR(_xll.ciqfunctions.udf.CIQ(mh_ticker, "IQ_CASH_EQUIV", , B469), "")</f>
        <v/>
      </c>
      <c r="F469" s="11">
        <f>IFERROR(_xll.ciqfunctions.udf.CIQ(mh_ticker, "IQ_ST_INVEST", , B469), "")</f>
        <v/>
      </c>
      <c r="G469" s="11">
        <f>IFERROR(_xll.ciqfunctions.udf.CIQ(mh_ticker, "IQ_TOTAL_DEBT_EXCL_OPER_LEASES", , B469), "")</f>
        <v/>
      </c>
      <c r="H469" s="11">
        <f>IFERROR(_xll.ciqfunctions.udf.CIQ(mh_ticker, "IQ_PREF_EQUITY", , B469), "")</f>
        <v/>
      </c>
      <c r="I469" s="11">
        <f>IFERROR(_xll.ciqfunctions.udf.CIQ(mh_ticker, "IQ_MINORITY_INTEREST", , B469), "")</f>
        <v/>
      </c>
      <c r="J469" s="11">
        <f>IFERROR(_xll.ciqfunctions.udf.CIQ(mh_ticker, "IQ_EQUITY_METHOD", , B469), "")</f>
        <v/>
      </c>
      <c r="K469" s="11">
        <f>IFERROR(_xll.ciqfunctions.udf.CIQ(mh_ticker, "IQ_LT_Mark_Securities", , B469), "")</f>
        <v/>
      </c>
      <c r="L469" s="12">
        <f>IFERROR(C469*D469, "")</f>
        <v/>
      </c>
      <c r="M469" s="12">
        <f>IFERROR(L469-E469-F469+G469+H469+I469-J469-K469, "")</f>
        <v/>
      </c>
      <c r="N469" s="11">
        <f>IFERROR(_xll.ciqfunctions.udf.CIQ(mh_ticker, "IQ_EBITDA_EST", IQ_NTM, B469, , , "USD"), "")</f>
        <v/>
      </c>
      <c r="O469" s="13">
        <f>IFERROR(M469/N469, "")</f>
        <v/>
      </c>
    </row>
    <row r="470">
      <c r="B470" s="8" t="n"/>
      <c r="C470" s="9">
        <f>IFERROR(_xll.ciqfunctions.udf.CIQ(mh_ticker, "IQ_LASTSALEPRICE", B470), "")</f>
        <v/>
      </c>
      <c r="D470" s="10">
        <f>IFERROR(_xll.ciqfunctions.udf.CIQ(mh_ticker, "IQ_SHARESOUTSTANDING_OUT", B470), "")</f>
        <v/>
      </c>
      <c r="E470" s="11">
        <f>IFERROR(_xll.ciqfunctions.udf.CIQ(mh_ticker, "IQ_CASH_EQUIV", , B470), "")</f>
        <v/>
      </c>
      <c r="F470" s="11">
        <f>IFERROR(_xll.ciqfunctions.udf.CIQ(mh_ticker, "IQ_ST_INVEST", , B470), "")</f>
        <v/>
      </c>
      <c r="G470" s="11">
        <f>IFERROR(_xll.ciqfunctions.udf.CIQ(mh_ticker, "IQ_TOTAL_DEBT_EXCL_OPER_LEASES", , B470), "")</f>
        <v/>
      </c>
      <c r="H470" s="11">
        <f>IFERROR(_xll.ciqfunctions.udf.CIQ(mh_ticker, "IQ_PREF_EQUITY", , B470), "")</f>
        <v/>
      </c>
      <c r="I470" s="11">
        <f>IFERROR(_xll.ciqfunctions.udf.CIQ(mh_ticker, "IQ_MINORITY_INTEREST", , B470), "")</f>
        <v/>
      </c>
      <c r="J470" s="11">
        <f>IFERROR(_xll.ciqfunctions.udf.CIQ(mh_ticker, "IQ_EQUITY_METHOD", , B470), "")</f>
        <v/>
      </c>
      <c r="K470" s="11">
        <f>IFERROR(_xll.ciqfunctions.udf.CIQ(mh_ticker, "IQ_LT_Mark_Securities", , B470), "")</f>
        <v/>
      </c>
      <c r="L470" s="12">
        <f>IFERROR(C470*D470, "")</f>
        <v/>
      </c>
      <c r="M470" s="12">
        <f>IFERROR(L470-E470-F470+G470+H470+I470-J470-K470, "")</f>
        <v/>
      </c>
      <c r="N470" s="11">
        <f>IFERROR(_xll.ciqfunctions.udf.CIQ(mh_ticker, "IQ_EBITDA_EST", IQ_NTM, B470, , , "USD"), "")</f>
        <v/>
      </c>
      <c r="O470" s="13">
        <f>IFERROR(M470/N470, "")</f>
        <v/>
      </c>
    </row>
    <row r="471">
      <c r="B471" s="8" t="n"/>
      <c r="C471" s="9">
        <f>IFERROR(_xll.ciqfunctions.udf.CIQ(mh_ticker, "IQ_LASTSALEPRICE", B471), "")</f>
        <v/>
      </c>
      <c r="D471" s="10">
        <f>IFERROR(_xll.ciqfunctions.udf.CIQ(mh_ticker, "IQ_SHARESOUTSTANDING_OUT", B471), "")</f>
        <v/>
      </c>
      <c r="E471" s="11">
        <f>IFERROR(_xll.ciqfunctions.udf.CIQ(mh_ticker, "IQ_CASH_EQUIV", , B471), "")</f>
        <v/>
      </c>
      <c r="F471" s="11">
        <f>IFERROR(_xll.ciqfunctions.udf.CIQ(mh_ticker, "IQ_ST_INVEST", , B471), "")</f>
        <v/>
      </c>
      <c r="G471" s="11">
        <f>IFERROR(_xll.ciqfunctions.udf.CIQ(mh_ticker, "IQ_TOTAL_DEBT_EXCL_OPER_LEASES", , B471), "")</f>
        <v/>
      </c>
      <c r="H471" s="11">
        <f>IFERROR(_xll.ciqfunctions.udf.CIQ(mh_ticker, "IQ_PREF_EQUITY", , B471), "")</f>
        <v/>
      </c>
      <c r="I471" s="11">
        <f>IFERROR(_xll.ciqfunctions.udf.CIQ(mh_ticker, "IQ_MINORITY_INTEREST", , B471), "")</f>
        <v/>
      </c>
      <c r="J471" s="11">
        <f>IFERROR(_xll.ciqfunctions.udf.CIQ(mh_ticker, "IQ_EQUITY_METHOD", , B471), "")</f>
        <v/>
      </c>
      <c r="K471" s="11">
        <f>IFERROR(_xll.ciqfunctions.udf.CIQ(mh_ticker, "IQ_LT_Mark_Securities", , B471), "")</f>
        <v/>
      </c>
      <c r="L471" s="12">
        <f>IFERROR(C471*D471, "")</f>
        <v/>
      </c>
      <c r="M471" s="12">
        <f>IFERROR(L471-E471-F471+G471+H471+I471-J471-K471, "")</f>
        <v/>
      </c>
      <c r="N471" s="11">
        <f>IFERROR(_xll.ciqfunctions.udf.CIQ(mh_ticker, "IQ_EBITDA_EST", IQ_NTM, B471, , , "USD"), "")</f>
        <v/>
      </c>
      <c r="O471" s="13">
        <f>IFERROR(M471/N471, "")</f>
        <v/>
      </c>
    </row>
    <row r="472">
      <c r="B472" s="8" t="n"/>
      <c r="C472" s="9">
        <f>IFERROR(_xll.ciqfunctions.udf.CIQ(mh_ticker, "IQ_LASTSALEPRICE", B472), "")</f>
        <v/>
      </c>
      <c r="D472" s="10">
        <f>IFERROR(_xll.ciqfunctions.udf.CIQ(mh_ticker, "IQ_SHARESOUTSTANDING_OUT", B472), "")</f>
        <v/>
      </c>
      <c r="E472" s="11">
        <f>IFERROR(_xll.ciqfunctions.udf.CIQ(mh_ticker, "IQ_CASH_EQUIV", , B472), "")</f>
        <v/>
      </c>
      <c r="F472" s="11">
        <f>IFERROR(_xll.ciqfunctions.udf.CIQ(mh_ticker, "IQ_ST_INVEST", , B472), "")</f>
        <v/>
      </c>
      <c r="G472" s="11">
        <f>IFERROR(_xll.ciqfunctions.udf.CIQ(mh_ticker, "IQ_TOTAL_DEBT_EXCL_OPER_LEASES", , B472), "")</f>
        <v/>
      </c>
      <c r="H472" s="11">
        <f>IFERROR(_xll.ciqfunctions.udf.CIQ(mh_ticker, "IQ_PREF_EQUITY", , B472), "")</f>
        <v/>
      </c>
      <c r="I472" s="11">
        <f>IFERROR(_xll.ciqfunctions.udf.CIQ(mh_ticker, "IQ_MINORITY_INTEREST", , B472), "")</f>
        <v/>
      </c>
      <c r="J472" s="11">
        <f>IFERROR(_xll.ciqfunctions.udf.CIQ(mh_ticker, "IQ_EQUITY_METHOD", , B472), "")</f>
        <v/>
      </c>
      <c r="K472" s="11">
        <f>IFERROR(_xll.ciqfunctions.udf.CIQ(mh_ticker, "IQ_LT_Mark_Securities", , B472), "")</f>
        <v/>
      </c>
      <c r="L472" s="12">
        <f>IFERROR(C472*D472, "")</f>
        <v/>
      </c>
      <c r="M472" s="12">
        <f>IFERROR(L472-E472-F472+G472+H472+I472-J472-K472, "")</f>
        <v/>
      </c>
      <c r="N472" s="11">
        <f>IFERROR(_xll.ciqfunctions.udf.CIQ(mh_ticker, "IQ_EBITDA_EST", IQ_NTM, B472, , , "USD"), "")</f>
        <v/>
      </c>
      <c r="O472" s="13">
        <f>IFERROR(M472/N472, "")</f>
        <v/>
      </c>
    </row>
    <row r="473">
      <c r="B473" s="8" t="n"/>
      <c r="C473" s="9">
        <f>IFERROR(_xll.ciqfunctions.udf.CIQ(mh_ticker, "IQ_LASTSALEPRICE", B473), "")</f>
        <v/>
      </c>
      <c r="D473" s="10">
        <f>IFERROR(_xll.ciqfunctions.udf.CIQ(mh_ticker, "IQ_SHARESOUTSTANDING_OUT", B473), "")</f>
        <v/>
      </c>
      <c r="E473" s="11">
        <f>IFERROR(_xll.ciqfunctions.udf.CIQ(mh_ticker, "IQ_CASH_EQUIV", , B473), "")</f>
        <v/>
      </c>
      <c r="F473" s="11">
        <f>IFERROR(_xll.ciqfunctions.udf.CIQ(mh_ticker, "IQ_ST_INVEST", , B473), "")</f>
        <v/>
      </c>
      <c r="G473" s="11">
        <f>IFERROR(_xll.ciqfunctions.udf.CIQ(mh_ticker, "IQ_TOTAL_DEBT_EXCL_OPER_LEASES", , B473), "")</f>
        <v/>
      </c>
      <c r="H473" s="11">
        <f>IFERROR(_xll.ciqfunctions.udf.CIQ(mh_ticker, "IQ_PREF_EQUITY", , B473), "")</f>
        <v/>
      </c>
      <c r="I473" s="11">
        <f>IFERROR(_xll.ciqfunctions.udf.CIQ(mh_ticker, "IQ_MINORITY_INTEREST", , B473), "")</f>
        <v/>
      </c>
      <c r="J473" s="11">
        <f>IFERROR(_xll.ciqfunctions.udf.CIQ(mh_ticker, "IQ_EQUITY_METHOD", , B473), "")</f>
        <v/>
      </c>
      <c r="K473" s="11">
        <f>IFERROR(_xll.ciqfunctions.udf.CIQ(mh_ticker, "IQ_LT_Mark_Securities", , B473), "")</f>
        <v/>
      </c>
      <c r="L473" s="12">
        <f>IFERROR(C473*D473, "")</f>
        <v/>
      </c>
      <c r="M473" s="12">
        <f>IFERROR(L473-E473-F473+G473+H473+I473-J473-K473, "")</f>
        <v/>
      </c>
      <c r="N473" s="11">
        <f>IFERROR(_xll.ciqfunctions.udf.CIQ(mh_ticker, "IQ_EBITDA_EST", IQ_NTM, B473, , , "USD"), "")</f>
        <v/>
      </c>
      <c r="O473" s="13">
        <f>IFERROR(M473/N473, "")</f>
        <v/>
      </c>
    </row>
    <row r="474">
      <c r="B474" s="8" t="n"/>
      <c r="C474" s="9">
        <f>IFERROR(_xll.ciqfunctions.udf.CIQ(mh_ticker, "IQ_LASTSALEPRICE", B474), "")</f>
        <v/>
      </c>
      <c r="D474" s="10">
        <f>IFERROR(_xll.ciqfunctions.udf.CIQ(mh_ticker, "IQ_SHARESOUTSTANDING_OUT", B474), "")</f>
        <v/>
      </c>
      <c r="E474" s="11">
        <f>IFERROR(_xll.ciqfunctions.udf.CIQ(mh_ticker, "IQ_CASH_EQUIV", , B474), "")</f>
        <v/>
      </c>
      <c r="F474" s="11">
        <f>IFERROR(_xll.ciqfunctions.udf.CIQ(mh_ticker, "IQ_ST_INVEST", , B474), "")</f>
        <v/>
      </c>
      <c r="G474" s="11">
        <f>IFERROR(_xll.ciqfunctions.udf.CIQ(mh_ticker, "IQ_TOTAL_DEBT_EXCL_OPER_LEASES", , B474), "")</f>
        <v/>
      </c>
      <c r="H474" s="11">
        <f>IFERROR(_xll.ciqfunctions.udf.CIQ(mh_ticker, "IQ_PREF_EQUITY", , B474), "")</f>
        <v/>
      </c>
      <c r="I474" s="11">
        <f>IFERROR(_xll.ciqfunctions.udf.CIQ(mh_ticker, "IQ_MINORITY_INTEREST", , B474), "")</f>
        <v/>
      </c>
      <c r="J474" s="11">
        <f>IFERROR(_xll.ciqfunctions.udf.CIQ(mh_ticker, "IQ_EQUITY_METHOD", , B474), "")</f>
        <v/>
      </c>
      <c r="K474" s="11">
        <f>IFERROR(_xll.ciqfunctions.udf.CIQ(mh_ticker, "IQ_LT_Mark_Securities", , B474), "")</f>
        <v/>
      </c>
      <c r="L474" s="12">
        <f>IFERROR(C474*D474, "")</f>
        <v/>
      </c>
      <c r="M474" s="12">
        <f>IFERROR(L474-E474-F474+G474+H474+I474-J474-K474, "")</f>
        <v/>
      </c>
      <c r="N474" s="11">
        <f>IFERROR(_xll.ciqfunctions.udf.CIQ(mh_ticker, "IQ_EBITDA_EST", IQ_NTM, B474, , , "USD"), "")</f>
        <v/>
      </c>
      <c r="O474" s="13">
        <f>IFERROR(M474/N474, "")</f>
        <v/>
      </c>
    </row>
    <row r="475">
      <c r="B475" s="8" t="n"/>
      <c r="C475" s="9">
        <f>IFERROR(_xll.ciqfunctions.udf.CIQ(mh_ticker, "IQ_LASTSALEPRICE", B475), "")</f>
        <v/>
      </c>
      <c r="D475" s="10">
        <f>IFERROR(_xll.ciqfunctions.udf.CIQ(mh_ticker, "IQ_SHARESOUTSTANDING_OUT", B475), "")</f>
        <v/>
      </c>
      <c r="E475" s="11">
        <f>IFERROR(_xll.ciqfunctions.udf.CIQ(mh_ticker, "IQ_CASH_EQUIV", , B475), "")</f>
        <v/>
      </c>
      <c r="F475" s="11">
        <f>IFERROR(_xll.ciqfunctions.udf.CIQ(mh_ticker, "IQ_ST_INVEST", , B475), "")</f>
        <v/>
      </c>
      <c r="G475" s="11">
        <f>IFERROR(_xll.ciqfunctions.udf.CIQ(mh_ticker, "IQ_TOTAL_DEBT_EXCL_OPER_LEASES", , B475), "")</f>
        <v/>
      </c>
      <c r="H475" s="11">
        <f>IFERROR(_xll.ciqfunctions.udf.CIQ(mh_ticker, "IQ_PREF_EQUITY", , B475), "")</f>
        <v/>
      </c>
      <c r="I475" s="11">
        <f>IFERROR(_xll.ciqfunctions.udf.CIQ(mh_ticker, "IQ_MINORITY_INTEREST", , B475), "")</f>
        <v/>
      </c>
      <c r="J475" s="11">
        <f>IFERROR(_xll.ciqfunctions.udf.CIQ(mh_ticker, "IQ_EQUITY_METHOD", , B475), "")</f>
        <v/>
      </c>
      <c r="K475" s="11">
        <f>IFERROR(_xll.ciqfunctions.udf.CIQ(mh_ticker, "IQ_LT_Mark_Securities", , B475), "")</f>
        <v/>
      </c>
      <c r="L475" s="12">
        <f>IFERROR(C475*D475, "")</f>
        <v/>
      </c>
      <c r="M475" s="12">
        <f>IFERROR(L475-E475-F475+G475+H475+I475-J475-K475, "")</f>
        <v/>
      </c>
      <c r="N475" s="11">
        <f>IFERROR(_xll.ciqfunctions.udf.CIQ(mh_ticker, "IQ_EBITDA_EST", IQ_NTM, B475, , , "USD"), "")</f>
        <v/>
      </c>
      <c r="O475" s="13">
        <f>IFERROR(M475/N475, "")</f>
        <v/>
      </c>
    </row>
    <row r="476">
      <c r="B476" s="8" t="n"/>
      <c r="C476" s="9">
        <f>IFERROR(_xll.ciqfunctions.udf.CIQ(mh_ticker, "IQ_LASTSALEPRICE", B476), "")</f>
        <v/>
      </c>
      <c r="D476" s="10">
        <f>IFERROR(_xll.ciqfunctions.udf.CIQ(mh_ticker, "IQ_SHARESOUTSTANDING_OUT", B476), "")</f>
        <v/>
      </c>
      <c r="E476" s="11">
        <f>IFERROR(_xll.ciqfunctions.udf.CIQ(mh_ticker, "IQ_CASH_EQUIV", , B476), "")</f>
        <v/>
      </c>
      <c r="F476" s="11">
        <f>IFERROR(_xll.ciqfunctions.udf.CIQ(mh_ticker, "IQ_ST_INVEST", , B476), "")</f>
        <v/>
      </c>
      <c r="G476" s="11">
        <f>IFERROR(_xll.ciqfunctions.udf.CIQ(mh_ticker, "IQ_TOTAL_DEBT_EXCL_OPER_LEASES", , B476), "")</f>
        <v/>
      </c>
      <c r="H476" s="11">
        <f>IFERROR(_xll.ciqfunctions.udf.CIQ(mh_ticker, "IQ_PREF_EQUITY", , B476), "")</f>
        <v/>
      </c>
      <c r="I476" s="11">
        <f>IFERROR(_xll.ciqfunctions.udf.CIQ(mh_ticker, "IQ_MINORITY_INTEREST", , B476), "")</f>
        <v/>
      </c>
      <c r="J476" s="11">
        <f>IFERROR(_xll.ciqfunctions.udf.CIQ(mh_ticker, "IQ_EQUITY_METHOD", , B476), "")</f>
        <v/>
      </c>
      <c r="K476" s="11">
        <f>IFERROR(_xll.ciqfunctions.udf.CIQ(mh_ticker, "IQ_LT_Mark_Securities", , B476), "")</f>
        <v/>
      </c>
      <c r="L476" s="12">
        <f>IFERROR(C476*D476, "")</f>
        <v/>
      </c>
      <c r="M476" s="12">
        <f>IFERROR(L476-E476-F476+G476+H476+I476-J476-K476, "")</f>
        <v/>
      </c>
      <c r="N476" s="11">
        <f>IFERROR(_xll.ciqfunctions.udf.CIQ(mh_ticker, "IQ_EBITDA_EST", IQ_NTM, B476, , , "USD"), "")</f>
        <v/>
      </c>
      <c r="O476" s="13">
        <f>IFERROR(M476/N476, "")</f>
        <v/>
      </c>
    </row>
    <row r="477">
      <c r="B477" s="8" t="n"/>
      <c r="C477" s="9">
        <f>IFERROR(_xll.ciqfunctions.udf.CIQ(mh_ticker, "IQ_LASTSALEPRICE", B477), "")</f>
        <v/>
      </c>
      <c r="D477" s="10">
        <f>IFERROR(_xll.ciqfunctions.udf.CIQ(mh_ticker, "IQ_SHARESOUTSTANDING_OUT", B477), "")</f>
        <v/>
      </c>
      <c r="E477" s="11">
        <f>IFERROR(_xll.ciqfunctions.udf.CIQ(mh_ticker, "IQ_CASH_EQUIV", , B477), "")</f>
        <v/>
      </c>
      <c r="F477" s="11">
        <f>IFERROR(_xll.ciqfunctions.udf.CIQ(mh_ticker, "IQ_ST_INVEST", , B477), "")</f>
        <v/>
      </c>
      <c r="G477" s="11">
        <f>IFERROR(_xll.ciqfunctions.udf.CIQ(mh_ticker, "IQ_TOTAL_DEBT_EXCL_OPER_LEASES", , B477), "")</f>
        <v/>
      </c>
      <c r="H477" s="11">
        <f>IFERROR(_xll.ciqfunctions.udf.CIQ(mh_ticker, "IQ_PREF_EQUITY", , B477), "")</f>
        <v/>
      </c>
      <c r="I477" s="11">
        <f>IFERROR(_xll.ciqfunctions.udf.CIQ(mh_ticker, "IQ_MINORITY_INTEREST", , B477), "")</f>
        <v/>
      </c>
      <c r="J477" s="11">
        <f>IFERROR(_xll.ciqfunctions.udf.CIQ(mh_ticker, "IQ_EQUITY_METHOD", , B477), "")</f>
        <v/>
      </c>
      <c r="K477" s="11">
        <f>IFERROR(_xll.ciqfunctions.udf.CIQ(mh_ticker, "IQ_LT_Mark_Securities", , B477), "")</f>
        <v/>
      </c>
      <c r="L477" s="12">
        <f>IFERROR(C477*D477, "")</f>
        <v/>
      </c>
      <c r="M477" s="12">
        <f>IFERROR(L477-E477-F477+G477+H477+I477-J477-K477, "")</f>
        <v/>
      </c>
      <c r="N477" s="11">
        <f>IFERROR(_xll.ciqfunctions.udf.CIQ(mh_ticker, "IQ_EBITDA_EST", IQ_NTM, B477, , , "USD"), "")</f>
        <v/>
      </c>
      <c r="O477" s="13">
        <f>IFERROR(M477/N477, "")</f>
        <v/>
      </c>
    </row>
    <row r="478">
      <c r="B478" s="8" t="n"/>
      <c r="C478" s="9">
        <f>IFERROR(_xll.ciqfunctions.udf.CIQ(mh_ticker, "IQ_LASTSALEPRICE", B478), "")</f>
        <v/>
      </c>
      <c r="D478" s="10">
        <f>IFERROR(_xll.ciqfunctions.udf.CIQ(mh_ticker, "IQ_SHARESOUTSTANDING_OUT", B478), "")</f>
        <v/>
      </c>
      <c r="E478" s="11">
        <f>IFERROR(_xll.ciqfunctions.udf.CIQ(mh_ticker, "IQ_CASH_EQUIV", , B478), "")</f>
        <v/>
      </c>
      <c r="F478" s="11">
        <f>IFERROR(_xll.ciqfunctions.udf.CIQ(mh_ticker, "IQ_ST_INVEST", , B478), "")</f>
        <v/>
      </c>
      <c r="G478" s="11">
        <f>IFERROR(_xll.ciqfunctions.udf.CIQ(mh_ticker, "IQ_TOTAL_DEBT_EXCL_OPER_LEASES", , B478), "")</f>
        <v/>
      </c>
      <c r="H478" s="11">
        <f>IFERROR(_xll.ciqfunctions.udf.CIQ(mh_ticker, "IQ_PREF_EQUITY", , B478), "")</f>
        <v/>
      </c>
      <c r="I478" s="11">
        <f>IFERROR(_xll.ciqfunctions.udf.CIQ(mh_ticker, "IQ_MINORITY_INTEREST", , B478), "")</f>
        <v/>
      </c>
      <c r="J478" s="11">
        <f>IFERROR(_xll.ciqfunctions.udf.CIQ(mh_ticker, "IQ_EQUITY_METHOD", , B478), "")</f>
        <v/>
      </c>
      <c r="K478" s="11">
        <f>IFERROR(_xll.ciqfunctions.udf.CIQ(mh_ticker, "IQ_LT_Mark_Securities", , B478), "")</f>
        <v/>
      </c>
      <c r="L478" s="12">
        <f>IFERROR(C478*D478, "")</f>
        <v/>
      </c>
      <c r="M478" s="12">
        <f>IFERROR(L478-E478-F478+G478+H478+I478-J478-K478, "")</f>
        <v/>
      </c>
      <c r="N478" s="11">
        <f>IFERROR(_xll.ciqfunctions.udf.CIQ(mh_ticker, "IQ_EBITDA_EST", IQ_NTM, B478, , , "USD"), "")</f>
        <v/>
      </c>
      <c r="O478" s="13">
        <f>IFERROR(M478/N478, "")</f>
        <v/>
      </c>
    </row>
    <row r="479">
      <c r="B479" s="8" t="n"/>
      <c r="C479" s="9">
        <f>IFERROR(_xll.ciqfunctions.udf.CIQ(mh_ticker, "IQ_LASTSALEPRICE", B479), "")</f>
        <v/>
      </c>
      <c r="D479" s="10">
        <f>IFERROR(_xll.ciqfunctions.udf.CIQ(mh_ticker, "IQ_SHARESOUTSTANDING_OUT", B479), "")</f>
        <v/>
      </c>
      <c r="E479" s="11">
        <f>IFERROR(_xll.ciqfunctions.udf.CIQ(mh_ticker, "IQ_CASH_EQUIV", , B479), "")</f>
        <v/>
      </c>
      <c r="F479" s="11">
        <f>IFERROR(_xll.ciqfunctions.udf.CIQ(mh_ticker, "IQ_ST_INVEST", , B479), "")</f>
        <v/>
      </c>
      <c r="G479" s="11">
        <f>IFERROR(_xll.ciqfunctions.udf.CIQ(mh_ticker, "IQ_TOTAL_DEBT_EXCL_OPER_LEASES", , B479), "")</f>
        <v/>
      </c>
      <c r="H479" s="11">
        <f>IFERROR(_xll.ciqfunctions.udf.CIQ(mh_ticker, "IQ_PREF_EQUITY", , B479), "")</f>
        <v/>
      </c>
      <c r="I479" s="11">
        <f>IFERROR(_xll.ciqfunctions.udf.CIQ(mh_ticker, "IQ_MINORITY_INTEREST", , B479), "")</f>
        <v/>
      </c>
      <c r="J479" s="11">
        <f>IFERROR(_xll.ciqfunctions.udf.CIQ(mh_ticker, "IQ_EQUITY_METHOD", , B479), "")</f>
        <v/>
      </c>
      <c r="K479" s="11">
        <f>IFERROR(_xll.ciqfunctions.udf.CIQ(mh_ticker, "IQ_LT_Mark_Securities", , B479), "")</f>
        <v/>
      </c>
      <c r="L479" s="12">
        <f>IFERROR(C479*D479, "")</f>
        <v/>
      </c>
      <c r="M479" s="12">
        <f>IFERROR(L479-E479-F479+G479+H479+I479-J479-K479, "")</f>
        <v/>
      </c>
      <c r="N479" s="11">
        <f>IFERROR(_xll.ciqfunctions.udf.CIQ(mh_ticker, "IQ_EBITDA_EST", IQ_NTM, B479, , , "USD"), "")</f>
        <v/>
      </c>
      <c r="O479" s="13">
        <f>IFERROR(M479/N479, "")</f>
        <v/>
      </c>
    </row>
    <row r="480">
      <c r="B480" s="8" t="n"/>
      <c r="C480" s="9">
        <f>IFERROR(_xll.ciqfunctions.udf.CIQ(mh_ticker, "IQ_LASTSALEPRICE", B480), "")</f>
        <v/>
      </c>
      <c r="D480" s="10">
        <f>IFERROR(_xll.ciqfunctions.udf.CIQ(mh_ticker, "IQ_SHARESOUTSTANDING_OUT", B480), "")</f>
        <v/>
      </c>
      <c r="E480" s="11">
        <f>IFERROR(_xll.ciqfunctions.udf.CIQ(mh_ticker, "IQ_CASH_EQUIV", , B480), "")</f>
        <v/>
      </c>
      <c r="F480" s="11">
        <f>IFERROR(_xll.ciqfunctions.udf.CIQ(mh_ticker, "IQ_ST_INVEST", , B480), "")</f>
        <v/>
      </c>
      <c r="G480" s="11">
        <f>IFERROR(_xll.ciqfunctions.udf.CIQ(mh_ticker, "IQ_TOTAL_DEBT_EXCL_OPER_LEASES", , B480), "")</f>
        <v/>
      </c>
      <c r="H480" s="11">
        <f>IFERROR(_xll.ciqfunctions.udf.CIQ(mh_ticker, "IQ_PREF_EQUITY", , B480), "")</f>
        <v/>
      </c>
      <c r="I480" s="11">
        <f>IFERROR(_xll.ciqfunctions.udf.CIQ(mh_ticker, "IQ_MINORITY_INTEREST", , B480), "")</f>
        <v/>
      </c>
      <c r="J480" s="11">
        <f>IFERROR(_xll.ciqfunctions.udf.CIQ(mh_ticker, "IQ_EQUITY_METHOD", , B480), "")</f>
        <v/>
      </c>
      <c r="K480" s="11">
        <f>IFERROR(_xll.ciqfunctions.udf.CIQ(mh_ticker, "IQ_LT_Mark_Securities", , B480), "")</f>
        <v/>
      </c>
      <c r="L480" s="12">
        <f>IFERROR(C480*D480, "")</f>
        <v/>
      </c>
      <c r="M480" s="12">
        <f>IFERROR(L480-E480-F480+G480+H480+I480-J480-K480, "")</f>
        <v/>
      </c>
      <c r="N480" s="11">
        <f>IFERROR(_xll.ciqfunctions.udf.CIQ(mh_ticker, "IQ_EBITDA_EST", IQ_NTM, B480, , , "USD"), "")</f>
        <v/>
      </c>
      <c r="O480" s="13">
        <f>IFERROR(M480/N480, "")</f>
        <v/>
      </c>
    </row>
    <row r="481">
      <c r="B481" s="8" t="n"/>
      <c r="C481" s="9">
        <f>IFERROR(_xll.ciqfunctions.udf.CIQ(mh_ticker, "IQ_LASTSALEPRICE", B481), "")</f>
        <v/>
      </c>
      <c r="D481" s="10">
        <f>IFERROR(_xll.ciqfunctions.udf.CIQ(mh_ticker, "IQ_SHARESOUTSTANDING_OUT", B481), "")</f>
        <v/>
      </c>
      <c r="E481" s="11">
        <f>IFERROR(_xll.ciqfunctions.udf.CIQ(mh_ticker, "IQ_CASH_EQUIV", , B481), "")</f>
        <v/>
      </c>
      <c r="F481" s="11">
        <f>IFERROR(_xll.ciqfunctions.udf.CIQ(mh_ticker, "IQ_ST_INVEST", , B481), "")</f>
        <v/>
      </c>
      <c r="G481" s="11">
        <f>IFERROR(_xll.ciqfunctions.udf.CIQ(mh_ticker, "IQ_TOTAL_DEBT_EXCL_OPER_LEASES", , B481), "")</f>
        <v/>
      </c>
      <c r="H481" s="11">
        <f>IFERROR(_xll.ciqfunctions.udf.CIQ(mh_ticker, "IQ_PREF_EQUITY", , B481), "")</f>
        <v/>
      </c>
      <c r="I481" s="11">
        <f>IFERROR(_xll.ciqfunctions.udf.CIQ(mh_ticker, "IQ_MINORITY_INTEREST", , B481), "")</f>
        <v/>
      </c>
      <c r="J481" s="11">
        <f>IFERROR(_xll.ciqfunctions.udf.CIQ(mh_ticker, "IQ_EQUITY_METHOD", , B481), "")</f>
        <v/>
      </c>
      <c r="K481" s="11">
        <f>IFERROR(_xll.ciqfunctions.udf.CIQ(mh_ticker, "IQ_LT_Mark_Securities", , B481), "")</f>
        <v/>
      </c>
      <c r="L481" s="12">
        <f>IFERROR(C481*D481, "")</f>
        <v/>
      </c>
      <c r="M481" s="12">
        <f>IFERROR(L481-E481-F481+G481+H481+I481-J481-K481, "")</f>
        <v/>
      </c>
      <c r="N481" s="11">
        <f>IFERROR(_xll.ciqfunctions.udf.CIQ(mh_ticker, "IQ_EBITDA_EST", IQ_NTM, B481, , , "USD"), "")</f>
        <v/>
      </c>
      <c r="O481" s="13">
        <f>IFERROR(M481/N481, "")</f>
        <v/>
      </c>
    </row>
    <row r="482">
      <c r="B482" s="8" t="n"/>
      <c r="C482" s="9">
        <f>IFERROR(_xll.ciqfunctions.udf.CIQ(mh_ticker, "IQ_LASTSALEPRICE", B482), "")</f>
        <v/>
      </c>
      <c r="D482" s="10">
        <f>IFERROR(_xll.ciqfunctions.udf.CIQ(mh_ticker, "IQ_SHARESOUTSTANDING_OUT", B482), "")</f>
        <v/>
      </c>
      <c r="E482" s="11">
        <f>IFERROR(_xll.ciqfunctions.udf.CIQ(mh_ticker, "IQ_CASH_EQUIV", , B482), "")</f>
        <v/>
      </c>
      <c r="F482" s="11">
        <f>IFERROR(_xll.ciqfunctions.udf.CIQ(mh_ticker, "IQ_ST_INVEST", , B482), "")</f>
        <v/>
      </c>
      <c r="G482" s="11">
        <f>IFERROR(_xll.ciqfunctions.udf.CIQ(mh_ticker, "IQ_TOTAL_DEBT_EXCL_OPER_LEASES", , B482), "")</f>
        <v/>
      </c>
      <c r="H482" s="11">
        <f>IFERROR(_xll.ciqfunctions.udf.CIQ(mh_ticker, "IQ_PREF_EQUITY", , B482), "")</f>
        <v/>
      </c>
      <c r="I482" s="11">
        <f>IFERROR(_xll.ciqfunctions.udf.CIQ(mh_ticker, "IQ_MINORITY_INTEREST", , B482), "")</f>
        <v/>
      </c>
      <c r="J482" s="11">
        <f>IFERROR(_xll.ciqfunctions.udf.CIQ(mh_ticker, "IQ_EQUITY_METHOD", , B482), "")</f>
        <v/>
      </c>
      <c r="K482" s="11">
        <f>IFERROR(_xll.ciqfunctions.udf.CIQ(mh_ticker, "IQ_LT_Mark_Securities", , B482), "")</f>
        <v/>
      </c>
      <c r="L482" s="12">
        <f>IFERROR(C482*D482, "")</f>
        <v/>
      </c>
      <c r="M482" s="12">
        <f>IFERROR(L482-E482-F482+G482+H482+I482-J482-K482, "")</f>
        <v/>
      </c>
      <c r="N482" s="11">
        <f>IFERROR(_xll.ciqfunctions.udf.CIQ(mh_ticker, "IQ_EBITDA_EST", IQ_NTM, B482, , , "USD"), "")</f>
        <v/>
      </c>
      <c r="O482" s="13">
        <f>IFERROR(M482/N482, "")</f>
        <v/>
      </c>
    </row>
    <row r="483">
      <c r="B483" s="8" t="n"/>
      <c r="C483" s="9">
        <f>IFERROR(_xll.ciqfunctions.udf.CIQ(mh_ticker, "IQ_LASTSALEPRICE", B483), "")</f>
        <v/>
      </c>
      <c r="D483" s="10">
        <f>IFERROR(_xll.ciqfunctions.udf.CIQ(mh_ticker, "IQ_SHARESOUTSTANDING_OUT", B483), "")</f>
        <v/>
      </c>
      <c r="E483" s="11">
        <f>IFERROR(_xll.ciqfunctions.udf.CIQ(mh_ticker, "IQ_CASH_EQUIV", , B483), "")</f>
        <v/>
      </c>
      <c r="F483" s="11">
        <f>IFERROR(_xll.ciqfunctions.udf.CIQ(mh_ticker, "IQ_ST_INVEST", , B483), "")</f>
        <v/>
      </c>
      <c r="G483" s="11">
        <f>IFERROR(_xll.ciqfunctions.udf.CIQ(mh_ticker, "IQ_TOTAL_DEBT_EXCL_OPER_LEASES", , B483), "")</f>
        <v/>
      </c>
      <c r="H483" s="11">
        <f>IFERROR(_xll.ciqfunctions.udf.CIQ(mh_ticker, "IQ_PREF_EQUITY", , B483), "")</f>
        <v/>
      </c>
      <c r="I483" s="11">
        <f>IFERROR(_xll.ciqfunctions.udf.CIQ(mh_ticker, "IQ_MINORITY_INTEREST", , B483), "")</f>
        <v/>
      </c>
      <c r="J483" s="11">
        <f>IFERROR(_xll.ciqfunctions.udf.CIQ(mh_ticker, "IQ_EQUITY_METHOD", , B483), "")</f>
        <v/>
      </c>
      <c r="K483" s="11">
        <f>IFERROR(_xll.ciqfunctions.udf.CIQ(mh_ticker, "IQ_LT_Mark_Securities", , B483), "")</f>
        <v/>
      </c>
      <c r="L483" s="12">
        <f>IFERROR(C483*D483, "")</f>
        <v/>
      </c>
      <c r="M483" s="12">
        <f>IFERROR(L483-E483-F483+G483+H483+I483-J483-K483, "")</f>
        <v/>
      </c>
      <c r="N483" s="11">
        <f>IFERROR(_xll.ciqfunctions.udf.CIQ(mh_ticker, "IQ_EBITDA_EST", IQ_NTM, B483, , , "USD"), "")</f>
        <v/>
      </c>
      <c r="O483" s="13">
        <f>IFERROR(M483/N483, "")</f>
        <v/>
      </c>
    </row>
    <row r="484">
      <c r="B484" s="8" t="n"/>
      <c r="C484" s="9">
        <f>IFERROR(_xll.ciqfunctions.udf.CIQ(mh_ticker, "IQ_LASTSALEPRICE", B484), "")</f>
        <v/>
      </c>
      <c r="D484" s="10">
        <f>IFERROR(_xll.ciqfunctions.udf.CIQ(mh_ticker, "IQ_SHARESOUTSTANDING_OUT", B484), "")</f>
        <v/>
      </c>
      <c r="E484" s="11">
        <f>IFERROR(_xll.ciqfunctions.udf.CIQ(mh_ticker, "IQ_CASH_EQUIV", , B484), "")</f>
        <v/>
      </c>
      <c r="F484" s="11">
        <f>IFERROR(_xll.ciqfunctions.udf.CIQ(mh_ticker, "IQ_ST_INVEST", , B484), "")</f>
        <v/>
      </c>
      <c r="G484" s="11">
        <f>IFERROR(_xll.ciqfunctions.udf.CIQ(mh_ticker, "IQ_TOTAL_DEBT_EXCL_OPER_LEASES", , B484), "")</f>
        <v/>
      </c>
      <c r="H484" s="11">
        <f>IFERROR(_xll.ciqfunctions.udf.CIQ(mh_ticker, "IQ_PREF_EQUITY", , B484), "")</f>
        <v/>
      </c>
      <c r="I484" s="11">
        <f>IFERROR(_xll.ciqfunctions.udf.CIQ(mh_ticker, "IQ_MINORITY_INTEREST", , B484), "")</f>
        <v/>
      </c>
      <c r="J484" s="11">
        <f>IFERROR(_xll.ciqfunctions.udf.CIQ(mh_ticker, "IQ_EQUITY_METHOD", , B484), "")</f>
        <v/>
      </c>
      <c r="K484" s="11">
        <f>IFERROR(_xll.ciqfunctions.udf.CIQ(mh_ticker, "IQ_LT_Mark_Securities", , B484), "")</f>
        <v/>
      </c>
      <c r="L484" s="12">
        <f>IFERROR(C484*D484, "")</f>
        <v/>
      </c>
      <c r="M484" s="12">
        <f>IFERROR(L484-E484-F484+G484+H484+I484-J484-K484, "")</f>
        <v/>
      </c>
      <c r="N484" s="11">
        <f>IFERROR(_xll.ciqfunctions.udf.CIQ(mh_ticker, "IQ_EBITDA_EST", IQ_NTM, B484, , , "USD"), "")</f>
        <v/>
      </c>
      <c r="O484" s="13">
        <f>IFERROR(M484/N484, "")</f>
        <v/>
      </c>
    </row>
    <row r="485">
      <c r="B485" s="8" t="n"/>
      <c r="C485" s="9">
        <f>IFERROR(_xll.ciqfunctions.udf.CIQ(mh_ticker, "IQ_LASTSALEPRICE", B485), "")</f>
        <v/>
      </c>
      <c r="D485" s="10">
        <f>IFERROR(_xll.ciqfunctions.udf.CIQ(mh_ticker, "IQ_SHARESOUTSTANDING_OUT", B485), "")</f>
        <v/>
      </c>
      <c r="E485" s="11">
        <f>IFERROR(_xll.ciqfunctions.udf.CIQ(mh_ticker, "IQ_CASH_EQUIV", , B485), "")</f>
        <v/>
      </c>
      <c r="F485" s="11">
        <f>IFERROR(_xll.ciqfunctions.udf.CIQ(mh_ticker, "IQ_ST_INVEST", , B485), "")</f>
        <v/>
      </c>
      <c r="G485" s="11">
        <f>IFERROR(_xll.ciqfunctions.udf.CIQ(mh_ticker, "IQ_TOTAL_DEBT_EXCL_OPER_LEASES", , B485), "")</f>
        <v/>
      </c>
      <c r="H485" s="11">
        <f>IFERROR(_xll.ciqfunctions.udf.CIQ(mh_ticker, "IQ_PREF_EQUITY", , B485), "")</f>
        <v/>
      </c>
      <c r="I485" s="11">
        <f>IFERROR(_xll.ciqfunctions.udf.CIQ(mh_ticker, "IQ_MINORITY_INTEREST", , B485), "")</f>
        <v/>
      </c>
      <c r="J485" s="11">
        <f>IFERROR(_xll.ciqfunctions.udf.CIQ(mh_ticker, "IQ_EQUITY_METHOD", , B485), "")</f>
        <v/>
      </c>
      <c r="K485" s="11">
        <f>IFERROR(_xll.ciqfunctions.udf.CIQ(mh_ticker, "IQ_LT_Mark_Securities", , B485), "")</f>
        <v/>
      </c>
      <c r="L485" s="12">
        <f>IFERROR(C485*D485, "")</f>
        <v/>
      </c>
      <c r="M485" s="12">
        <f>IFERROR(L485-E485-F485+G485+H485+I485-J485-K485, "")</f>
        <v/>
      </c>
      <c r="N485" s="11">
        <f>IFERROR(_xll.ciqfunctions.udf.CIQ(mh_ticker, "IQ_EBITDA_EST", IQ_NTM, B485, , , "USD"), "")</f>
        <v/>
      </c>
      <c r="O485" s="13">
        <f>IFERROR(M485/N485, "")</f>
        <v/>
      </c>
    </row>
    <row r="486">
      <c r="B486" s="8" t="n"/>
      <c r="C486" s="9">
        <f>IFERROR(_xll.ciqfunctions.udf.CIQ(mh_ticker, "IQ_LASTSALEPRICE", B486), "")</f>
        <v/>
      </c>
      <c r="D486" s="10">
        <f>IFERROR(_xll.ciqfunctions.udf.CIQ(mh_ticker, "IQ_SHARESOUTSTANDING_OUT", B486), "")</f>
        <v/>
      </c>
      <c r="E486" s="11">
        <f>IFERROR(_xll.ciqfunctions.udf.CIQ(mh_ticker, "IQ_CASH_EQUIV", , B486), "")</f>
        <v/>
      </c>
      <c r="F486" s="11">
        <f>IFERROR(_xll.ciqfunctions.udf.CIQ(mh_ticker, "IQ_ST_INVEST", , B486), "")</f>
        <v/>
      </c>
      <c r="G486" s="11">
        <f>IFERROR(_xll.ciqfunctions.udf.CIQ(mh_ticker, "IQ_TOTAL_DEBT_EXCL_OPER_LEASES", , B486), "")</f>
        <v/>
      </c>
      <c r="H486" s="11">
        <f>IFERROR(_xll.ciqfunctions.udf.CIQ(mh_ticker, "IQ_PREF_EQUITY", , B486), "")</f>
        <v/>
      </c>
      <c r="I486" s="11">
        <f>IFERROR(_xll.ciqfunctions.udf.CIQ(mh_ticker, "IQ_MINORITY_INTEREST", , B486), "")</f>
        <v/>
      </c>
      <c r="J486" s="11">
        <f>IFERROR(_xll.ciqfunctions.udf.CIQ(mh_ticker, "IQ_EQUITY_METHOD", , B486), "")</f>
        <v/>
      </c>
      <c r="K486" s="11">
        <f>IFERROR(_xll.ciqfunctions.udf.CIQ(mh_ticker, "IQ_LT_Mark_Securities", , B486), "")</f>
        <v/>
      </c>
      <c r="L486" s="12">
        <f>IFERROR(C486*D486, "")</f>
        <v/>
      </c>
      <c r="M486" s="12">
        <f>IFERROR(L486-E486-F486+G486+H486+I486-J486-K486, "")</f>
        <v/>
      </c>
      <c r="N486" s="11">
        <f>IFERROR(_xll.ciqfunctions.udf.CIQ(mh_ticker, "IQ_EBITDA_EST", IQ_NTM, B486, , , "USD"), "")</f>
        <v/>
      </c>
      <c r="O486" s="13">
        <f>IFERROR(M486/N486, "")</f>
        <v/>
      </c>
    </row>
    <row r="487">
      <c r="B487" s="8" t="n"/>
      <c r="C487" s="9">
        <f>IFERROR(_xll.ciqfunctions.udf.CIQ(mh_ticker, "IQ_LASTSALEPRICE", B487), "")</f>
        <v/>
      </c>
      <c r="D487" s="10">
        <f>IFERROR(_xll.ciqfunctions.udf.CIQ(mh_ticker, "IQ_SHARESOUTSTANDING_OUT", B487), "")</f>
        <v/>
      </c>
      <c r="E487" s="11">
        <f>IFERROR(_xll.ciqfunctions.udf.CIQ(mh_ticker, "IQ_CASH_EQUIV", , B487), "")</f>
        <v/>
      </c>
      <c r="F487" s="11">
        <f>IFERROR(_xll.ciqfunctions.udf.CIQ(mh_ticker, "IQ_ST_INVEST", , B487), "")</f>
        <v/>
      </c>
      <c r="G487" s="11">
        <f>IFERROR(_xll.ciqfunctions.udf.CIQ(mh_ticker, "IQ_TOTAL_DEBT_EXCL_OPER_LEASES", , B487), "")</f>
        <v/>
      </c>
      <c r="H487" s="11">
        <f>IFERROR(_xll.ciqfunctions.udf.CIQ(mh_ticker, "IQ_PREF_EQUITY", , B487), "")</f>
        <v/>
      </c>
      <c r="I487" s="11">
        <f>IFERROR(_xll.ciqfunctions.udf.CIQ(mh_ticker, "IQ_MINORITY_INTEREST", , B487), "")</f>
        <v/>
      </c>
      <c r="J487" s="11">
        <f>IFERROR(_xll.ciqfunctions.udf.CIQ(mh_ticker, "IQ_EQUITY_METHOD", , B487), "")</f>
        <v/>
      </c>
      <c r="K487" s="11">
        <f>IFERROR(_xll.ciqfunctions.udf.CIQ(mh_ticker, "IQ_LT_Mark_Securities", , B487), "")</f>
        <v/>
      </c>
      <c r="L487" s="12">
        <f>IFERROR(C487*D487, "")</f>
        <v/>
      </c>
      <c r="M487" s="12">
        <f>IFERROR(L487-E487-F487+G487+H487+I487-J487-K487, "")</f>
        <v/>
      </c>
      <c r="N487" s="11">
        <f>IFERROR(_xll.ciqfunctions.udf.CIQ(mh_ticker, "IQ_EBITDA_EST", IQ_NTM, B487, , , "USD"), "")</f>
        <v/>
      </c>
      <c r="O487" s="13">
        <f>IFERROR(M487/N487, "")</f>
        <v/>
      </c>
    </row>
    <row r="488">
      <c r="B488" s="8" t="n"/>
      <c r="C488" s="9">
        <f>IFERROR(_xll.ciqfunctions.udf.CIQ(mh_ticker, "IQ_LASTSALEPRICE", B488), "")</f>
        <v/>
      </c>
      <c r="D488" s="10">
        <f>IFERROR(_xll.ciqfunctions.udf.CIQ(mh_ticker, "IQ_SHARESOUTSTANDING_OUT", B488), "")</f>
        <v/>
      </c>
      <c r="E488" s="11">
        <f>IFERROR(_xll.ciqfunctions.udf.CIQ(mh_ticker, "IQ_CASH_EQUIV", , B488), "")</f>
        <v/>
      </c>
      <c r="F488" s="11">
        <f>IFERROR(_xll.ciqfunctions.udf.CIQ(mh_ticker, "IQ_ST_INVEST", , B488), "")</f>
        <v/>
      </c>
      <c r="G488" s="11">
        <f>IFERROR(_xll.ciqfunctions.udf.CIQ(mh_ticker, "IQ_TOTAL_DEBT_EXCL_OPER_LEASES", , B488), "")</f>
        <v/>
      </c>
      <c r="H488" s="11">
        <f>IFERROR(_xll.ciqfunctions.udf.CIQ(mh_ticker, "IQ_PREF_EQUITY", , B488), "")</f>
        <v/>
      </c>
      <c r="I488" s="11">
        <f>IFERROR(_xll.ciqfunctions.udf.CIQ(mh_ticker, "IQ_MINORITY_INTEREST", , B488), "")</f>
        <v/>
      </c>
      <c r="J488" s="11">
        <f>IFERROR(_xll.ciqfunctions.udf.CIQ(mh_ticker, "IQ_EQUITY_METHOD", , B488), "")</f>
        <v/>
      </c>
      <c r="K488" s="11">
        <f>IFERROR(_xll.ciqfunctions.udf.CIQ(mh_ticker, "IQ_LT_Mark_Securities", , B488), "")</f>
        <v/>
      </c>
      <c r="L488" s="12">
        <f>IFERROR(C488*D488, "")</f>
        <v/>
      </c>
      <c r="M488" s="12">
        <f>IFERROR(L488-E488-F488+G488+H488+I488-J488-K488, "")</f>
        <v/>
      </c>
      <c r="N488" s="11">
        <f>IFERROR(_xll.ciqfunctions.udf.CIQ(mh_ticker, "IQ_EBITDA_EST", IQ_NTM, B488, , , "USD"), "")</f>
        <v/>
      </c>
      <c r="O488" s="13">
        <f>IFERROR(M488/N488, "")</f>
        <v/>
      </c>
    </row>
    <row r="489">
      <c r="B489" s="8" t="n"/>
      <c r="C489" s="9">
        <f>IFERROR(_xll.ciqfunctions.udf.CIQ(mh_ticker, "IQ_LASTSALEPRICE", B489), "")</f>
        <v/>
      </c>
      <c r="D489" s="10">
        <f>IFERROR(_xll.ciqfunctions.udf.CIQ(mh_ticker, "IQ_SHARESOUTSTANDING_OUT", B489), "")</f>
        <v/>
      </c>
      <c r="E489" s="11">
        <f>IFERROR(_xll.ciqfunctions.udf.CIQ(mh_ticker, "IQ_CASH_EQUIV", , B489), "")</f>
        <v/>
      </c>
      <c r="F489" s="11">
        <f>IFERROR(_xll.ciqfunctions.udf.CIQ(mh_ticker, "IQ_ST_INVEST", , B489), "")</f>
        <v/>
      </c>
      <c r="G489" s="11">
        <f>IFERROR(_xll.ciqfunctions.udf.CIQ(mh_ticker, "IQ_TOTAL_DEBT_EXCL_OPER_LEASES", , B489), "")</f>
        <v/>
      </c>
      <c r="H489" s="11">
        <f>IFERROR(_xll.ciqfunctions.udf.CIQ(mh_ticker, "IQ_PREF_EQUITY", , B489), "")</f>
        <v/>
      </c>
      <c r="I489" s="11">
        <f>IFERROR(_xll.ciqfunctions.udf.CIQ(mh_ticker, "IQ_MINORITY_INTEREST", , B489), "")</f>
        <v/>
      </c>
      <c r="J489" s="11">
        <f>IFERROR(_xll.ciqfunctions.udf.CIQ(mh_ticker, "IQ_EQUITY_METHOD", , B489), "")</f>
        <v/>
      </c>
      <c r="K489" s="11">
        <f>IFERROR(_xll.ciqfunctions.udf.CIQ(mh_ticker, "IQ_LT_Mark_Securities", , B489), "")</f>
        <v/>
      </c>
      <c r="L489" s="12">
        <f>IFERROR(C489*D489, "")</f>
        <v/>
      </c>
      <c r="M489" s="12">
        <f>IFERROR(L489-E489-F489+G489+H489+I489-J489-K489, "")</f>
        <v/>
      </c>
      <c r="N489" s="11">
        <f>IFERROR(_xll.ciqfunctions.udf.CIQ(mh_ticker, "IQ_EBITDA_EST", IQ_NTM, B489, , , "USD"), "")</f>
        <v/>
      </c>
      <c r="O489" s="13">
        <f>IFERROR(M489/N489, "")</f>
        <v/>
      </c>
    </row>
    <row r="490">
      <c r="B490" s="8" t="n"/>
      <c r="C490" s="9">
        <f>IFERROR(_xll.ciqfunctions.udf.CIQ(mh_ticker, "IQ_LASTSALEPRICE", B490), "")</f>
        <v/>
      </c>
      <c r="D490" s="10">
        <f>IFERROR(_xll.ciqfunctions.udf.CIQ(mh_ticker, "IQ_SHARESOUTSTANDING_OUT", B490), "")</f>
        <v/>
      </c>
      <c r="E490" s="11">
        <f>IFERROR(_xll.ciqfunctions.udf.CIQ(mh_ticker, "IQ_CASH_EQUIV", , B490), "")</f>
        <v/>
      </c>
      <c r="F490" s="11">
        <f>IFERROR(_xll.ciqfunctions.udf.CIQ(mh_ticker, "IQ_ST_INVEST", , B490), "")</f>
        <v/>
      </c>
      <c r="G490" s="11">
        <f>IFERROR(_xll.ciqfunctions.udf.CIQ(mh_ticker, "IQ_TOTAL_DEBT_EXCL_OPER_LEASES", , B490), "")</f>
        <v/>
      </c>
      <c r="H490" s="11">
        <f>IFERROR(_xll.ciqfunctions.udf.CIQ(mh_ticker, "IQ_PREF_EQUITY", , B490), "")</f>
        <v/>
      </c>
      <c r="I490" s="11">
        <f>IFERROR(_xll.ciqfunctions.udf.CIQ(mh_ticker, "IQ_MINORITY_INTEREST", , B490), "")</f>
        <v/>
      </c>
      <c r="J490" s="11">
        <f>IFERROR(_xll.ciqfunctions.udf.CIQ(mh_ticker, "IQ_EQUITY_METHOD", , B490), "")</f>
        <v/>
      </c>
      <c r="K490" s="11">
        <f>IFERROR(_xll.ciqfunctions.udf.CIQ(mh_ticker, "IQ_LT_Mark_Securities", , B490), "")</f>
        <v/>
      </c>
      <c r="L490" s="12">
        <f>IFERROR(C490*D490, "")</f>
        <v/>
      </c>
      <c r="M490" s="12">
        <f>IFERROR(L490-E490-F490+G490+H490+I490-J490-K490, "")</f>
        <v/>
      </c>
      <c r="N490" s="11">
        <f>IFERROR(_xll.ciqfunctions.udf.CIQ(mh_ticker, "IQ_EBITDA_EST", IQ_NTM, B490, , , "USD"), "")</f>
        <v/>
      </c>
      <c r="O490" s="13">
        <f>IFERROR(M490/N490, "")</f>
        <v/>
      </c>
    </row>
    <row r="491">
      <c r="B491" s="8" t="n"/>
      <c r="C491" s="9">
        <f>IFERROR(_xll.ciqfunctions.udf.CIQ(mh_ticker, "IQ_LASTSALEPRICE", B491), "")</f>
        <v/>
      </c>
      <c r="D491" s="10">
        <f>IFERROR(_xll.ciqfunctions.udf.CIQ(mh_ticker, "IQ_SHARESOUTSTANDING_OUT", B491), "")</f>
        <v/>
      </c>
      <c r="E491" s="11">
        <f>IFERROR(_xll.ciqfunctions.udf.CIQ(mh_ticker, "IQ_CASH_EQUIV", , B491), "")</f>
        <v/>
      </c>
      <c r="F491" s="11">
        <f>IFERROR(_xll.ciqfunctions.udf.CIQ(mh_ticker, "IQ_ST_INVEST", , B491), "")</f>
        <v/>
      </c>
      <c r="G491" s="11">
        <f>IFERROR(_xll.ciqfunctions.udf.CIQ(mh_ticker, "IQ_TOTAL_DEBT_EXCL_OPER_LEASES", , B491), "")</f>
        <v/>
      </c>
      <c r="H491" s="11">
        <f>IFERROR(_xll.ciqfunctions.udf.CIQ(mh_ticker, "IQ_PREF_EQUITY", , B491), "")</f>
        <v/>
      </c>
      <c r="I491" s="11">
        <f>IFERROR(_xll.ciqfunctions.udf.CIQ(mh_ticker, "IQ_MINORITY_INTEREST", , B491), "")</f>
        <v/>
      </c>
      <c r="J491" s="11">
        <f>IFERROR(_xll.ciqfunctions.udf.CIQ(mh_ticker, "IQ_EQUITY_METHOD", , B491), "")</f>
        <v/>
      </c>
      <c r="K491" s="11">
        <f>IFERROR(_xll.ciqfunctions.udf.CIQ(mh_ticker, "IQ_LT_Mark_Securities", , B491), "")</f>
        <v/>
      </c>
      <c r="L491" s="12">
        <f>IFERROR(C491*D491, "")</f>
        <v/>
      </c>
      <c r="M491" s="12">
        <f>IFERROR(L491-E491-F491+G491+H491+I491-J491-K491, "")</f>
        <v/>
      </c>
      <c r="N491" s="11">
        <f>IFERROR(_xll.ciqfunctions.udf.CIQ(mh_ticker, "IQ_EBITDA_EST", IQ_NTM, B491, , , "USD"), "")</f>
        <v/>
      </c>
      <c r="O491" s="13">
        <f>IFERROR(M491/N491, "")</f>
        <v/>
      </c>
    </row>
    <row r="492">
      <c r="B492" s="8" t="n"/>
      <c r="C492" s="9">
        <f>IFERROR(_xll.ciqfunctions.udf.CIQ(mh_ticker, "IQ_LASTSALEPRICE", B492), "")</f>
        <v/>
      </c>
      <c r="D492" s="10">
        <f>IFERROR(_xll.ciqfunctions.udf.CIQ(mh_ticker, "IQ_SHARESOUTSTANDING_OUT", B492), "")</f>
        <v/>
      </c>
      <c r="E492" s="11">
        <f>IFERROR(_xll.ciqfunctions.udf.CIQ(mh_ticker, "IQ_CASH_EQUIV", , B492), "")</f>
        <v/>
      </c>
      <c r="F492" s="11">
        <f>IFERROR(_xll.ciqfunctions.udf.CIQ(mh_ticker, "IQ_ST_INVEST", , B492), "")</f>
        <v/>
      </c>
      <c r="G492" s="11">
        <f>IFERROR(_xll.ciqfunctions.udf.CIQ(mh_ticker, "IQ_TOTAL_DEBT_EXCL_OPER_LEASES", , B492), "")</f>
        <v/>
      </c>
      <c r="H492" s="11">
        <f>IFERROR(_xll.ciqfunctions.udf.CIQ(mh_ticker, "IQ_PREF_EQUITY", , B492), "")</f>
        <v/>
      </c>
      <c r="I492" s="11">
        <f>IFERROR(_xll.ciqfunctions.udf.CIQ(mh_ticker, "IQ_MINORITY_INTEREST", , B492), "")</f>
        <v/>
      </c>
      <c r="J492" s="11">
        <f>IFERROR(_xll.ciqfunctions.udf.CIQ(mh_ticker, "IQ_EQUITY_METHOD", , B492), "")</f>
        <v/>
      </c>
      <c r="K492" s="11">
        <f>IFERROR(_xll.ciqfunctions.udf.CIQ(mh_ticker, "IQ_LT_Mark_Securities", , B492), "")</f>
        <v/>
      </c>
      <c r="L492" s="12">
        <f>IFERROR(C492*D492, "")</f>
        <v/>
      </c>
      <c r="M492" s="12">
        <f>IFERROR(L492-E492-F492+G492+H492+I492-J492-K492, "")</f>
        <v/>
      </c>
      <c r="N492" s="11">
        <f>IFERROR(_xll.ciqfunctions.udf.CIQ(mh_ticker, "IQ_EBITDA_EST", IQ_NTM, B492, , , "USD"), "")</f>
        <v/>
      </c>
      <c r="O492" s="13">
        <f>IFERROR(M492/N492, "")</f>
        <v/>
      </c>
    </row>
    <row r="493">
      <c r="B493" s="8" t="n"/>
      <c r="C493" s="9">
        <f>IFERROR(_xll.ciqfunctions.udf.CIQ(mh_ticker, "IQ_LASTSALEPRICE", B493), "")</f>
        <v/>
      </c>
      <c r="D493" s="10">
        <f>IFERROR(_xll.ciqfunctions.udf.CIQ(mh_ticker, "IQ_SHARESOUTSTANDING_OUT", B493), "")</f>
        <v/>
      </c>
      <c r="E493" s="11">
        <f>IFERROR(_xll.ciqfunctions.udf.CIQ(mh_ticker, "IQ_CASH_EQUIV", , B493), "")</f>
        <v/>
      </c>
      <c r="F493" s="11">
        <f>IFERROR(_xll.ciqfunctions.udf.CIQ(mh_ticker, "IQ_ST_INVEST", , B493), "")</f>
        <v/>
      </c>
      <c r="G493" s="11">
        <f>IFERROR(_xll.ciqfunctions.udf.CIQ(mh_ticker, "IQ_TOTAL_DEBT_EXCL_OPER_LEASES", , B493), "")</f>
        <v/>
      </c>
      <c r="H493" s="11">
        <f>IFERROR(_xll.ciqfunctions.udf.CIQ(mh_ticker, "IQ_PREF_EQUITY", , B493), "")</f>
        <v/>
      </c>
      <c r="I493" s="11">
        <f>IFERROR(_xll.ciqfunctions.udf.CIQ(mh_ticker, "IQ_MINORITY_INTEREST", , B493), "")</f>
        <v/>
      </c>
      <c r="J493" s="11">
        <f>IFERROR(_xll.ciqfunctions.udf.CIQ(mh_ticker, "IQ_EQUITY_METHOD", , B493), "")</f>
        <v/>
      </c>
      <c r="K493" s="11">
        <f>IFERROR(_xll.ciqfunctions.udf.CIQ(mh_ticker, "IQ_LT_Mark_Securities", , B493), "")</f>
        <v/>
      </c>
      <c r="L493" s="12">
        <f>IFERROR(C493*D493, "")</f>
        <v/>
      </c>
      <c r="M493" s="12">
        <f>IFERROR(L493-E493-F493+G493+H493+I493-J493-K493, "")</f>
        <v/>
      </c>
      <c r="N493" s="11">
        <f>IFERROR(_xll.ciqfunctions.udf.CIQ(mh_ticker, "IQ_EBITDA_EST", IQ_NTM, B493, , , "USD"), "")</f>
        <v/>
      </c>
      <c r="O493" s="13">
        <f>IFERROR(M493/N493, "")</f>
        <v/>
      </c>
    </row>
    <row r="494">
      <c r="B494" s="8" t="n"/>
      <c r="C494" s="9">
        <f>IFERROR(_xll.ciqfunctions.udf.CIQ(mh_ticker, "IQ_LASTSALEPRICE", B494), "")</f>
        <v/>
      </c>
      <c r="D494" s="10">
        <f>IFERROR(_xll.ciqfunctions.udf.CIQ(mh_ticker, "IQ_SHARESOUTSTANDING_OUT", B494), "")</f>
        <v/>
      </c>
      <c r="E494" s="11">
        <f>IFERROR(_xll.ciqfunctions.udf.CIQ(mh_ticker, "IQ_CASH_EQUIV", , B494), "")</f>
        <v/>
      </c>
      <c r="F494" s="11">
        <f>IFERROR(_xll.ciqfunctions.udf.CIQ(mh_ticker, "IQ_ST_INVEST", , B494), "")</f>
        <v/>
      </c>
      <c r="G494" s="11">
        <f>IFERROR(_xll.ciqfunctions.udf.CIQ(mh_ticker, "IQ_TOTAL_DEBT_EXCL_OPER_LEASES", , B494), "")</f>
        <v/>
      </c>
      <c r="H494" s="11">
        <f>IFERROR(_xll.ciqfunctions.udf.CIQ(mh_ticker, "IQ_PREF_EQUITY", , B494), "")</f>
        <v/>
      </c>
      <c r="I494" s="11">
        <f>IFERROR(_xll.ciqfunctions.udf.CIQ(mh_ticker, "IQ_MINORITY_INTEREST", , B494), "")</f>
        <v/>
      </c>
      <c r="J494" s="11">
        <f>IFERROR(_xll.ciqfunctions.udf.CIQ(mh_ticker, "IQ_EQUITY_METHOD", , B494), "")</f>
        <v/>
      </c>
      <c r="K494" s="11">
        <f>IFERROR(_xll.ciqfunctions.udf.CIQ(mh_ticker, "IQ_LT_Mark_Securities", , B494), "")</f>
        <v/>
      </c>
      <c r="L494" s="12">
        <f>IFERROR(C494*D494, "")</f>
        <v/>
      </c>
      <c r="M494" s="12">
        <f>IFERROR(L494-E494-F494+G494+H494+I494-J494-K494, "")</f>
        <v/>
      </c>
      <c r="N494" s="11">
        <f>IFERROR(_xll.ciqfunctions.udf.CIQ(mh_ticker, "IQ_EBITDA_EST", IQ_NTM, B494, , , "USD"), "")</f>
        <v/>
      </c>
      <c r="O494" s="13">
        <f>IFERROR(M494/N494, "")</f>
        <v/>
      </c>
    </row>
    <row r="495">
      <c r="B495" s="8" t="n"/>
      <c r="C495" s="9">
        <f>IFERROR(_xll.ciqfunctions.udf.CIQ(mh_ticker, "IQ_LASTSALEPRICE", B495), "")</f>
        <v/>
      </c>
      <c r="D495" s="10">
        <f>IFERROR(_xll.ciqfunctions.udf.CIQ(mh_ticker, "IQ_SHARESOUTSTANDING_OUT", B495), "")</f>
        <v/>
      </c>
      <c r="E495" s="11">
        <f>IFERROR(_xll.ciqfunctions.udf.CIQ(mh_ticker, "IQ_CASH_EQUIV", , B495), "")</f>
        <v/>
      </c>
      <c r="F495" s="11">
        <f>IFERROR(_xll.ciqfunctions.udf.CIQ(mh_ticker, "IQ_ST_INVEST", , B495), "")</f>
        <v/>
      </c>
      <c r="G495" s="11">
        <f>IFERROR(_xll.ciqfunctions.udf.CIQ(mh_ticker, "IQ_TOTAL_DEBT_EXCL_OPER_LEASES", , B495), "")</f>
        <v/>
      </c>
      <c r="H495" s="11">
        <f>IFERROR(_xll.ciqfunctions.udf.CIQ(mh_ticker, "IQ_PREF_EQUITY", , B495), "")</f>
        <v/>
      </c>
      <c r="I495" s="11">
        <f>IFERROR(_xll.ciqfunctions.udf.CIQ(mh_ticker, "IQ_MINORITY_INTEREST", , B495), "")</f>
        <v/>
      </c>
      <c r="J495" s="11">
        <f>IFERROR(_xll.ciqfunctions.udf.CIQ(mh_ticker, "IQ_EQUITY_METHOD", , B495), "")</f>
        <v/>
      </c>
      <c r="K495" s="11">
        <f>IFERROR(_xll.ciqfunctions.udf.CIQ(mh_ticker, "IQ_LT_Mark_Securities", , B495), "")</f>
        <v/>
      </c>
      <c r="L495" s="12">
        <f>IFERROR(C495*D495, "")</f>
        <v/>
      </c>
      <c r="M495" s="12">
        <f>IFERROR(L495-E495-F495+G495+H495+I495-J495-K495, "")</f>
        <v/>
      </c>
      <c r="N495" s="11">
        <f>IFERROR(_xll.ciqfunctions.udf.CIQ(mh_ticker, "IQ_EBITDA_EST", IQ_NTM, B495, , , "USD"), "")</f>
        <v/>
      </c>
      <c r="O495" s="13">
        <f>IFERROR(M495/N495, "")</f>
        <v/>
      </c>
    </row>
    <row r="496">
      <c r="B496" s="8" t="n"/>
      <c r="C496" s="9">
        <f>IFERROR(_xll.ciqfunctions.udf.CIQ(mh_ticker, "IQ_LASTSALEPRICE", B496), "")</f>
        <v/>
      </c>
      <c r="D496" s="10">
        <f>IFERROR(_xll.ciqfunctions.udf.CIQ(mh_ticker, "IQ_SHARESOUTSTANDING_OUT", B496), "")</f>
        <v/>
      </c>
      <c r="E496" s="11">
        <f>IFERROR(_xll.ciqfunctions.udf.CIQ(mh_ticker, "IQ_CASH_EQUIV", , B496), "")</f>
        <v/>
      </c>
      <c r="F496" s="11">
        <f>IFERROR(_xll.ciqfunctions.udf.CIQ(mh_ticker, "IQ_ST_INVEST", , B496), "")</f>
        <v/>
      </c>
      <c r="G496" s="11">
        <f>IFERROR(_xll.ciqfunctions.udf.CIQ(mh_ticker, "IQ_TOTAL_DEBT_EXCL_OPER_LEASES", , B496), "")</f>
        <v/>
      </c>
      <c r="H496" s="11">
        <f>IFERROR(_xll.ciqfunctions.udf.CIQ(mh_ticker, "IQ_PREF_EQUITY", , B496), "")</f>
        <v/>
      </c>
      <c r="I496" s="11">
        <f>IFERROR(_xll.ciqfunctions.udf.CIQ(mh_ticker, "IQ_MINORITY_INTEREST", , B496), "")</f>
        <v/>
      </c>
      <c r="J496" s="11">
        <f>IFERROR(_xll.ciqfunctions.udf.CIQ(mh_ticker, "IQ_EQUITY_METHOD", , B496), "")</f>
        <v/>
      </c>
      <c r="K496" s="11">
        <f>IFERROR(_xll.ciqfunctions.udf.CIQ(mh_ticker, "IQ_LT_Mark_Securities", , B496), "")</f>
        <v/>
      </c>
      <c r="L496" s="12">
        <f>IFERROR(C496*D496, "")</f>
        <v/>
      </c>
      <c r="M496" s="12">
        <f>IFERROR(L496-E496-F496+G496+H496+I496-J496-K496, "")</f>
        <v/>
      </c>
      <c r="N496" s="11">
        <f>IFERROR(_xll.ciqfunctions.udf.CIQ(mh_ticker, "IQ_EBITDA_EST", IQ_NTM, B496, , , "USD"), "")</f>
        <v/>
      </c>
      <c r="O496" s="13">
        <f>IFERROR(M496/N496, "")</f>
        <v/>
      </c>
    </row>
    <row r="497">
      <c r="B497" s="8" t="n"/>
      <c r="C497" s="9">
        <f>IFERROR(_xll.ciqfunctions.udf.CIQ(mh_ticker, "IQ_LASTSALEPRICE", B497), "")</f>
        <v/>
      </c>
      <c r="D497" s="10">
        <f>IFERROR(_xll.ciqfunctions.udf.CIQ(mh_ticker, "IQ_SHARESOUTSTANDING_OUT", B497), "")</f>
        <v/>
      </c>
      <c r="E497" s="11">
        <f>IFERROR(_xll.ciqfunctions.udf.CIQ(mh_ticker, "IQ_CASH_EQUIV", , B497), "")</f>
        <v/>
      </c>
      <c r="F497" s="11">
        <f>IFERROR(_xll.ciqfunctions.udf.CIQ(mh_ticker, "IQ_ST_INVEST", , B497), "")</f>
        <v/>
      </c>
      <c r="G497" s="11">
        <f>IFERROR(_xll.ciqfunctions.udf.CIQ(mh_ticker, "IQ_TOTAL_DEBT_EXCL_OPER_LEASES", , B497), "")</f>
        <v/>
      </c>
      <c r="H497" s="11">
        <f>IFERROR(_xll.ciqfunctions.udf.CIQ(mh_ticker, "IQ_PREF_EQUITY", , B497), "")</f>
        <v/>
      </c>
      <c r="I497" s="11">
        <f>IFERROR(_xll.ciqfunctions.udf.CIQ(mh_ticker, "IQ_MINORITY_INTEREST", , B497), "")</f>
        <v/>
      </c>
      <c r="J497" s="11">
        <f>IFERROR(_xll.ciqfunctions.udf.CIQ(mh_ticker, "IQ_EQUITY_METHOD", , B497), "")</f>
        <v/>
      </c>
      <c r="K497" s="11">
        <f>IFERROR(_xll.ciqfunctions.udf.CIQ(mh_ticker, "IQ_LT_Mark_Securities", , B497), "")</f>
        <v/>
      </c>
      <c r="L497" s="12">
        <f>IFERROR(C497*D497, "")</f>
        <v/>
      </c>
      <c r="M497" s="12">
        <f>IFERROR(L497-E497-F497+G497+H497+I497-J497-K497, "")</f>
        <v/>
      </c>
      <c r="N497" s="11">
        <f>IFERROR(_xll.ciqfunctions.udf.CIQ(mh_ticker, "IQ_EBITDA_EST", IQ_NTM, B497, , , "USD"), "")</f>
        <v/>
      </c>
      <c r="O497" s="13">
        <f>IFERROR(M497/N497, "")</f>
        <v/>
      </c>
    </row>
    <row r="498">
      <c r="B498" s="8" t="n"/>
      <c r="C498" s="9">
        <f>IFERROR(_xll.ciqfunctions.udf.CIQ(mh_ticker, "IQ_LASTSALEPRICE", B498), "")</f>
        <v/>
      </c>
      <c r="D498" s="10">
        <f>IFERROR(_xll.ciqfunctions.udf.CIQ(mh_ticker, "IQ_SHARESOUTSTANDING_OUT", B498), "")</f>
        <v/>
      </c>
      <c r="E498" s="11">
        <f>IFERROR(_xll.ciqfunctions.udf.CIQ(mh_ticker, "IQ_CASH_EQUIV", , B498), "")</f>
        <v/>
      </c>
      <c r="F498" s="11">
        <f>IFERROR(_xll.ciqfunctions.udf.CIQ(mh_ticker, "IQ_ST_INVEST", , B498), "")</f>
        <v/>
      </c>
      <c r="G498" s="11">
        <f>IFERROR(_xll.ciqfunctions.udf.CIQ(mh_ticker, "IQ_TOTAL_DEBT_EXCL_OPER_LEASES", , B498), "")</f>
        <v/>
      </c>
      <c r="H498" s="11">
        <f>IFERROR(_xll.ciqfunctions.udf.CIQ(mh_ticker, "IQ_PREF_EQUITY", , B498), "")</f>
        <v/>
      </c>
      <c r="I498" s="11">
        <f>IFERROR(_xll.ciqfunctions.udf.CIQ(mh_ticker, "IQ_MINORITY_INTEREST", , B498), "")</f>
        <v/>
      </c>
      <c r="J498" s="11">
        <f>IFERROR(_xll.ciqfunctions.udf.CIQ(mh_ticker, "IQ_EQUITY_METHOD", , B498), "")</f>
        <v/>
      </c>
      <c r="K498" s="11">
        <f>IFERROR(_xll.ciqfunctions.udf.CIQ(mh_ticker, "IQ_LT_Mark_Securities", , B498), "")</f>
        <v/>
      </c>
      <c r="L498" s="12">
        <f>IFERROR(C498*D498, "")</f>
        <v/>
      </c>
      <c r="M498" s="12">
        <f>IFERROR(L498-E498-F498+G498+H498+I498-J498-K498, "")</f>
        <v/>
      </c>
      <c r="N498" s="11">
        <f>IFERROR(_xll.ciqfunctions.udf.CIQ(mh_ticker, "IQ_EBITDA_EST", IQ_NTM, B498, , , "USD"), "")</f>
        <v/>
      </c>
      <c r="O498" s="13">
        <f>IFERROR(M498/N498, "")</f>
        <v/>
      </c>
    </row>
    <row r="499">
      <c r="B499" s="8" t="n"/>
      <c r="C499" s="9">
        <f>IFERROR(_xll.ciqfunctions.udf.CIQ(mh_ticker, "IQ_LASTSALEPRICE", B499), "")</f>
        <v/>
      </c>
      <c r="D499" s="10">
        <f>IFERROR(_xll.ciqfunctions.udf.CIQ(mh_ticker, "IQ_SHARESOUTSTANDING_OUT", B499), "")</f>
        <v/>
      </c>
      <c r="E499" s="11">
        <f>IFERROR(_xll.ciqfunctions.udf.CIQ(mh_ticker, "IQ_CASH_EQUIV", , B499), "")</f>
        <v/>
      </c>
      <c r="F499" s="11">
        <f>IFERROR(_xll.ciqfunctions.udf.CIQ(mh_ticker, "IQ_ST_INVEST", , B499), "")</f>
        <v/>
      </c>
      <c r="G499" s="11">
        <f>IFERROR(_xll.ciqfunctions.udf.CIQ(mh_ticker, "IQ_TOTAL_DEBT_EXCL_OPER_LEASES", , B499), "")</f>
        <v/>
      </c>
      <c r="H499" s="11">
        <f>IFERROR(_xll.ciqfunctions.udf.CIQ(mh_ticker, "IQ_PREF_EQUITY", , B499), "")</f>
        <v/>
      </c>
      <c r="I499" s="11">
        <f>IFERROR(_xll.ciqfunctions.udf.CIQ(mh_ticker, "IQ_MINORITY_INTEREST", , B499), "")</f>
        <v/>
      </c>
      <c r="J499" s="11">
        <f>IFERROR(_xll.ciqfunctions.udf.CIQ(mh_ticker, "IQ_EQUITY_METHOD", , B499), "")</f>
        <v/>
      </c>
      <c r="K499" s="11">
        <f>IFERROR(_xll.ciqfunctions.udf.CIQ(mh_ticker, "IQ_LT_Mark_Securities", , B499), "")</f>
        <v/>
      </c>
      <c r="L499" s="12">
        <f>IFERROR(C499*D499, "")</f>
        <v/>
      </c>
      <c r="M499" s="12">
        <f>IFERROR(L499-E499-F499+G499+H499+I499-J499-K499, "")</f>
        <v/>
      </c>
      <c r="N499" s="11">
        <f>IFERROR(_xll.ciqfunctions.udf.CIQ(mh_ticker, "IQ_EBITDA_EST", IQ_NTM, B499, , , "USD"), "")</f>
        <v/>
      </c>
      <c r="O499" s="13">
        <f>IFERROR(M499/N499, "")</f>
        <v/>
      </c>
    </row>
    <row r="500">
      <c r="B500" s="8" t="n"/>
      <c r="C500" s="9">
        <f>IFERROR(_xll.ciqfunctions.udf.CIQ(mh_ticker, "IQ_LASTSALEPRICE", B500), "")</f>
        <v/>
      </c>
      <c r="D500" s="10">
        <f>IFERROR(_xll.ciqfunctions.udf.CIQ(mh_ticker, "IQ_SHARESOUTSTANDING_OUT", B500), "")</f>
        <v/>
      </c>
      <c r="E500" s="11">
        <f>IFERROR(_xll.ciqfunctions.udf.CIQ(mh_ticker, "IQ_CASH_EQUIV", , B500), "")</f>
        <v/>
      </c>
      <c r="F500" s="11">
        <f>IFERROR(_xll.ciqfunctions.udf.CIQ(mh_ticker, "IQ_ST_INVEST", , B500), "")</f>
        <v/>
      </c>
      <c r="G500" s="11">
        <f>IFERROR(_xll.ciqfunctions.udf.CIQ(mh_ticker, "IQ_TOTAL_DEBT_EXCL_OPER_LEASES", , B500), "")</f>
        <v/>
      </c>
      <c r="H500" s="11">
        <f>IFERROR(_xll.ciqfunctions.udf.CIQ(mh_ticker, "IQ_PREF_EQUITY", , B500), "")</f>
        <v/>
      </c>
      <c r="I500" s="11">
        <f>IFERROR(_xll.ciqfunctions.udf.CIQ(mh_ticker, "IQ_MINORITY_INTEREST", , B500), "")</f>
        <v/>
      </c>
      <c r="J500" s="11">
        <f>IFERROR(_xll.ciqfunctions.udf.CIQ(mh_ticker, "IQ_EQUITY_METHOD", , B500), "")</f>
        <v/>
      </c>
      <c r="K500" s="11">
        <f>IFERROR(_xll.ciqfunctions.udf.CIQ(mh_ticker, "IQ_LT_Mark_Securities", , B500), "")</f>
        <v/>
      </c>
      <c r="L500" s="12">
        <f>IFERROR(C500*D500, "")</f>
        <v/>
      </c>
      <c r="M500" s="12">
        <f>IFERROR(L500-E500-F500+G500+H500+I500-J500-K500, "")</f>
        <v/>
      </c>
      <c r="N500" s="11">
        <f>IFERROR(_xll.ciqfunctions.udf.CIQ(mh_ticker, "IQ_EBITDA_EST", IQ_NTM, B500, , , "USD"), "")</f>
        <v/>
      </c>
      <c r="O500" s="13">
        <f>IFERROR(M500/N500, "")</f>
        <v/>
      </c>
    </row>
    <row r="501">
      <c r="B501" s="8" t="n"/>
      <c r="C501" s="9">
        <f>IFERROR(_xll.ciqfunctions.udf.CIQ(mh_ticker, "IQ_LASTSALEPRICE", B501), "")</f>
        <v/>
      </c>
      <c r="D501" s="10">
        <f>IFERROR(_xll.ciqfunctions.udf.CIQ(mh_ticker, "IQ_SHARESOUTSTANDING_OUT", B501), "")</f>
        <v/>
      </c>
      <c r="E501" s="11">
        <f>IFERROR(_xll.ciqfunctions.udf.CIQ(mh_ticker, "IQ_CASH_EQUIV", , B501), "")</f>
        <v/>
      </c>
      <c r="F501" s="11">
        <f>IFERROR(_xll.ciqfunctions.udf.CIQ(mh_ticker, "IQ_ST_INVEST", , B501), "")</f>
        <v/>
      </c>
      <c r="G501" s="11">
        <f>IFERROR(_xll.ciqfunctions.udf.CIQ(mh_ticker, "IQ_TOTAL_DEBT_EXCL_OPER_LEASES", , B501), "")</f>
        <v/>
      </c>
      <c r="H501" s="11">
        <f>IFERROR(_xll.ciqfunctions.udf.CIQ(mh_ticker, "IQ_PREF_EQUITY", , B501), "")</f>
        <v/>
      </c>
      <c r="I501" s="11">
        <f>IFERROR(_xll.ciqfunctions.udf.CIQ(mh_ticker, "IQ_MINORITY_INTEREST", , B501), "")</f>
        <v/>
      </c>
      <c r="J501" s="11">
        <f>IFERROR(_xll.ciqfunctions.udf.CIQ(mh_ticker, "IQ_EQUITY_METHOD", , B501), "")</f>
        <v/>
      </c>
      <c r="K501" s="11">
        <f>IFERROR(_xll.ciqfunctions.udf.CIQ(mh_ticker, "IQ_LT_Mark_Securities", , B501), "")</f>
        <v/>
      </c>
      <c r="L501" s="12">
        <f>IFERROR(C501*D501, "")</f>
        <v/>
      </c>
      <c r="M501" s="12">
        <f>IFERROR(L501-E501-F501+G501+H501+I501-J501-K501, "")</f>
        <v/>
      </c>
      <c r="N501" s="11">
        <f>IFERROR(_xll.ciqfunctions.udf.CIQ(mh_ticker, "IQ_EBITDA_EST", IQ_NTM, B501, , , "USD"), "")</f>
        <v/>
      </c>
      <c r="O501" s="13">
        <f>IFERROR(M501/N501, "")</f>
        <v/>
      </c>
    </row>
    <row r="502">
      <c r="B502" s="8" t="n"/>
      <c r="C502" s="9">
        <f>IFERROR(_xll.ciqfunctions.udf.CIQ(mh_ticker, "IQ_LASTSALEPRICE", B502), "")</f>
        <v/>
      </c>
      <c r="D502" s="10">
        <f>IFERROR(_xll.ciqfunctions.udf.CIQ(mh_ticker, "IQ_SHARESOUTSTANDING_OUT", B502), "")</f>
        <v/>
      </c>
      <c r="E502" s="11">
        <f>IFERROR(_xll.ciqfunctions.udf.CIQ(mh_ticker, "IQ_CASH_EQUIV", , B502), "")</f>
        <v/>
      </c>
      <c r="F502" s="11">
        <f>IFERROR(_xll.ciqfunctions.udf.CIQ(mh_ticker, "IQ_ST_INVEST", , B502), "")</f>
        <v/>
      </c>
      <c r="G502" s="11">
        <f>IFERROR(_xll.ciqfunctions.udf.CIQ(mh_ticker, "IQ_TOTAL_DEBT_EXCL_OPER_LEASES", , B502), "")</f>
        <v/>
      </c>
      <c r="H502" s="11">
        <f>IFERROR(_xll.ciqfunctions.udf.CIQ(mh_ticker, "IQ_PREF_EQUITY", , B502), "")</f>
        <v/>
      </c>
      <c r="I502" s="11">
        <f>IFERROR(_xll.ciqfunctions.udf.CIQ(mh_ticker, "IQ_MINORITY_INTEREST", , B502), "")</f>
        <v/>
      </c>
      <c r="J502" s="11">
        <f>IFERROR(_xll.ciqfunctions.udf.CIQ(mh_ticker, "IQ_EQUITY_METHOD", , B502), "")</f>
        <v/>
      </c>
      <c r="K502" s="11">
        <f>IFERROR(_xll.ciqfunctions.udf.CIQ(mh_ticker, "IQ_LT_Mark_Securities", , B502), "")</f>
        <v/>
      </c>
      <c r="L502" s="12">
        <f>IFERROR(C502*D502, "")</f>
        <v/>
      </c>
      <c r="M502" s="12">
        <f>IFERROR(L502-E502-F502+G502+H502+I502-J502-K502, "")</f>
        <v/>
      </c>
      <c r="N502" s="11">
        <f>IFERROR(_xll.ciqfunctions.udf.CIQ(mh_ticker, "IQ_EBITDA_EST", IQ_NTM, B502, , , "USD"), "")</f>
        <v/>
      </c>
      <c r="O502" s="13">
        <f>IFERROR(M502/N502, "")</f>
        <v/>
      </c>
    </row>
    <row r="503">
      <c r="B503" s="8" t="n"/>
      <c r="C503" s="9">
        <f>IFERROR(_xll.ciqfunctions.udf.CIQ(mh_ticker, "IQ_LASTSALEPRICE", B503), "")</f>
        <v/>
      </c>
      <c r="D503" s="10">
        <f>IFERROR(_xll.ciqfunctions.udf.CIQ(mh_ticker, "IQ_SHARESOUTSTANDING_OUT", B503), "")</f>
        <v/>
      </c>
      <c r="E503" s="11">
        <f>IFERROR(_xll.ciqfunctions.udf.CIQ(mh_ticker, "IQ_CASH_EQUIV", , B503), "")</f>
        <v/>
      </c>
      <c r="F503" s="11">
        <f>IFERROR(_xll.ciqfunctions.udf.CIQ(mh_ticker, "IQ_ST_INVEST", , B503), "")</f>
        <v/>
      </c>
      <c r="G503" s="11">
        <f>IFERROR(_xll.ciqfunctions.udf.CIQ(mh_ticker, "IQ_TOTAL_DEBT_EXCL_OPER_LEASES", , B503), "")</f>
        <v/>
      </c>
      <c r="H503" s="11">
        <f>IFERROR(_xll.ciqfunctions.udf.CIQ(mh_ticker, "IQ_PREF_EQUITY", , B503), "")</f>
        <v/>
      </c>
      <c r="I503" s="11">
        <f>IFERROR(_xll.ciqfunctions.udf.CIQ(mh_ticker, "IQ_MINORITY_INTEREST", , B503), "")</f>
        <v/>
      </c>
      <c r="J503" s="11">
        <f>IFERROR(_xll.ciqfunctions.udf.CIQ(mh_ticker, "IQ_EQUITY_METHOD", , B503), "")</f>
        <v/>
      </c>
      <c r="K503" s="11">
        <f>IFERROR(_xll.ciqfunctions.udf.CIQ(mh_ticker, "IQ_LT_Mark_Securities", , B503), "")</f>
        <v/>
      </c>
      <c r="L503" s="12">
        <f>IFERROR(C503*D503, "")</f>
        <v/>
      </c>
      <c r="M503" s="12">
        <f>IFERROR(L503-E503-F503+G503+H503+I503-J503-K503, "")</f>
        <v/>
      </c>
      <c r="N503" s="11">
        <f>IFERROR(_xll.ciqfunctions.udf.CIQ(mh_ticker, "IQ_EBITDA_EST", IQ_NTM, B503, , , "USD"), "")</f>
        <v/>
      </c>
      <c r="O503" s="13">
        <f>IFERROR(M503/N503, "")</f>
        <v/>
      </c>
    </row>
    <row r="504">
      <c r="B504" s="8" t="n"/>
      <c r="C504" s="9">
        <f>IFERROR(_xll.ciqfunctions.udf.CIQ(mh_ticker, "IQ_LASTSALEPRICE", B504), "")</f>
        <v/>
      </c>
      <c r="D504" s="10">
        <f>IFERROR(_xll.ciqfunctions.udf.CIQ(mh_ticker, "IQ_SHARESOUTSTANDING_OUT", B504), "")</f>
        <v/>
      </c>
      <c r="E504" s="11">
        <f>IFERROR(_xll.ciqfunctions.udf.CIQ(mh_ticker, "IQ_CASH_EQUIV", , B504), "")</f>
        <v/>
      </c>
      <c r="F504" s="11">
        <f>IFERROR(_xll.ciqfunctions.udf.CIQ(mh_ticker, "IQ_ST_INVEST", , B504), "")</f>
        <v/>
      </c>
      <c r="G504" s="11">
        <f>IFERROR(_xll.ciqfunctions.udf.CIQ(mh_ticker, "IQ_TOTAL_DEBT_EXCL_OPER_LEASES", , B504), "")</f>
        <v/>
      </c>
      <c r="H504" s="11">
        <f>IFERROR(_xll.ciqfunctions.udf.CIQ(mh_ticker, "IQ_PREF_EQUITY", , B504), "")</f>
        <v/>
      </c>
      <c r="I504" s="11">
        <f>IFERROR(_xll.ciqfunctions.udf.CIQ(mh_ticker, "IQ_MINORITY_INTEREST", , B504), "")</f>
        <v/>
      </c>
      <c r="J504" s="11">
        <f>IFERROR(_xll.ciqfunctions.udf.CIQ(mh_ticker, "IQ_EQUITY_METHOD", , B504), "")</f>
        <v/>
      </c>
      <c r="K504" s="11">
        <f>IFERROR(_xll.ciqfunctions.udf.CIQ(mh_ticker, "IQ_LT_Mark_Securities", , B504), "")</f>
        <v/>
      </c>
      <c r="L504" s="12">
        <f>IFERROR(C504*D504, "")</f>
        <v/>
      </c>
      <c r="M504" s="12">
        <f>IFERROR(L504-E504-F504+G504+H504+I504-J504-K504, "")</f>
        <v/>
      </c>
      <c r="N504" s="11">
        <f>IFERROR(_xll.ciqfunctions.udf.CIQ(mh_ticker, "IQ_EBITDA_EST", IQ_NTM, B504, , , "USD"), "")</f>
        <v/>
      </c>
      <c r="O504" s="13">
        <f>IFERROR(M504/N504, "")</f>
        <v/>
      </c>
    </row>
    <row r="505">
      <c r="B505" s="8" t="n"/>
      <c r="C505" s="9">
        <f>IFERROR(_xll.ciqfunctions.udf.CIQ(mh_ticker, "IQ_LASTSALEPRICE", B505), "")</f>
        <v/>
      </c>
      <c r="D505" s="10">
        <f>IFERROR(_xll.ciqfunctions.udf.CIQ(mh_ticker, "IQ_SHARESOUTSTANDING_OUT", B505), "")</f>
        <v/>
      </c>
      <c r="E505" s="11">
        <f>IFERROR(_xll.ciqfunctions.udf.CIQ(mh_ticker, "IQ_CASH_EQUIV", , B505), "")</f>
        <v/>
      </c>
      <c r="F505" s="11">
        <f>IFERROR(_xll.ciqfunctions.udf.CIQ(mh_ticker, "IQ_ST_INVEST", , B505), "")</f>
        <v/>
      </c>
      <c r="G505" s="11">
        <f>IFERROR(_xll.ciqfunctions.udf.CIQ(mh_ticker, "IQ_TOTAL_DEBT_EXCL_OPER_LEASES", , B505), "")</f>
        <v/>
      </c>
      <c r="H505" s="11">
        <f>IFERROR(_xll.ciqfunctions.udf.CIQ(mh_ticker, "IQ_PREF_EQUITY", , B505), "")</f>
        <v/>
      </c>
      <c r="I505" s="11">
        <f>IFERROR(_xll.ciqfunctions.udf.CIQ(mh_ticker, "IQ_MINORITY_INTEREST", , B505), "")</f>
        <v/>
      </c>
      <c r="J505" s="11">
        <f>IFERROR(_xll.ciqfunctions.udf.CIQ(mh_ticker, "IQ_EQUITY_METHOD", , B505), "")</f>
        <v/>
      </c>
      <c r="K505" s="11">
        <f>IFERROR(_xll.ciqfunctions.udf.CIQ(mh_ticker, "IQ_LT_Mark_Securities", , B505), "")</f>
        <v/>
      </c>
      <c r="L505" s="12">
        <f>IFERROR(C505*D505, "")</f>
        <v/>
      </c>
      <c r="M505" s="12">
        <f>IFERROR(L505-E505-F505+G505+H505+I505-J505-K505, "")</f>
        <v/>
      </c>
      <c r="N505" s="11">
        <f>IFERROR(_xll.ciqfunctions.udf.CIQ(mh_ticker, "IQ_EBITDA_EST", IQ_NTM, B505, , , "USD"), "")</f>
        <v/>
      </c>
      <c r="O505" s="13">
        <f>IFERROR(M505/N505, "")</f>
        <v/>
      </c>
    </row>
    <row r="506">
      <c r="B506" s="8" t="n"/>
      <c r="C506" s="9">
        <f>IFERROR(_xll.ciqfunctions.udf.CIQ(mh_ticker, "IQ_LASTSALEPRICE", B506), "")</f>
        <v/>
      </c>
      <c r="D506" s="10">
        <f>IFERROR(_xll.ciqfunctions.udf.CIQ(mh_ticker, "IQ_SHARESOUTSTANDING_OUT", B506), "")</f>
        <v/>
      </c>
      <c r="E506" s="11">
        <f>IFERROR(_xll.ciqfunctions.udf.CIQ(mh_ticker, "IQ_CASH_EQUIV", , B506), "")</f>
        <v/>
      </c>
      <c r="F506" s="11">
        <f>IFERROR(_xll.ciqfunctions.udf.CIQ(mh_ticker, "IQ_ST_INVEST", , B506), "")</f>
        <v/>
      </c>
      <c r="G506" s="11">
        <f>IFERROR(_xll.ciqfunctions.udf.CIQ(mh_ticker, "IQ_TOTAL_DEBT_EXCL_OPER_LEASES", , B506), "")</f>
        <v/>
      </c>
      <c r="H506" s="11">
        <f>IFERROR(_xll.ciqfunctions.udf.CIQ(mh_ticker, "IQ_PREF_EQUITY", , B506), "")</f>
        <v/>
      </c>
      <c r="I506" s="11">
        <f>IFERROR(_xll.ciqfunctions.udf.CIQ(mh_ticker, "IQ_MINORITY_INTEREST", , B506), "")</f>
        <v/>
      </c>
      <c r="J506" s="11">
        <f>IFERROR(_xll.ciqfunctions.udf.CIQ(mh_ticker, "IQ_EQUITY_METHOD", , B506), "")</f>
        <v/>
      </c>
      <c r="K506" s="11">
        <f>IFERROR(_xll.ciqfunctions.udf.CIQ(mh_ticker, "IQ_LT_Mark_Securities", , B506), "")</f>
        <v/>
      </c>
      <c r="L506" s="12">
        <f>IFERROR(C506*D506, "")</f>
        <v/>
      </c>
      <c r="M506" s="12">
        <f>IFERROR(L506-E506-F506+G506+H506+I506-J506-K506, "")</f>
        <v/>
      </c>
      <c r="N506" s="11">
        <f>IFERROR(_xll.ciqfunctions.udf.CIQ(mh_ticker, "IQ_EBITDA_EST", IQ_NTM, B506, , , "USD"), "")</f>
        <v/>
      </c>
      <c r="O506" s="13">
        <f>IFERROR(M506/N506, "")</f>
        <v/>
      </c>
    </row>
    <row r="507">
      <c r="B507" s="8" t="n"/>
      <c r="C507" s="9">
        <f>IFERROR(_xll.ciqfunctions.udf.CIQ(mh_ticker, "IQ_LASTSALEPRICE", B507), "")</f>
        <v/>
      </c>
      <c r="D507" s="10">
        <f>IFERROR(_xll.ciqfunctions.udf.CIQ(mh_ticker, "IQ_SHARESOUTSTANDING_OUT", B507), "")</f>
        <v/>
      </c>
      <c r="E507" s="11">
        <f>IFERROR(_xll.ciqfunctions.udf.CIQ(mh_ticker, "IQ_CASH_EQUIV", , B507), "")</f>
        <v/>
      </c>
      <c r="F507" s="11">
        <f>IFERROR(_xll.ciqfunctions.udf.CIQ(mh_ticker, "IQ_ST_INVEST", , B507), "")</f>
        <v/>
      </c>
      <c r="G507" s="11">
        <f>IFERROR(_xll.ciqfunctions.udf.CIQ(mh_ticker, "IQ_TOTAL_DEBT_EXCL_OPER_LEASES", , B507), "")</f>
        <v/>
      </c>
      <c r="H507" s="11">
        <f>IFERROR(_xll.ciqfunctions.udf.CIQ(mh_ticker, "IQ_PREF_EQUITY", , B507), "")</f>
        <v/>
      </c>
      <c r="I507" s="11">
        <f>IFERROR(_xll.ciqfunctions.udf.CIQ(mh_ticker, "IQ_MINORITY_INTEREST", , B507), "")</f>
        <v/>
      </c>
      <c r="J507" s="11">
        <f>IFERROR(_xll.ciqfunctions.udf.CIQ(mh_ticker, "IQ_EQUITY_METHOD", , B507), "")</f>
        <v/>
      </c>
      <c r="K507" s="11">
        <f>IFERROR(_xll.ciqfunctions.udf.CIQ(mh_ticker, "IQ_LT_Mark_Securities", , B507), "")</f>
        <v/>
      </c>
      <c r="L507" s="12">
        <f>IFERROR(C507*D507, "")</f>
        <v/>
      </c>
      <c r="M507" s="12">
        <f>IFERROR(L507-E507-F507+G507+H507+I507-J507-K507, "")</f>
        <v/>
      </c>
      <c r="N507" s="11">
        <f>IFERROR(_xll.ciqfunctions.udf.CIQ(mh_ticker, "IQ_EBITDA_EST", IQ_NTM, B507, , , "USD"), "")</f>
        <v/>
      </c>
      <c r="O507" s="13">
        <f>IFERROR(M507/N507, "")</f>
        <v/>
      </c>
    </row>
    <row r="508">
      <c r="B508" s="8" t="n"/>
      <c r="C508" s="9">
        <f>IFERROR(_xll.ciqfunctions.udf.CIQ(mh_ticker, "IQ_LASTSALEPRICE", B508), "")</f>
        <v/>
      </c>
      <c r="D508" s="10">
        <f>IFERROR(_xll.ciqfunctions.udf.CIQ(mh_ticker, "IQ_SHARESOUTSTANDING_OUT", B508), "")</f>
        <v/>
      </c>
      <c r="E508" s="11">
        <f>IFERROR(_xll.ciqfunctions.udf.CIQ(mh_ticker, "IQ_CASH_EQUIV", , B508), "")</f>
        <v/>
      </c>
      <c r="F508" s="11">
        <f>IFERROR(_xll.ciqfunctions.udf.CIQ(mh_ticker, "IQ_ST_INVEST", , B508), "")</f>
        <v/>
      </c>
      <c r="G508" s="11">
        <f>IFERROR(_xll.ciqfunctions.udf.CIQ(mh_ticker, "IQ_TOTAL_DEBT_EXCL_OPER_LEASES", , B508), "")</f>
        <v/>
      </c>
      <c r="H508" s="11">
        <f>IFERROR(_xll.ciqfunctions.udf.CIQ(mh_ticker, "IQ_PREF_EQUITY", , B508), "")</f>
        <v/>
      </c>
      <c r="I508" s="11">
        <f>IFERROR(_xll.ciqfunctions.udf.CIQ(mh_ticker, "IQ_MINORITY_INTEREST", , B508), "")</f>
        <v/>
      </c>
      <c r="J508" s="11">
        <f>IFERROR(_xll.ciqfunctions.udf.CIQ(mh_ticker, "IQ_EQUITY_METHOD", , B508), "")</f>
        <v/>
      </c>
      <c r="K508" s="11">
        <f>IFERROR(_xll.ciqfunctions.udf.CIQ(mh_ticker, "IQ_LT_Mark_Securities", , B508), "")</f>
        <v/>
      </c>
      <c r="L508" s="12">
        <f>IFERROR(C508*D508, "")</f>
        <v/>
      </c>
      <c r="M508" s="12">
        <f>IFERROR(L508-E508-F508+G508+H508+I508-J508-K508, "")</f>
        <v/>
      </c>
      <c r="N508" s="11">
        <f>IFERROR(_xll.ciqfunctions.udf.CIQ(mh_ticker, "IQ_EBITDA_EST", IQ_NTM, B508, , , "USD"), "")</f>
        <v/>
      </c>
      <c r="O508" s="13">
        <f>IFERROR(M508/N508, "")</f>
        <v/>
      </c>
    </row>
    <row r="509">
      <c r="B509" s="8" t="n"/>
      <c r="C509" s="9">
        <f>IFERROR(_xll.ciqfunctions.udf.CIQ(mh_ticker, "IQ_LASTSALEPRICE", B509), "")</f>
        <v/>
      </c>
      <c r="D509" s="10">
        <f>IFERROR(_xll.ciqfunctions.udf.CIQ(mh_ticker, "IQ_SHARESOUTSTANDING_OUT", B509), "")</f>
        <v/>
      </c>
      <c r="E509" s="11">
        <f>IFERROR(_xll.ciqfunctions.udf.CIQ(mh_ticker, "IQ_CASH_EQUIV", , B509), "")</f>
        <v/>
      </c>
      <c r="F509" s="11">
        <f>IFERROR(_xll.ciqfunctions.udf.CIQ(mh_ticker, "IQ_ST_INVEST", , B509), "")</f>
        <v/>
      </c>
      <c r="G509" s="11">
        <f>IFERROR(_xll.ciqfunctions.udf.CIQ(mh_ticker, "IQ_TOTAL_DEBT_EXCL_OPER_LEASES", , B509), "")</f>
        <v/>
      </c>
      <c r="H509" s="11">
        <f>IFERROR(_xll.ciqfunctions.udf.CIQ(mh_ticker, "IQ_PREF_EQUITY", , B509), "")</f>
        <v/>
      </c>
      <c r="I509" s="11">
        <f>IFERROR(_xll.ciqfunctions.udf.CIQ(mh_ticker, "IQ_MINORITY_INTEREST", , B509), "")</f>
        <v/>
      </c>
      <c r="J509" s="11">
        <f>IFERROR(_xll.ciqfunctions.udf.CIQ(mh_ticker, "IQ_EQUITY_METHOD", , B509), "")</f>
        <v/>
      </c>
      <c r="K509" s="11">
        <f>IFERROR(_xll.ciqfunctions.udf.CIQ(mh_ticker, "IQ_LT_Mark_Securities", , B509), "")</f>
        <v/>
      </c>
      <c r="L509" s="12">
        <f>IFERROR(C509*D509, "")</f>
        <v/>
      </c>
      <c r="M509" s="12">
        <f>IFERROR(L509-E509-F509+G509+H509+I509-J509-K509, "")</f>
        <v/>
      </c>
      <c r="N509" s="11">
        <f>IFERROR(_xll.ciqfunctions.udf.CIQ(mh_ticker, "IQ_EBITDA_EST", IQ_NTM, B509, , , "USD"), "")</f>
        <v/>
      </c>
      <c r="O509" s="13">
        <f>IFERROR(M509/N509, "")</f>
        <v/>
      </c>
    </row>
    <row r="510">
      <c r="B510" s="8" t="n"/>
      <c r="C510" s="9">
        <f>IFERROR(_xll.ciqfunctions.udf.CIQ(mh_ticker, "IQ_LASTSALEPRICE", B510), "")</f>
        <v/>
      </c>
      <c r="D510" s="10">
        <f>IFERROR(_xll.ciqfunctions.udf.CIQ(mh_ticker, "IQ_SHARESOUTSTANDING_OUT", B510), "")</f>
        <v/>
      </c>
      <c r="E510" s="11">
        <f>IFERROR(_xll.ciqfunctions.udf.CIQ(mh_ticker, "IQ_CASH_EQUIV", , B510), "")</f>
        <v/>
      </c>
      <c r="F510" s="11">
        <f>IFERROR(_xll.ciqfunctions.udf.CIQ(mh_ticker, "IQ_ST_INVEST", , B510), "")</f>
        <v/>
      </c>
      <c r="G510" s="11">
        <f>IFERROR(_xll.ciqfunctions.udf.CIQ(mh_ticker, "IQ_TOTAL_DEBT_EXCL_OPER_LEASES", , B510), "")</f>
        <v/>
      </c>
      <c r="H510" s="11">
        <f>IFERROR(_xll.ciqfunctions.udf.CIQ(mh_ticker, "IQ_PREF_EQUITY", , B510), "")</f>
        <v/>
      </c>
      <c r="I510" s="11">
        <f>IFERROR(_xll.ciqfunctions.udf.CIQ(mh_ticker, "IQ_MINORITY_INTEREST", , B510), "")</f>
        <v/>
      </c>
      <c r="J510" s="11">
        <f>IFERROR(_xll.ciqfunctions.udf.CIQ(mh_ticker, "IQ_EQUITY_METHOD", , B510), "")</f>
        <v/>
      </c>
      <c r="K510" s="11">
        <f>IFERROR(_xll.ciqfunctions.udf.CIQ(mh_ticker, "IQ_LT_Mark_Securities", , B510), "")</f>
        <v/>
      </c>
      <c r="L510" s="12">
        <f>IFERROR(C510*D510, "")</f>
        <v/>
      </c>
      <c r="M510" s="12">
        <f>IFERROR(L510-E510-F510+G510+H510+I510-J510-K510, "")</f>
        <v/>
      </c>
      <c r="N510" s="11">
        <f>IFERROR(_xll.ciqfunctions.udf.CIQ(mh_ticker, "IQ_EBITDA_EST", IQ_NTM, B510, , , "USD"), "")</f>
        <v/>
      </c>
      <c r="O510" s="13">
        <f>IFERROR(M510/N510, "")</f>
        <v/>
      </c>
    </row>
    <row r="511">
      <c r="B511" s="8" t="n"/>
      <c r="C511" s="9">
        <f>IFERROR(_xll.ciqfunctions.udf.CIQ(mh_ticker, "IQ_LASTSALEPRICE", B511), "")</f>
        <v/>
      </c>
      <c r="D511" s="10">
        <f>IFERROR(_xll.ciqfunctions.udf.CIQ(mh_ticker, "IQ_SHARESOUTSTANDING_OUT", B511), "")</f>
        <v/>
      </c>
      <c r="E511" s="11">
        <f>IFERROR(_xll.ciqfunctions.udf.CIQ(mh_ticker, "IQ_CASH_EQUIV", , B511), "")</f>
        <v/>
      </c>
      <c r="F511" s="11">
        <f>IFERROR(_xll.ciqfunctions.udf.CIQ(mh_ticker, "IQ_ST_INVEST", , B511), "")</f>
        <v/>
      </c>
      <c r="G511" s="11">
        <f>IFERROR(_xll.ciqfunctions.udf.CIQ(mh_ticker, "IQ_TOTAL_DEBT_EXCL_OPER_LEASES", , B511), "")</f>
        <v/>
      </c>
      <c r="H511" s="11">
        <f>IFERROR(_xll.ciqfunctions.udf.CIQ(mh_ticker, "IQ_PREF_EQUITY", , B511), "")</f>
        <v/>
      </c>
      <c r="I511" s="11">
        <f>IFERROR(_xll.ciqfunctions.udf.CIQ(mh_ticker, "IQ_MINORITY_INTEREST", , B511), "")</f>
        <v/>
      </c>
      <c r="J511" s="11">
        <f>IFERROR(_xll.ciqfunctions.udf.CIQ(mh_ticker, "IQ_EQUITY_METHOD", , B511), "")</f>
        <v/>
      </c>
      <c r="K511" s="11">
        <f>IFERROR(_xll.ciqfunctions.udf.CIQ(mh_ticker, "IQ_LT_Mark_Securities", , B511), "")</f>
        <v/>
      </c>
      <c r="L511" s="12">
        <f>IFERROR(C511*D511, "")</f>
        <v/>
      </c>
      <c r="M511" s="12">
        <f>IFERROR(L511-E511-F511+G511+H511+I511-J511-K511, "")</f>
        <v/>
      </c>
      <c r="N511" s="11">
        <f>IFERROR(_xll.ciqfunctions.udf.CIQ(mh_ticker, "IQ_EBITDA_EST", IQ_NTM, B511, , , "USD"), "")</f>
        <v/>
      </c>
      <c r="O511" s="13">
        <f>IFERROR(M511/N511, "")</f>
        <v/>
      </c>
    </row>
    <row r="512">
      <c r="B512" s="8" t="n"/>
      <c r="C512" s="9">
        <f>IFERROR(_xll.ciqfunctions.udf.CIQ(mh_ticker, "IQ_LASTSALEPRICE", B512), "")</f>
        <v/>
      </c>
      <c r="D512" s="10">
        <f>IFERROR(_xll.ciqfunctions.udf.CIQ(mh_ticker, "IQ_SHARESOUTSTANDING_OUT", B512), "")</f>
        <v/>
      </c>
      <c r="E512" s="11">
        <f>IFERROR(_xll.ciqfunctions.udf.CIQ(mh_ticker, "IQ_CASH_EQUIV", , B512), "")</f>
        <v/>
      </c>
      <c r="F512" s="11">
        <f>IFERROR(_xll.ciqfunctions.udf.CIQ(mh_ticker, "IQ_ST_INVEST", , B512), "")</f>
        <v/>
      </c>
      <c r="G512" s="11">
        <f>IFERROR(_xll.ciqfunctions.udf.CIQ(mh_ticker, "IQ_TOTAL_DEBT_EXCL_OPER_LEASES", , B512), "")</f>
        <v/>
      </c>
      <c r="H512" s="11">
        <f>IFERROR(_xll.ciqfunctions.udf.CIQ(mh_ticker, "IQ_PREF_EQUITY", , B512), "")</f>
        <v/>
      </c>
      <c r="I512" s="11">
        <f>IFERROR(_xll.ciqfunctions.udf.CIQ(mh_ticker, "IQ_MINORITY_INTEREST", , B512), "")</f>
        <v/>
      </c>
      <c r="J512" s="11">
        <f>IFERROR(_xll.ciqfunctions.udf.CIQ(mh_ticker, "IQ_EQUITY_METHOD", , B512), "")</f>
        <v/>
      </c>
      <c r="K512" s="11">
        <f>IFERROR(_xll.ciqfunctions.udf.CIQ(mh_ticker, "IQ_LT_Mark_Securities", , B512), "")</f>
        <v/>
      </c>
      <c r="L512" s="12">
        <f>IFERROR(C512*D512, "")</f>
        <v/>
      </c>
      <c r="M512" s="12">
        <f>IFERROR(L512-E512-F512+G512+H512+I512-J512-K512, "")</f>
        <v/>
      </c>
      <c r="N512" s="11">
        <f>IFERROR(_xll.ciqfunctions.udf.CIQ(mh_ticker, "IQ_EBITDA_EST", IQ_NTM, B512, , , "USD"), "")</f>
        <v/>
      </c>
      <c r="O512" s="13">
        <f>IFERROR(M512/N512, "")</f>
        <v/>
      </c>
    </row>
    <row r="513">
      <c r="B513" s="8" t="n"/>
      <c r="C513" s="9">
        <f>IFERROR(_xll.ciqfunctions.udf.CIQ(mh_ticker, "IQ_LASTSALEPRICE", B513), "")</f>
        <v/>
      </c>
      <c r="D513" s="10">
        <f>IFERROR(_xll.ciqfunctions.udf.CIQ(mh_ticker, "IQ_SHARESOUTSTANDING_OUT", B513), "")</f>
        <v/>
      </c>
      <c r="E513" s="11">
        <f>IFERROR(_xll.ciqfunctions.udf.CIQ(mh_ticker, "IQ_CASH_EQUIV", , B513), "")</f>
        <v/>
      </c>
      <c r="F513" s="11">
        <f>IFERROR(_xll.ciqfunctions.udf.CIQ(mh_ticker, "IQ_ST_INVEST", , B513), "")</f>
        <v/>
      </c>
      <c r="G513" s="11">
        <f>IFERROR(_xll.ciqfunctions.udf.CIQ(mh_ticker, "IQ_TOTAL_DEBT_EXCL_OPER_LEASES", , B513), "")</f>
        <v/>
      </c>
      <c r="H513" s="11">
        <f>IFERROR(_xll.ciqfunctions.udf.CIQ(mh_ticker, "IQ_PREF_EQUITY", , B513), "")</f>
        <v/>
      </c>
      <c r="I513" s="11">
        <f>IFERROR(_xll.ciqfunctions.udf.CIQ(mh_ticker, "IQ_MINORITY_INTEREST", , B513), "")</f>
        <v/>
      </c>
      <c r="J513" s="11">
        <f>IFERROR(_xll.ciqfunctions.udf.CIQ(mh_ticker, "IQ_EQUITY_METHOD", , B513), "")</f>
        <v/>
      </c>
      <c r="K513" s="11">
        <f>IFERROR(_xll.ciqfunctions.udf.CIQ(mh_ticker, "IQ_LT_Mark_Securities", , B513), "")</f>
        <v/>
      </c>
      <c r="L513" s="12">
        <f>IFERROR(C513*D513, "")</f>
        <v/>
      </c>
      <c r="M513" s="12">
        <f>IFERROR(L513-E513-F513+G513+H513+I513-J513-K513, "")</f>
        <v/>
      </c>
      <c r="N513" s="11">
        <f>IFERROR(_xll.ciqfunctions.udf.CIQ(mh_ticker, "IQ_EBITDA_EST", IQ_NTM, B513, , , "USD"), "")</f>
        <v/>
      </c>
      <c r="O513" s="13">
        <f>IFERROR(M513/N513, "")</f>
        <v/>
      </c>
    </row>
    <row r="514">
      <c r="B514" s="8" t="n"/>
      <c r="C514" s="9">
        <f>IFERROR(_xll.ciqfunctions.udf.CIQ(mh_ticker, "IQ_LASTSALEPRICE", B514), "")</f>
        <v/>
      </c>
      <c r="D514" s="10">
        <f>IFERROR(_xll.ciqfunctions.udf.CIQ(mh_ticker, "IQ_SHARESOUTSTANDING_OUT", B514), "")</f>
        <v/>
      </c>
      <c r="E514" s="11">
        <f>IFERROR(_xll.ciqfunctions.udf.CIQ(mh_ticker, "IQ_CASH_EQUIV", , B514), "")</f>
        <v/>
      </c>
      <c r="F514" s="11">
        <f>IFERROR(_xll.ciqfunctions.udf.CIQ(mh_ticker, "IQ_ST_INVEST", , B514), "")</f>
        <v/>
      </c>
      <c r="G514" s="11">
        <f>IFERROR(_xll.ciqfunctions.udf.CIQ(mh_ticker, "IQ_TOTAL_DEBT_EXCL_OPER_LEASES", , B514), "")</f>
        <v/>
      </c>
      <c r="H514" s="11">
        <f>IFERROR(_xll.ciqfunctions.udf.CIQ(mh_ticker, "IQ_PREF_EQUITY", , B514), "")</f>
        <v/>
      </c>
      <c r="I514" s="11">
        <f>IFERROR(_xll.ciqfunctions.udf.CIQ(mh_ticker, "IQ_MINORITY_INTEREST", , B514), "")</f>
        <v/>
      </c>
      <c r="J514" s="11">
        <f>IFERROR(_xll.ciqfunctions.udf.CIQ(mh_ticker, "IQ_EQUITY_METHOD", , B514), "")</f>
        <v/>
      </c>
      <c r="K514" s="11">
        <f>IFERROR(_xll.ciqfunctions.udf.CIQ(mh_ticker, "IQ_LT_Mark_Securities", , B514), "")</f>
        <v/>
      </c>
      <c r="L514" s="12">
        <f>IFERROR(C514*D514, "")</f>
        <v/>
      </c>
      <c r="M514" s="12">
        <f>IFERROR(L514-E514-F514+G514+H514+I514-J514-K514, "")</f>
        <v/>
      </c>
      <c r="N514" s="11">
        <f>IFERROR(_xll.ciqfunctions.udf.CIQ(mh_ticker, "IQ_EBITDA_EST", IQ_NTM, B514, , , "USD"), "")</f>
        <v/>
      </c>
      <c r="O514" s="13">
        <f>IFERROR(M514/N514, "")</f>
        <v/>
      </c>
    </row>
    <row r="515">
      <c r="B515" s="8" t="n"/>
      <c r="C515" s="9">
        <f>IFERROR(_xll.ciqfunctions.udf.CIQ(mh_ticker, "IQ_LASTSALEPRICE", B515), "")</f>
        <v/>
      </c>
      <c r="D515" s="10">
        <f>IFERROR(_xll.ciqfunctions.udf.CIQ(mh_ticker, "IQ_SHARESOUTSTANDING_OUT", B515), "")</f>
        <v/>
      </c>
      <c r="E515" s="11">
        <f>IFERROR(_xll.ciqfunctions.udf.CIQ(mh_ticker, "IQ_CASH_EQUIV", , B515), "")</f>
        <v/>
      </c>
      <c r="F515" s="11">
        <f>IFERROR(_xll.ciqfunctions.udf.CIQ(mh_ticker, "IQ_ST_INVEST", , B515), "")</f>
        <v/>
      </c>
      <c r="G515" s="11">
        <f>IFERROR(_xll.ciqfunctions.udf.CIQ(mh_ticker, "IQ_TOTAL_DEBT_EXCL_OPER_LEASES", , B515), "")</f>
        <v/>
      </c>
      <c r="H515" s="11">
        <f>IFERROR(_xll.ciqfunctions.udf.CIQ(mh_ticker, "IQ_PREF_EQUITY", , B515), "")</f>
        <v/>
      </c>
      <c r="I515" s="11">
        <f>IFERROR(_xll.ciqfunctions.udf.CIQ(mh_ticker, "IQ_MINORITY_INTEREST", , B515), "")</f>
        <v/>
      </c>
      <c r="J515" s="11">
        <f>IFERROR(_xll.ciqfunctions.udf.CIQ(mh_ticker, "IQ_EQUITY_METHOD", , B515), "")</f>
        <v/>
      </c>
      <c r="K515" s="11">
        <f>IFERROR(_xll.ciqfunctions.udf.CIQ(mh_ticker, "IQ_LT_Mark_Securities", , B515), "")</f>
        <v/>
      </c>
      <c r="L515" s="12">
        <f>IFERROR(C515*D515, "")</f>
        <v/>
      </c>
      <c r="M515" s="12">
        <f>IFERROR(L515-E515-F515+G515+H515+I515-J515-K515, "")</f>
        <v/>
      </c>
      <c r="N515" s="11">
        <f>IFERROR(_xll.ciqfunctions.udf.CIQ(mh_ticker, "IQ_EBITDA_EST", IQ_NTM, B515, , , "USD"), "")</f>
        <v/>
      </c>
      <c r="O515" s="13">
        <f>IFERROR(M515/N515, "")</f>
        <v/>
      </c>
    </row>
    <row r="516">
      <c r="B516" s="8" t="n"/>
      <c r="C516" s="9">
        <f>IFERROR(_xll.ciqfunctions.udf.CIQ(mh_ticker, "IQ_LASTSALEPRICE", B516), "")</f>
        <v/>
      </c>
      <c r="D516" s="10">
        <f>IFERROR(_xll.ciqfunctions.udf.CIQ(mh_ticker, "IQ_SHARESOUTSTANDING_OUT", B516), "")</f>
        <v/>
      </c>
      <c r="E516" s="11">
        <f>IFERROR(_xll.ciqfunctions.udf.CIQ(mh_ticker, "IQ_CASH_EQUIV", , B516), "")</f>
        <v/>
      </c>
      <c r="F516" s="11">
        <f>IFERROR(_xll.ciqfunctions.udf.CIQ(mh_ticker, "IQ_ST_INVEST", , B516), "")</f>
        <v/>
      </c>
      <c r="G516" s="11">
        <f>IFERROR(_xll.ciqfunctions.udf.CIQ(mh_ticker, "IQ_TOTAL_DEBT_EXCL_OPER_LEASES", , B516), "")</f>
        <v/>
      </c>
      <c r="H516" s="11">
        <f>IFERROR(_xll.ciqfunctions.udf.CIQ(mh_ticker, "IQ_PREF_EQUITY", , B516), "")</f>
        <v/>
      </c>
      <c r="I516" s="11">
        <f>IFERROR(_xll.ciqfunctions.udf.CIQ(mh_ticker, "IQ_MINORITY_INTEREST", , B516), "")</f>
        <v/>
      </c>
      <c r="J516" s="11">
        <f>IFERROR(_xll.ciqfunctions.udf.CIQ(mh_ticker, "IQ_EQUITY_METHOD", , B516), "")</f>
        <v/>
      </c>
      <c r="K516" s="11">
        <f>IFERROR(_xll.ciqfunctions.udf.CIQ(mh_ticker, "IQ_LT_Mark_Securities", , B516), "")</f>
        <v/>
      </c>
      <c r="L516" s="12">
        <f>IFERROR(C516*D516, "")</f>
        <v/>
      </c>
      <c r="M516" s="12">
        <f>IFERROR(L516-E516-F516+G516+H516+I516-J516-K516, "")</f>
        <v/>
      </c>
      <c r="N516" s="11">
        <f>IFERROR(_xll.ciqfunctions.udf.CIQ(mh_ticker, "IQ_EBITDA_EST", IQ_NTM, B516, , , "USD"), "")</f>
        <v/>
      </c>
      <c r="O516" s="13">
        <f>IFERROR(M516/N516, "")</f>
        <v/>
      </c>
    </row>
    <row r="517">
      <c r="B517" s="8" t="n"/>
      <c r="C517" s="9">
        <f>IFERROR(_xll.ciqfunctions.udf.CIQ(mh_ticker, "IQ_LASTSALEPRICE", B517), "")</f>
        <v/>
      </c>
      <c r="D517" s="10">
        <f>IFERROR(_xll.ciqfunctions.udf.CIQ(mh_ticker, "IQ_SHARESOUTSTANDING_OUT", B517), "")</f>
        <v/>
      </c>
      <c r="E517" s="11">
        <f>IFERROR(_xll.ciqfunctions.udf.CIQ(mh_ticker, "IQ_CASH_EQUIV", , B517), "")</f>
        <v/>
      </c>
      <c r="F517" s="11">
        <f>IFERROR(_xll.ciqfunctions.udf.CIQ(mh_ticker, "IQ_ST_INVEST", , B517), "")</f>
        <v/>
      </c>
      <c r="G517" s="11">
        <f>IFERROR(_xll.ciqfunctions.udf.CIQ(mh_ticker, "IQ_TOTAL_DEBT_EXCL_OPER_LEASES", , B517), "")</f>
        <v/>
      </c>
      <c r="H517" s="11">
        <f>IFERROR(_xll.ciqfunctions.udf.CIQ(mh_ticker, "IQ_PREF_EQUITY", , B517), "")</f>
        <v/>
      </c>
      <c r="I517" s="11">
        <f>IFERROR(_xll.ciqfunctions.udf.CIQ(mh_ticker, "IQ_MINORITY_INTEREST", , B517), "")</f>
        <v/>
      </c>
      <c r="J517" s="11">
        <f>IFERROR(_xll.ciqfunctions.udf.CIQ(mh_ticker, "IQ_EQUITY_METHOD", , B517), "")</f>
        <v/>
      </c>
      <c r="K517" s="11">
        <f>IFERROR(_xll.ciqfunctions.udf.CIQ(mh_ticker, "IQ_LT_Mark_Securities", , B517), "")</f>
        <v/>
      </c>
      <c r="L517" s="12">
        <f>IFERROR(C517*D517, "")</f>
        <v/>
      </c>
      <c r="M517" s="12">
        <f>IFERROR(L517-E517-F517+G517+H517+I517-J517-K517, "")</f>
        <v/>
      </c>
      <c r="N517" s="11">
        <f>IFERROR(_xll.ciqfunctions.udf.CIQ(mh_ticker, "IQ_EBITDA_EST", IQ_NTM, B517, , , "USD"), "")</f>
        <v/>
      </c>
      <c r="O517" s="13">
        <f>IFERROR(M517/N517, "")</f>
        <v/>
      </c>
    </row>
    <row r="518">
      <c r="B518" s="8" t="n"/>
      <c r="C518" s="9">
        <f>IFERROR(_xll.ciqfunctions.udf.CIQ(mh_ticker, "IQ_LASTSALEPRICE", B518), "")</f>
        <v/>
      </c>
      <c r="D518" s="10">
        <f>IFERROR(_xll.ciqfunctions.udf.CIQ(mh_ticker, "IQ_SHARESOUTSTANDING_OUT", B518), "")</f>
        <v/>
      </c>
      <c r="E518" s="11">
        <f>IFERROR(_xll.ciqfunctions.udf.CIQ(mh_ticker, "IQ_CASH_EQUIV", , B518), "")</f>
        <v/>
      </c>
      <c r="F518" s="11">
        <f>IFERROR(_xll.ciqfunctions.udf.CIQ(mh_ticker, "IQ_ST_INVEST", , B518), "")</f>
        <v/>
      </c>
      <c r="G518" s="11">
        <f>IFERROR(_xll.ciqfunctions.udf.CIQ(mh_ticker, "IQ_TOTAL_DEBT_EXCL_OPER_LEASES", , B518), "")</f>
        <v/>
      </c>
      <c r="H518" s="11">
        <f>IFERROR(_xll.ciqfunctions.udf.CIQ(mh_ticker, "IQ_PREF_EQUITY", , B518), "")</f>
        <v/>
      </c>
      <c r="I518" s="11">
        <f>IFERROR(_xll.ciqfunctions.udf.CIQ(mh_ticker, "IQ_MINORITY_INTEREST", , B518), "")</f>
        <v/>
      </c>
      <c r="J518" s="11">
        <f>IFERROR(_xll.ciqfunctions.udf.CIQ(mh_ticker, "IQ_EQUITY_METHOD", , B518), "")</f>
        <v/>
      </c>
      <c r="K518" s="11">
        <f>IFERROR(_xll.ciqfunctions.udf.CIQ(mh_ticker, "IQ_LT_Mark_Securities", , B518), "")</f>
        <v/>
      </c>
      <c r="L518" s="12">
        <f>IFERROR(C518*D518, "")</f>
        <v/>
      </c>
      <c r="M518" s="12">
        <f>IFERROR(L518-E518-F518+G518+H518+I518-J518-K518, "")</f>
        <v/>
      </c>
      <c r="N518" s="11">
        <f>IFERROR(_xll.ciqfunctions.udf.CIQ(mh_ticker, "IQ_EBITDA_EST", IQ_NTM, B518, , , "USD"), "")</f>
        <v/>
      </c>
      <c r="O518" s="13">
        <f>IFERROR(M518/N518, "")</f>
        <v/>
      </c>
    </row>
    <row r="519">
      <c r="B519" s="8" t="n"/>
      <c r="C519" s="9">
        <f>IFERROR(_xll.ciqfunctions.udf.CIQ(mh_ticker, "IQ_LASTSALEPRICE", B519), "")</f>
        <v/>
      </c>
      <c r="D519" s="10">
        <f>IFERROR(_xll.ciqfunctions.udf.CIQ(mh_ticker, "IQ_SHARESOUTSTANDING_OUT", B519), "")</f>
        <v/>
      </c>
      <c r="E519" s="11">
        <f>IFERROR(_xll.ciqfunctions.udf.CIQ(mh_ticker, "IQ_CASH_EQUIV", , B519), "")</f>
        <v/>
      </c>
      <c r="F519" s="11">
        <f>IFERROR(_xll.ciqfunctions.udf.CIQ(mh_ticker, "IQ_ST_INVEST", , B519), "")</f>
        <v/>
      </c>
      <c r="G519" s="11">
        <f>IFERROR(_xll.ciqfunctions.udf.CIQ(mh_ticker, "IQ_TOTAL_DEBT_EXCL_OPER_LEASES", , B519), "")</f>
        <v/>
      </c>
      <c r="H519" s="11">
        <f>IFERROR(_xll.ciqfunctions.udf.CIQ(mh_ticker, "IQ_PREF_EQUITY", , B519), "")</f>
        <v/>
      </c>
      <c r="I519" s="11">
        <f>IFERROR(_xll.ciqfunctions.udf.CIQ(mh_ticker, "IQ_MINORITY_INTEREST", , B519), "")</f>
        <v/>
      </c>
      <c r="J519" s="11">
        <f>IFERROR(_xll.ciqfunctions.udf.CIQ(mh_ticker, "IQ_EQUITY_METHOD", , B519), "")</f>
        <v/>
      </c>
      <c r="K519" s="11">
        <f>IFERROR(_xll.ciqfunctions.udf.CIQ(mh_ticker, "IQ_LT_Mark_Securities", , B519), "")</f>
        <v/>
      </c>
      <c r="L519" s="12">
        <f>IFERROR(C519*D519, "")</f>
        <v/>
      </c>
      <c r="M519" s="12">
        <f>IFERROR(L519-E519-F519+G519+H519+I519-J519-K519, "")</f>
        <v/>
      </c>
      <c r="N519" s="11">
        <f>IFERROR(_xll.ciqfunctions.udf.CIQ(mh_ticker, "IQ_EBITDA_EST", IQ_NTM, B519, , , "USD"), "")</f>
        <v/>
      </c>
      <c r="O519" s="13">
        <f>IFERROR(M519/N519, "")</f>
        <v/>
      </c>
    </row>
    <row r="520">
      <c r="B520" s="8" t="n"/>
      <c r="C520" s="9">
        <f>IFERROR(_xll.ciqfunctions.udf.CIQ(mh_ticker, "IQ_LASTSALEPRICE", B520), "")</f>
        <v/>
      </c>
      <c r="D520" s="10">
        <f>IFERROR(_xll.ciqfunctions.udf.CIQ(mh_ticker, "IQ_SHARESOUTSTANDING_OUT", B520), "")</f>
        <v/>
      </c>
      <c r="E520" s="11">
        <f>IFERROR(_xll.ciqfunctions.udf.CIQ(mh_ticker, "IQ_CASH_EQUIV", , B520), "")</f>
        <v/>
      </c>
      <c r="F520" s="11">
        <f>IFERROR(_xll.ciqfunctions.udf.CIQ(mh_ticker, "IQ_ST_INVEST", , B520), "")</f>
        <v/>
      </c>
      <c r="G520" s="11">
        <f>IFERROR(_xll.ciqfunctions.udf.CIQ(mh_ticker, "IQ_TOTAL_DEBT_EXCL_OPER_LEASES", , B520), "")</f>
        <v/>
      </c>
      <c r="H520" s="11">
        <f>IFERROR(_xll.ciqfunctions.udf.CIQ(mh_ticker, "IQ_PREF_EQUITY", , B520), "")</f>
        <v/>
      </c>
      <c r="I520" s="11">
        <f>IFERROR(_xll.ciqfunctions.udf.CIQ(mh_ticker, "IQ_MINORITY_INTEREST", , B520), "")</f>
        <v/>
      </c>
      <c r="J520" s="11">
        <f>IFERROR(_xll.ciqfunctions.udf.CIQ(mh_ticker, "IQ_EQUITY_METHOD", , B520), "")</f>
        <v/>
      </c>
      <c r="K520" s="11">
        <f>IFERROR(_xll.ciqfunctions.udf.CIQ(mh_ticker, "IQ_LT_Mark_Securities", , B520), "")</f>
        <v/>
      </c>
      <c r="L520" s="12">
        <f>IFERROR(C520*D520, "")</f>
        <v/>
      </c>
      <c r="M520" s="12">
        <f>IFERROR(L520-E520-F520+G520+H520+I520-J520-K520, "")</f>
        <v/>
      </c>
      <c r="N520" s="11">
        <f>IFERROR(_xll.ciqfunctions.udf.CIQ(mh_ticker, "IQ_EBITDA_EST", IQ_NTM, B520, , , "USD"), "")</f>
        <v/>
      </c>
      <c r="O520" s="13">
        <f>IFERROR(M520/N520, "")</f>
        <v/>
      </c>
    </row>
    <row r="521">
      <c r="B521" s="8" t="n"/>
      <c r="C521" s="9">
        <f>IFERROR(_xll.ciqfunctions.udf.CIQ(mh_ticker, "IQ_LASTSALEPRICE", B521), "")</f>
        <v/>
      </c>
      <c r="D521" s="10">
        <f>IFERROR(_xll.ciqfunctions.udf.CIQ(mh_ticker, "IQ_SHARESOUTSTANDING_OUT", B521), "")</f>
        <v/>
      </c>
      <c r="E521" s="11">
        <f>IFERROR(_xll.ciqfunctions.udf.CIQ(mh_ticker, "IQ_CASH_EQUIV", , B521), "")</f>
        <v/>
      </c>
      <c r="F521" s="11">
        <f>IFERROR(_xll.ciqfunctions.udf.CIQ(mh_ticker, "IQ_ST_INVEST", , B521), "")</f>
        <v/>
      </c>
      <c r="G521" s="11">
        <f>IFERROR(_xll.ciqfunctions.udf.CIQ(mh_ticker, "IQ_TOTAL_DEBT_EXCL_OPER_LEASES", , B521), "")</f>
        <v/>
      </c>
      <c r="H521" s="11">
        <f>IFERROR(_xll.ciqfunctions.udf.CIQ(mh_ticker, "IQ_PREF_EQUITY", , B521), "")</f>
        <v/>
      </c>
      <c r="I521" s="11">
        <f>IFERROR(_xll.ciqfunctions.udf.CIQ(mh_ticker, "IQ_MINORITY_INTEREST", , B521), "")</f>
        <v/>
      </c>
      <c r="J521" s="11">
        <f>IFERROR(_xll.ciqfunctions.udf.CIQ(mh_ticker, "IQ_EQUITY_METHOD", , B521), "")</f>
        <v/>
      </c>
      <c r="K521" s="11">
        <f>IFERROR(_xll.ciqfunctions.udf.CIQ(mh_ticker, "IQ_LT_Mark_Securities", , B521), "")</f>
        <v/>
      </c>
      <c r="L521" s="12">
        <f>IFERROR(C521*D521, "")</f>
        <v/>
      </c>
      <c r="M521" s="12">
        <f>IFERROR(L521-E521-F521+G521+H521+I521-J521-K521, "")</f>
        <v/>
      </c>
      <c r="N521" s="11">
        <f>IFERROR(_xll.ciqfunctions.udf.CIQ(mh_ticker, "IQ_EBITDA_EST", IQ_NTM, B521, , , "USD"), "")</f>
        <v/>
      </c>
      <c r="O521" s="13">
        <f>IFERROR(M521/N521, "")</f>
        <v/>
      </c>
    </row>
    <row r="522">
      <c r="B522" s="8" t="n"/>
      <c r="C522" s="9">
        <f>IFERROR(_xll.ciqfunctions.udf.CIQ(mh_ticker, "IQ_LASTSALEPRICE", B522), "")</f>
        <v/>
      </c>
      <c r="D522" s="10">
        <f>IFERROR(_xll.ciqfunctions.udf.CIQ(mh_ticker, "IQ_SHARESOUTSTANDING_OUT", B522), "")</f>
        <v/>
      </c>
      <c r="E522" s="11">
        <f>IFERROR(_xll.ciqfunctions.udf.CIQ(mh_ticker, "IQ_CASH_EQUIV", , B522), "")</f>
        <v/>
      </c>
      <c r="F522" s="11">
        <f>IFERROR(_xll.ciqfunctions.udf.CIQ(mh_ticker, "IQ_ST_INVEST", , B522), "")</f>
        <v/>
      </c>
      <c r="G522" s="11">
        <f>IFERROR(_xll.ciqfunctions.udf.CIQ(mh_ticker, "IQ_TOTAL_DEBT_EXCL_OPER_LEASES", , B522), "")</f>
        <v/>
      </c>
      <c r="H522" s="11">
        <f>IFERROR(_xll.ciqfunctions.udf.CIQ(mh_ticker, "IQ_PREF_EQUITY", , B522), "")</f>
        <v/>
      </c>
      <c r="I522" s="11">
        <f>IFERROR(_xll.ciqfunctions.udf.CIQ(mh_ticker, "IQ_MINORITY_INTEREST", , B522), "")</f>
        <v/>
      </c>
      <c r="J522" s="11">
        <f>IFERROR(_xll.ciqfunctions.udf.CIQ(mh_ticker, "IQ_EQUITY_METHOD", , B522), "")</f>
        <v/>
      </c>
      <c r="K522" s="11">
        <f>IFERROR(_xll.ciqfunctions.udf.CIQ(mh_ticker, "IQ_LT_Mark_Securities", , B522), "")</f>
        <v/>
      </c>
      <c r="L522" s="12">
        <f>IFERROR(C522*D522, "")</f>
        <v/>
      </c>
      <c r="M522" s="12">
        <f>IFERROR(L522-E522-F522+G522+H522+I522-J522-K522, "")</f>
        <v/>
      </c>
      <c r="N522" s="11">
        <f>IFERROR(_xll.ciqfunctions.udf.CIQ(mh_ticker, "IQ_EBITDA_EST", IQ_NTM, B522, , , "USD"), "")</f>
        <v/>
      </c>
      <c r="O522" s="13">
        <f>IFERROR(M522/N522, "")</f>
        <v/>
      </c>
    </row>
    <row r="523">
      <c r="B523" s="8" t="n"/>
      <c r="C523" s="9">
        <f>IFERROR(_xll.ciqfunctions.udf.CIQ(mh_ticker, "IQ_LASTSALEPRICE", B523), "")</f>
        <v/>
      </c>
      <c r="D523" s="10">
        <f>IFERROR(_xll.ciqfunctions.udf.CIQ(mh_ticker, "IQ_SHARESOUTSTANDING_OUT", B523), "")</f>
        <v/>
      </c>
      <c r="E523" s="11">
        <f>IFERROR(_xll.ciqfunctions.udf.CIQ(mh_ticker, "IQ_CASH_EQUIV", , B523), "")</f>
        <v/>
      </c>
      <c r="F523" s="11">
        <f>IFERROR(_xll.ciqfunctions.udf.CIQ(mh_ticker, "IQ_ST_INVEST", , B523), "")</f>
        <v/>
      </c>
      <c r="G523" s="11">
        <f>IFERROR(_xll.ciqfunctions.udf.CIQ(mh_ticker, "IQ_TOTAL_DEBT_EXCL_OPER_LEASES", , B523), "")</f>
        <v/>
      </c>
      <c r="H523" s="11">
        <f>IFERROR(_xll.ciqfunctions.udf.CIQ(mh_ticker, "IQ_PREF_EQUITY", , B523), "")</f>
        <v/>
      </c>
      <c r="I523" s="11">
        <f>IFERROR(_xll.ciqfunctions.udf.CIQ(mh_ticker, "IQ_MINORITY_INTEREST", , B523), "")</f>
        <v/>
      </c>
      <c r="J523" s="11">
        <f>IFERROR(_xll.ciqfunctions.udf.CIQ(mh_ticker, "IQ_EQUITY_METHOD", , B523), "")</f>
        <v/>
      </c>
      <c r="K523" s="11">
        <f>IFERROR(_xll.ciqfunctions.udf.CIQ(mh_ticker, "IQ_LT_Mark_Securities", , B523), "")</f>
        <v/>
      </c>
      <c r="L523" s="12">
        <f>IFERROR(C523*D523, "")</f>
        <v/>
      </c>
      <c r="M523" s="12">
        <f>IFERROR(L523-E523-F523+G523+H523+I523-J523-K523, "")</f>
        <v/>
      </c>
      <c r="N523" s="11">
        <f>IFERROR(_xll.ciqfunctions.udf.CIQ(mh_ticker, "IQ_EBITDA_EST", IQ_NTM, B523, , , "USD"), "")</f>
        <v/>
      </c>
      <c r="O523" s="13">
        <f>IFERROR(M523/N523, "")</f>
        <v/>
      </c>
    </row>
    <row r="524">
      <c r="B524" s="8" t="n"/>
      <c r="C524" s="9">
        <f>IFERROR(_xll.ciqfunctions.udf.CIQ(mh_ticker, "IQ_LASTSALEPRICE", B524), "")</f>
        <v/>
      </c>
      <c r="D524" s="10">
        <f>IFERROR(_xll.ciqfunctions.udf.CIQ(mh_ticker, "IQ_SHARESOUTSTANDING_OUT", B524), "")</f>
        <v/>
      </c>
      <c r="E524" s="11">
        <f>IFERROR(_xll.ciqfunctions.udf.CIQ(mh_ticker, "IQ_CASH_EQUIV", , B524), "")</f>
        <v/>
      </c>
      <c r="F524" s="11">
        <f>IFERROR(_xll.ciqfunctions.udf.CIQ(mh_ticker, "IQ_ST_INVEST", , B524), "")</f>
        <v/>
      </c>
      <c r="G524" s="11">
        <f>IFERROR(_xll.ciqfunctions.udf.CIQ(mh_ticker, "IQ_TOTAL_DEBT_EXCL_OPER_LEASES", , B524), "")</f>
        <v/>
      </c>
      <c r="H524" s="11">
        <f>IFERROR(_xll.ciqfunctions.udf.CIQ(mh_ticker, "IQ_PREF_EQUITY", , B524), "")</f>
        <v/>
      </c>
      <c r="I524" s="11">
        <f>IFERROR(_xll.ciqfunctions.udf.CIQ(mh_ticker, "IQ_MINORITY_INTEREST", , B524), "")</f>
        <v/>
      </c>
      <c r="J524" s="11">
        <f>IFERROR(_xll.ciqfunctions.udf.CIQ(mh_ticker, "IQ_EQUITY_METHOD", , B524), "")</f>
        <v/>
      </c>
      <c r="K524" s="11">
        <f>IFERROR(_xll.ciqfunctions.udf.CIQ(mh_ticker, "IQ_LT_Mark_Securities", , B524), "")</f>
        <v/>
      </c>
      <c r="L524" s="12">
        <f>IFERROR(C524*D524, "")</f>
        <v/>
      </c>
      <c r="M524" s="12">
        <f>IFERROR(L524-E524-F524+G524+H524+I524-J524-K524, "")</f>
        <v/>
      </c>
      <c r="N524" s="11">
        <f>IFERROR(_xll.ciqfunctions.udf.CIQ(mh_ticker, "IQ_EBITDA_EST", IQ_NTM, B524, , , "USD"), "")</f>
        <v/>
      </c>
      <c r="O524" s="13">
        <f>IFERROR(M524/N524, "")</f>
        <v/>
      </c>
    </row>
    <row r="525">
      <c r="B525" s="8" t="n"/>
      <c r="C525" s="9">
        <f>IFERROR(_xll.ciqfunctions.udf.CIQ(mh_ticker, "IQ_LASTSALEPRICE", B525), "")</f>
        <v/>
      </c>
      <c r="D525" s="10">
        <f>IFERROR(_xll.ciqfunctions.udf.CIQ(mh_ticker, "IQ_SHARESOUTSTANDING_OUT", B525), "")</f>
        <v/>
      </c>
      <c r="E525" s="11">
        <f>IFERROR(_xll.ciqfunctions.udf.CIQ(mh_ticker, "IQ_CASH_EQUIV", , B525), "")</f>
        <v/>
      </c>
      <c r="F525" s="11">
        <f>IFERROR(_xll.ciqfunctions.udf.CIQ(mh_ticker, "IQ_ST_INVEST", , B525), "")</f>
        <v/>
      </c>
      <c r="G525" s="11">
        <f>IFERROR(_xll.ciqfunctions.udf.CIQ(mh_ticker, "IQ_TOTAL_DEBT_EXCL_OPER_LEASES", , B525), "")</f>
        <v/>
      </c>
      <c r="H525" s="11">
        <f>IFERROR(_xll.ciqfunctions.udf.CIQ(mh_ticker, "IQ_PREF_EQUITY", , B525), "")</f>
        <v/>
      </c>
      <c r="I525" s="11">
        <f>IFERROR(_xll.ciqfunctions.udf.CIQ(mh_ticker, "IQ_MINORITY_INTEREST", , B525), "")</f>
        <v/>
      </c>
      <c r="J525" s="11">
        <f>IFERROR(_xll.ciqfunctions.udf.CIQ(mh_ticker, "IQ_EQUITY_METHOD", , B525), "")</f>
        <v/>
      </c>
      <c r="K525" s="11">
        <f>IFERROR(_xll.ciqfunctions.udf.CIQ(mh_ticker, "IQ_LT_Mark_Securities", , B525), "")</f>
        <v/>
      </c>
      <c r="L525" s="12">
        <f>IFERROR(C525*D525, "")</f>
        <v/>
      </c>
      <c r="M525" s="12">
        <f>IFERROR(L525-E525-F525+G525+H525+I525-J525-K525, "")</f>
        <v/>
      </c>
      <c r="N525" s="11">
        <f>IFERROR(_xll.ciqfunctions.udf.CIQ(mh_ticker, "IQ_EBITDA_EST", IQ_NTM, B525, , , "USD"), "")</f>
        <v/>
      </c>
      <c r="O525" s="13">
        <f>IFERROR(M525/N525, "")</f>
        <v/>
      </c>
    </row>
    <row r="526">
      <c r="B526" s="8" t="n"/>
      <c r="C526" s="9">
        <f>IFERROR(_xll.ciqfunctions.udf.CIQ(mh_ticker, "IQ_LASTSALEPRICE", B526), "")</f>
        <v/>
      </c>
      <c r="D526" s="10">
        <f>IFERROR(_xll.ciqfunctions.udf.CIQ(mh_ticker, "IQ_SHARESOUTSTANDING_OUT", B526), "")</f>
        <v/>
      </c>
      <c r="E526" s="11">
        <f>IFERROR(_xll.ciqfunctions.udf.CIQ(mh_ticker, "IQ_CASH_EQUIV", , B526), "")</f>
        <v/>
      </c>
      <c r="F526" s="11">
        <f>IFERROR(_xll.ciqfunctions.udf.CIQ(mh_ticker, "IQ_ST_INVEST", , B526), "")</f>
        <v/>
      </c>
      <c r="G526" s="11">
        <f>IFERROR(_xll.ciqfunctions.udf.CIQ(mh_ticker, "IQ_TOTAL_DEBT_EXCL_OPER_LEASES", , B526), "")</f>
        <v/>
      </c>
      <c r="H526" s="11">
        <f>IFERROR(_xll.ciqfunctions.udf.CIQ(mh_ticker, "IQ_PREF_EQUITY", , B526), "")</f>
        <v/>
      </c>
      <c r="I526" s="11">
        <f>IFERROR(_xll.ciqfunctions.udf.CIQ(mh_ticker, "IQ_MINORITY_INTEREST", , B526), "")</f>
        <v/>
      </c>
      <c r="J526" s="11">
        <f>IFERROR(_xll.ciqfunctions.udf.CIQ(mh_ticker, "IQ_EQUITY_METHOD", , B526), "")</f>
        <v/>
      </c>
      <c r="K526" s="11">
        <f>IFERROR(_xll.ciqfunctions.udf.CIQ(mh_ticker, "IQ_LT_Mark_Securities", , B526), "")</f>
        <v/>
      </c>
      <c r="L526" s="12">
        <f>IFERROR(C526*D526, "")</f>
        <v/>
      </c>
      <c r="M526" s="12">
        <f>IFERROR(L526-E526-F526+G526+H526+I526-J526-K526, "")</f>
        <v/>
      </c>
      <c r="N526" s="11">
        <f>IFERROR(_xll.ciqfunctions.udf.CIQ(mh_ticker, "IQ_EBITDA_EST", IQ_NTM, B526, , , "USD"), "")</f>
        <v/>
      </c>
      <c r="O526" s="13">
        <f>IFERROR(M526/N526, "")</f>
        <v/>
      </c>
    </row>
    <row r="527">
      <c r="B527" s="8" t="n"/>
      <c r="C527" s="9">
        <f>IFERROR(_xll.ciqfunctions.udf.CIQ(mh_ticker, "IQ_LASTSALEPRICE", B527), "")</f>
        <v/>
      </c>
      <c r="D527" s="10">
        <f>IFERROR(_xll.ciqfunctions.udf.CIQ(mh_ticker, "IQ_SHARESOUTSTANDING_OUT", B527), "")</f>
        <v/>
      </c>
      <c r="E527" s="11">
        <f>IFERROR(_xll.ciqfunctions.udf.CIQ(mh_ticker, "IQ_CASH_EQUIV", , B527), "")</f>
        <v/>
      </c>
      <c r="F527" s="11">
        <f>IFERROR(_xll.ciqfunctions.udf.CIQ(mh_ticker, "IQ_ST_INVEST", , B527), "")</f>
        <v/>
      </c>
      <c r="G527" s="11">
        <f>IFERROR(_xll.ciqfunctions.udf.CIQ(mh_ticker, "IQ_TOTAL_DEBT_EXCL_OPER_LEASES", , B527), "")</f>
        <v/>
      </c>
      <c r="H527" s="11">
        <f>IFERROR(_xll.ciqfunctions.udf.CIQ(mh_ticker, "IQ_PREF_EQUITY", , B527), "")</f>
        <v/>
      </c>
      <c r="I527" s="11">
        <f>IFERROR(_xll.ciqfunctions.udf.CIQ(mh_ticker, "IQ_MINORITY_INTEREST", , B527), "")</f>
        <v/>
      </c>
      <c r="J527" s="11">
        <f>IFERROR(_xll.ciqfunctions.udf.CIQ(mh_ticker, "IQ_EQUITY_METHOD", , B527), "")</f>
        <v/>
      </c>
      <c r="K527" s="11">
        <f>IFERROR(_xll.ciqfunctions.udf.CIQ(mh_ticker, "IQ_LT_Mark_Securities", , B527), "")</f>
        <v/>
      </c>
      <c r="L527" s="12">
        <f>IFERROR(C527*D527, "")</f>
        <v/>
      </c>
      <c r="M527" s="12">
        <f>IFERROR(L527-E527-F527+G527+H527+I527-J527-K527, "")</f>
        <v/>
      </c>
      <c r="N527" s="11">
        <f>IFERROR(_xll.ciqfunctions.udf.CIQ(mh_ticker, "IQ_EBITDA_EST", IQ_NTM, B527, , , "USD"), "")</f>
        <v/>
      </c>
      <c r="O527" s="13">
        <f>IFERROR(M527/N527, "")</f>
        <v/>
      </c>
    </row>
    <row r="528">
      <c r="B528" s="8" t="n"/>
      <c r="C528" s="9">
        <f>IFERROR(_xll.ciqfunctions.udf.CIQ(mh_ticker, "IQ_LASTSALEPRICE", B528), "")</f>
        <v/>
      </c>
      <c r="D528" s="10">
        <f>IFERROR(_xll.ciqfunctions.udf.CIQ(mh_ticker, "IQ_SHARESOUTSTANDING_OUT", B528), "")</f>
        <v/>
      </c>
      <c r="E528" s="11">
        <f>IFERROR(_xll.ciqfunctions.udf.CIQ(mh_ticker, "IQ_CASH_EQUIV", , B528), "")</f>
        <v/>
      </c>
      <c r="F528" s="11">
        <f>IFERROR(_xll.ciqfunctions.udf.CIQ(mh_ticker, "IQ_ST_INVEST", , B528), "")</f>
        <v/>
      </c>
      <c r="G528" s="11">
        <f>IFERROR(_xll.ciqfunctions.udf.CIQ(mh_ticker, "IQ_TOTAL_DEBT_EXCL_OPER_LEASES", , B528), "")</f>
        <v/>
      </c>
      <c r="H528" s="11">
        <f>IFERROR(_xll.ciqfunctions.udf.CIQ(mh_ticker, "IQ_PREF_EQUITY", , B528), "")</f>
        <v/>
      </c>
      <c r="I528" s="11">
        <f>IFERROR(_xll.ciqfunctions.udf.CIQ(mh_ticker, "IQ_MINORITY_INTEREST", , B528), "")</f>
        <v/>
      </c>
      <c r="J528" s="11">
        <f>IFERROR(_xll.ciqfunctions.udf.CIQ(mh_ticker, "IQ_EQUITY_METHOD", , B528), "")</f>
        <v/>
      </c>
      <c r="K528" s="11">
        <f>IFERROR(_xll.ciqfunctions.udf.CIQ(mh_ticker, "IQ_LT_Mark_Securities", , B528), "")</f>
        <v/>
      </c>
      <c r="L528" s="12">
        <f>IFERROR(C528*D528, "")</f>
        <v/>
      </c>
      <c r="M528" s="12">
        <f>IFERROR(L528-E528-F528+G528+H528+I528-J528-K528, "")</f>
        <v/>
      </c>
      <c r="N528" s="11">
        <f>IFERROR(_xll.ciqfunctions.udf.CIQ(mh_ticker, "IQ_EBITDA_EST", IQ_NTM, B528, , , "USD"), "")</f>
        <v/>
      </c>
      <c r="O528" s="13">
        <f>IFERROR(M528/N528, "")</f>
        <v/>
      </c>
    </row>
    <row r="529">
      <c r="B529" s="8" t="n"/>
      <c r="C529" s="9">
        <f>IFERROR(_xll.ciqfunctions.udf.CIQ(mh_ticker, "IQ_LASTSALEPRICE", B529), "")</f>
        <v/>
      </c>
      <c r="D529" s="10">
        <f>IFERROR(_xll.ciqfunctions.udf.CIQ(mh_ticker, "IQ_SHARESOUTSTANDING_OUT", B529), "")</f>
        <v/>
      </c>
      <c r="E529" s="11">
        <f>IFERROR(_xll.ciqfunctions.udf.CIQ(mh_ticker, "IQ_CASH_EQUIV", , B529), "")</f>
        <v/>
      </c>
      <c r="F529" s="11">
        <f>IFERROR(_xll.ciqfunctions.udf.CIQ(mh_ticker, "IQ_ST_INVEST", , B529), "")</f>
        <v/>
      </c>
      <c r="G529" s="11">
        <f>IFERROR(_xll.ciqfunctions.udf.CIQ(mh_ticker, "IQ_TOTAL_DEBT_EXCL_OPER_LEASES", , B529), "")</f>
        <v/>
      </c>
      <c r="H529" s="11">
        <f>IFERROR(_xll.ciqfunctions.udf.CIQ(mh_ticker, "IQ_PREF_EQUITY", , B529), "")</f>
        <v/>
      </c>
      <c r="I529" s="11">
        <f>IFERROR(_xll.ciqfunctions.udf.CIQ(mh_ticker, "IQ_MINORITY_INTEREST", , B529), "")</f>
        <v/>
      </c>
      <c r="J529" s="11">
        <f>IFERROR(_xll.ciqfunctions.udf.CIQ(mh_ticker, "IQ_EQUITY_METHOD", , B529), "")</f>
        <v/>
      </c>
      <c r="K529" s="11">
        <f>IFERROR(_xll.ciqfunctions.udf.CIQ(mh_ticker, "IQ_LT_Mark_Securities", , B529), "")</f>
        <v/>
      </c>
      <c r="L529" s="12">
        <f>IFERROR(C529*D529, "")</f>
        <v/>
      </c>
      <c r="M529" s="12">
        <f>IFERROR(L529-E529-F529+G529+H529+I529-J529-K529, "")</f>
        <v/>
      </c>
      <c r="N529" s="11">
        <f>IFERROR(_xll.ciqfunctions.udf.CIQ(mh_ticker, "IQ_EBITDA_EST", IQ_NTM, B529, , , "USD"), "")</f>
        <v/>
      </c>
      <c r="O529" s="13">
        <f>IFERROR(M529/N529, "")</f>
        <v/>
      </c>
    </row>
    <row r="530">
      <c r="B530" s="8" t="n"/>
      <c r="C530" s="9">
        <f>IFERROR(_xll.ciqfunctions.udf.CIQ(mh_ticker, "IQ_LASTSALEPRICE", B530), "")</f>
        <v/>
      </c>
      <c r="D530" s="10">
        <f>IFERROR(_xll.ciqfunctions.udf.CIQ(mh_ticker, "IQ_SHARESOUTSTANDING_OUT", B530), "")</f>
        <v/>
      </c>
      <c r="E530" s="11">
        <f>IFERROR(_xll.ciqfunctions.udf.CIQ(mh_ticker, "IQ_CASH_EQUIV", , B530), "")</f>
        <v/>
      </c>
      <c r="F530" s="11">
        <f>IFERROR(_xll.ciqfunctions.udf.CIQ(mh_ticker, "IQ_ST_INVEST", , B530), "")</f>
        <v/>
      </c>
      <c r="G530" s="11">
        <f>IFERROR(_xll.ciqfunctions.udf.CIQ(mh_ticker, "IQ_TOTAL_DEBT_EXCL_OPER_LEASES", , B530), "")</f>
        <v/>
      </c>
      <c r="H530" s="11">
        <f>IFERROR(_xll.ciqfunctions.udf.CIQ(mh_ticker, "IQ_PREF_EQUITY", , B530), "")</f>
        <v/>
      </c>
      <c r="I530" s="11">
        <f>IFERROR(_xll.ciqfunctions.udf.CIQ(mh_ticker, "IQ_MINORITY_INTEREST", , B530), "")</f>
        <v/>
      </c>
      <c r="J530" s="11">
        <f>IFERROR(_xll.ciqfunctions.udf.CIQ(mh_ticker, "IQ_EQUITY_METHOD", , B530), "")</f>
        <v/>
      </c>
      <c r="K530" s="11">
        <f>IFERROR(_xll.ciqfunctions.udf.CIQ(mh_ticker, "IQ_LT_Mark_Securities", , B530), "")</f>
        <v/>
      </c>
      <c r="L530" s="12">
        <f>IFERROR(C530*D530, "")</f>
        <v/>
      </c>
      <c r="M530" s="12">
        <f>IFERROR(L530-E530-F530+G530+H530+I530-J530-K530, "")</f>
        <v/>
      </c>
      <c r="N530" s="11">
        <f>IFERROR(_xll.ciqfunctions.udf.CIQ(mh_ticker, "IQ_EBITDA_EST", IQ_NTM, B530, , , "USD"), "")</f>
        <v/>
      </c>
      <c r="O530" s="13">
        <f>IFERROR(M530/N530, "")</f>
        <v/>
      </c>
    </row>
    <row r="531">
      <c r="B531" s="8" t="n"/>
      <c r="C531" s="9">
        <f>IFERROR(_xll.ciqfunctions.udf.CIQ(mh_ticker, "IQ_LASTSALEPRICE", B531), "")</f>
        <v/>
      </c>
      <c r="D531" s="10">
        <f>IFERROR(_xll.ciqfunctions.udf.CIQ(mh_ticker, "IQ_SHARESOUTSTANDING_OUT", B531), "")</f>
        <v/>
      </c>
      <c r="E531" s="11">
        <f>IFERROR(_xll.ciqfunctions.udf.CIQ(mh_ticker, "IQ_CASH_EQUIV", , B531), "")</f>
        <v/>
      </c>
      <c r="F531" s="11">
        <f>IFERROR(_xll.ciqfunctions.udf.CIQ(mh_ticker, "IQ_ST_INVEST", , B531), "")</f>
        <v/>
      </c>
      <c r="G531" s="11">
        <f>IFERROR(_xll.ciqfunctions.udf.CIQ(mh_ticker, "IQ_TOTAL_DEBT_EXCL_OPER_LEASES", , B531), "")</f>
        <v/>
      </c>
      <c r="H531" s="11">
        <f>IFERROR(_xll.ciqfunctions.udf.CIQ(mh_ticker, "IQ_PREF_EQUITY", , B531), "")</f>
        <v/>
      </c>
      <c r="I531" s="11">
        <f>IFERROR(_xll.ciqfunctions.udf.CIQ(mh_ticker, "IQ_MINORITY_INTEREST", , B531), "")</f>
        <v/>
      </c>
      <c r="J531" s="11">
        <f>IFERROR(_xll.ciqfunctions.udf.CIQ(mh_ticker, "IQ_EQUITY_METHOD", , B531), "")</f>
        <v/>
      </c>
      <c r="K531" s="11">
        <f>IFERROR(_xll.ciqfunctions.udf.CIQ(mh_ticker, "IQ_LT_Mark_Securities", , B531), "")</f>
        <v/>
      </c>
      <c r="L531" s="12">
        <f>IFERROR(C531*D531, "")</f>
        <v/>
      </c>
      <c r="M531" s="12">
        <f>IFERROR(L531-E531-F531+G531+H531+I531-J531-K531, "")</f>
        <v/>
      </c>
      <c r="N531" s="11">
        <f>IFERROR(_xll.ciqfunctions.udf.CIQ(mh_ticker, "IQ_EBITDA_EST", IQ_NTM, B531, , , "USD"), "")</f>
        <v/>
      </c>
      <c r="O531" s="13">
        <f>IFERROR(M531/N531, "")</f>
        <v/>
      </c>
    </row>
    <row r="532">
      <c r="B532" s="8" t="n"/>
      <c r="C532" s="9">
        <f>IFERROR(_xll.ciqfunctions.udf.CIQ(mh_ticker, "IQ_LASTSALEPRICE", B532), "")</f>
        <v/>
      </c>
      <c r="D532" s="10">
        <f>IFERROR(_xll.ciqfunctions.udf.CIQ(mh_ticker, "IQ_SHARESOUTSTANDING_OUT", B532), "")</f>
        <v/>
      </c>
      <c r="E532" s="11">
        <f>IFERROR(_xll.ciqfunctions.udf.CIQ(mh_ticker, "IQ_CASH_EQUIV", , B532), "")</f>
        <v/>
      </c>
      <c r="F532" s="11">
        <f>IFERROR(_xll.ciqfunctions.udf.CIQ(mh_ticker, "IQ_ST_INVEST", , B532), "")</f>
        <v/>
      </c>
      <c r="G532" s="11">
        <f>IFERROR(_xll.ciqfunctions.udf.CIQ(mh_ticker, "IQ_TOTAL_DEBT_EXCL_OPER_LEASES", , B532), "")</f>
        <v/>
      </c>
      <c r="H532" s="11">
        <f>IFERROR(_xll.ciqfunctions.udf.CIQ(mh_ticker, "IQ_PREF_EQUITY", , B532), "")</f>
        <v/>
      </c>
      <c r="I532" s="11">
        <f>IFERROR(_xll.ciqfunctions.udf.CIQ(mh_ticker, "IQ_MINORITY_INTEREST", , B532), "")</f>
        <v/>
      </c>
      <c r="J532" s="11">
        <f>IFERROR(_xll.ciqfunctions.udf.CIQ(mh_ticker, "IQ_EQUITY_METHOD", , B532), "")</f>
        <v/>
      </c>
      <c r="K532" s="11">
        <f>IFERROR(_xll.ciqfunctions.udf.CIQ(mh_ticker, "IQ_LT_Mark_Securities", , B532), "")</f>
        <v/>
      </c>
      <c r="L532" s="12">
        <f>IFERROR(C532*D532, "")</f>
        <v/>
      </c>
      <c r="M532" s="12">
        <f>IFERROR(L532-E532-F532+G532+H532+I532-J532-K532, "")</f>
        <v/>
      </c>
      <c r="N532" s="11">
        <f>IFERROR(_xll.ciqfunctions.udf.CIQ(mh_ticker, "IQ_EBITDA_EST", IQ_NTM, B532, , , "USD"), "")</f>
        <v/>
      </c>
      <c r="O532" s="13">
        <f>IFERROR(M532/N532, "")</f>
        <v/>
      </c>
    </row>
    <row r="533">
      <c r="B533" s="8" t="n"/>
      <c r="C533" s="9">
        <f>IFERROR(_xll.ciqfunctions.udf.CIQ(mh_ticker, "IQ_LASTSALEPRICE", B533), "")</f>
        <v/>
      </c>
      <c r="D533" s="10">
        <f>IFERROR(_xll.ciqfunctions.udf.CIQ(mh_ticker, "IQ_SHARESOUTSTANDING_OUT", B533), "")</f>
        <v/>
      </c>
      <c r="E533" s="11">
        <f>IFERROR(_xll.ciqfunctions.udf.CIQ(mh_ticker, "IQ_CASH_EQUIV", , B533), "")</f>
        <v/>
      </c>
      <c r="F533" s="11">
        <f>IFERROR(_xll.ciqfunctions.udf.CIQ(mh_ticker, "IQ_ST_INVEST", , B533), "")</f>
        <v/>
      </c>
      <c r="G533" s="11">
        <f>IFERROR(_xll.ciqfunctions.udf.CIQ(mh_ticker, "IQ_TOTAL_DEBT_EXCL_OPER_LEASES", , B533), "")</f>
        <v/>
      </c>
      <c r="H533" s="11">
        <f>IFERROR(_xll.ciqfunctions.udf.CIQ(mh_ticker, "IQ_PREF_EQUITY", , B533), "")</f>
        <v/>
      </c>
      <c r="I533" s="11">
        <f>IFERROR(_xll.ciqfunctions.udf.CIQ(mh_ticker, "IQ_MINORITY_INTEREST", , B533), "")</f>
        <v/>
      </c>
      <c r="J533" s="11">
        <f>IFERROR(_xll.ciqfunctions.udf.CIQ(mh_ticker, "IQ_EQUITY_METHOD", , B533), "")</f>
        <v/>
      </c>
      <c r="K533" s="11">
        <f>IFERROR(_xll.ciqfunctions.udf.CIQ(mh_ticker, "IQ_LT_Mark_Securities", , B533), "")</f>
        <v/>
      </c>
      <c r="L533" s="12">
        <f>IFERROR(C533*D533, "")</f>
        <v/>
      </c>
      <c r="M533" s="12">
        <f>IFERROR(L533-E533-F533+G533+H533+I533-J533-K533, "")</f>
        <v/>
      </c>
      <c r="N533" s="11">
        <f>IFERROR(_xll.ciqfunctions.udf.CIQ(mh_ticker, "IQ_EBITDA_EST", IQ_NTM, B533, , , "USD"), "")</f>
        <v/>
      </c>
      <c r="O533" s="13">
        <f>IFERROR(M533/N533, "")</f>
        <v/>
      </c>
    </row>
    <row r="534">
      <c r="B534" s="8" t="n"/>
      <c r="C534" s="9">
        <f>IFERROR(_xll.ciqfunctions.udf.CIQ(mh_ticker, "IQ_LASTSALEPRICE", B534), "")</f>
        <v/>
      </c>
      <c r="D534" s="10">
        <f>IFERROR(_xll.ciqfunctions.udf.CIQ(mh_ticker, "IQ_SHARESOUTSTANDING_OUT", B534), "")</f>
        <v/>
      </c>
      <c r="E534" s="11">
        <f>IFERROR(_xll.ciqfunctions.udf.CIQ(mh_ticker, "IQ_CASH_EQUIV", , B534), "")</f>
        <v/>
      </c>
      <c r="F534" s="11">
        <f>IFERROR(_xll.ciqfunctions.udf.CIQ(mh_ticker, "IQ_ST_INVEST", , B534), "")</f>
        <v/>
      </c>
      <c r="G534" s="11">
        <f>IFERROR(_xll.ciqfunctions.udf.CIQ(mh_ticker, "IQ_TOTAL_DEBT_EXCL_OPER_LEASES", , B534), "")</f>
        <v/>
      </c>
      <c r="H534" s="11">
        <f>IFERROR(_xll.ciqfunctions.udf.CIQ(mh_ticker, "IQ_PREF_EQUITY", , B534), "")</f>
        <v/>
      </c>
      <c r="I534" s="11">
        <f>IFERROR(_xll.ciqfunctions.udf.CIQ(mh_ticker, "IQ_MINORITY_INTEREST", , B534), "")</f>
        <v/>
      </c>
      <c r="J534" s="11">
        <f>IFERROR(_xll.ciqfunctions.udf.CIQ(mh_ticker, "IQ_EQUITY_METHOD", , B534), "")</f>
        <v/>
      </c>
      <c r="K534" s="11">
        <f>IFERROR(_xll.ciqfunctions.udf.CIQ(mh_ticker, "IQ_LT_Mark_Securities", , B534), "")</f>
        <v/>
      </c>
      <c r="L534" s="12">
        <f>IFERROR(C534*D534, "")</f>
        <v/>
      </c>
      <c r="M534" s="12">
        <f>IFERROR(L534-E534-F534+G534+H534+I534-J534-K534, "")</f>
        <v/>
      </c>
      <c r="N534" s="11">
        <f>IFERROR(_xll.ciqfunctions.udf.CIQ(mh_ticker, "IQ_EBITDA_EST", IQ_NTM, B534, , , "USD"), "")</f>
        <v/>
      </c>
      <c r="O534" s="13">
        <f>IFERROR(M534/N534, "")</f>
        <v/>
      </c>
    </row>
    <row r="535">
      <c r="B535" s="8" t="n"/>
      <c r="C535" s="9">
        <f>IFERROR(_xll.ciqfunctions.udf.CIQ(mh_ticker, "IQ_LASTSALEPRICE", B535), "")</f>
        <v/>
      </c>
      <c r="D535" s="10">
        <f>IFERROR(_xll.ciqfunctions.udf.CIQ(mh_ticker, "IQ_SHARESOUTSTANDING_OUT", B535), "")</f>
        <v/>
      </c>
      <c r="E535" s="11">
        <f>IFERROR(_xll.ciqfunctions.udf.CIQ(mh_ticker, "IQ_CASH_EQUIV", , B535), "")</f>
        <v/>
      </c>
      <c r="F535" s="11">
        <f>IFERROR(_xll.ciqfunctions.udf.CIQ(mh_ticker, "IQ_ST_INVEST", , B535), "")</f>
        <v/>
      </c>
      <c r="G535" s="11">
        <f>IFERROR(_xll.ciqfunctions.udf.CIQ(mh_ticker, "IQ_TOTAL_DEBT_EXCL_OPER_LEASES", , B535), "")</f>
        <v/>
      </c>
      <c r="H535" s="11">
        <f>IFERROR(_xll.ciqfunctions.udf.CIQ(mh_ticker, "IQ_PREF_EQUITY", , B535), "")</f>
        <v/>
      </c>
      <c r="I535" s="11">
        <f>IFERROR(_xll.ciqfunctions.udf.CIQ(mh_ticker, "IQ_MINORITY_INTEREST", , B535), "")</f>
        <v/>
      </c>
      <c r="J535" s="11">
        <f>IFERROR(_xll.ciqfunctions.udf.CIQ(mh_ticker, "IQ_EQUITY_METHOD", , B535), "")</f>
        <v/>
      </c>
      <c r="K535" s="11">
        <f>IFERROR(_xll.ciqfunctions.udf.CIQ(mh_ticker, "IQ_LT_Mark_Securities", , B535), "")</f>
        <v/>
      </c>
      <c r="L535" s="12">
        <f>IFERROR(C535*D535, "")</f>
        <v/>
      </c>
      <c r="M535" s="12">
        <f>IFERROR(L535-E535-F535+G535+H535+I535-J535-K535, "")</f>
        <v/>
      </c>
      <c r="N535" s="11">
        <f>IFERROR(_xll.ciqfunctions.udf.CIQ(mh_ticker, "IQ_EBITDA_EST", IQ_NTM, B535, , , "USD"), "")</f>
        <v/>
      </c>
      <c r="O535" s="13">
        <f>IFERROR(M535/N535, "")</f>
        <v/>
      </c>
    </row>
    <row r="536">
      <c r="B536" s="8" t="n"/>
      <c r="C536" s="9">
        <f>IFERROR(_xll.ciqfunctions.udf.CIQ(mh_ticker, "IQ_LASTSALEPRICE", B536), "")</f>
        <v/>
      </c>
      <c r="D536" s="10">
        <f>IFERROR(_xll.ciqfunctions.udf.CIQ(mh_ticker, "IQ_SHARESOUTSTANDING_OUT", B536), "")</f>
        <v/>
      </c>
      <c r="E536" s="11">
        <f>IFERROR(_xll.ciqfunctions.udf.CIQ(mh_ticker, "IQ_CASH_EQUIV", , B536), "")</f>
        <v/>
      </c>
      <c r="F536" s="11">
        <f>IFERROR(_xll.ciqfunctions.udf.CIQ(mh_ticker, "IQ_ST_INVEST", , B536), "")</f>
        <v/>
      </c>
      <c r="G536" s="11">
        <f>IFERROR(_xll.ciqfunctions.udf.CIQ(mh_ticker, "IQ_TOTAL_DEBT_EXCL_OPER_LEASES", , B536), "")</f>
        <v/>
      </c>
      <c r="H536" s="11">
        <f>IFERROR(_xll.ciqfunctions.udf.CIQ(mh_ticker, "IQ_PREF_EQUITY", , B536), "")</f>
        <v/>
      </c>
      <c r="I536" s="11">
        <f>IFERROR(_xll.ciqfunctions.udf.CIQ(mh_ticker, "IQ_MINORITY_INTEREST", , B536), "")</f>
        <v/>
      </c>
      <c r="J536" s="11">
        <f>IFERROR(_xll.ciqfunctions.udf.CIQ(mh_ticker, "IQ_EQUITY_METHOD", , B536), "")</f>
        <v/>
      </c>
      <c r="K536" s="11">
        <f>IFERROR(_xll.ciqfunctions.udf.CIQ(mh_ticker, "IQ_LT_Mark_Securities", , B536), "")</f>
        <v/>
      </c>
      <c r="L536" s="12">
        <f>IFERROR(C536*D536, "")</f>
        <v/>
      </c>
      <c r="M536" s="12">
        <f>IFERROR(L536-E536-F536+G536+H536+I536-J536-K536, "")</f>
        <v/>
      </c>
      <c r="N536" s="11">
        <f>IFERROR(_xll.ciqfunctions.udf.CIQ(mh_ticker, "IQ_EBITDA_EST", IQ_NTM, B536, , , "USD"), "")</f>
        <v/>
      </c>
      <c r="O536" s="13">
        <f>IFERROR(M536/N536, "")</f>
        <v/>
      </c>
    </row>
    <row r="537">
      <c r="B537" s="8" t="n"/>
      <c r="C537" s="9">
        <f>IFERROR(_xll.ciqfunctions.udf.CIQ(mh_ticker, "IQ_LASTSALEPRICE", B537), "")</f>
        <v/>
      </c>
      <c r="D537" s="10">
        <f>IFERROR(_xll.ciqfunctions.udf.CIQ(mh_ticker, "IQ_SHARESOUTSTANDING_OUT", B537), "")</f>
        <v/>
      </c>
      <c r="E537" s="11">
        <f>IFERROR(_xll.ciqfunctions.udf.CIQ(mh_ticker, "IQ_CASH_EQUIV", , B537), "")</f>
        <v/>
      </c>
      <c r="F537" s="11">
        <f>IFERROR(_xll.ciqfunctions.udf.CIQ(mh_ticker, "IQ_ST_INVEST", , B537), "")</f>
        <v/>
      </c>
      <c r="G537" s="11">
        <f>IFERROR(_xll.ciqfunctions.udf.CIQ(mh_ticker, "IQ_TOTAL_DEBT_EXCL_OPER_LEASES", , B537), "")</f>
        <v/>
      </c>
      <c r="H537" s="11">
        <f>IFERROR(_xll.ciqfunctions.udf.CIQ(mh_ticker, "IQ_PREF_EQUITY", , B537), "")</f>
        <v/>
      </c>
      <c r="I537" s="11">
        <f>IFERROR(_xll.ciqfunctions.udf.CIQ(mh_ticker, "IQ_MINORITY_INTEREST", , B537), "")</f>
        <v/>
      </c>
      <c r="J537" s="11">
        <f>IFERROR(_xll.ciqfunctions.udf.CIQ(mh_ticker, "IQ_EQUITY_METHOD", , B537), "")</f>
        <v/>
      </c>
      <c r="K537" s="11">
        <f>IFERROR(_xll.ciqfunctions.udf.CIQ(mh_ticker, "IQ_LT_Mark_Securities", , B537), "")</f>
        <v/>
      </c>
      <c r="L537" s="12">
        <f>IFERROR(C537*D537, "")</f>
        <v/>
      </c>
      <c r="M537" s="12">
        <f>IFERROR(L537-E537-F537+G537+H537+I537-J537-K537, "")</f>
        <v/>
      </c>
      <c r="N537" s="11">
        <f>IFERROR(_xll.ciqfunctions.udf.CIQ(mh_ticker, "IQ_EBITDA_EST", IQ_NTM, B537, , , "USD"), "")</f>
        <v/>
      </c>
      <c r="O537" s="13">
        <f>IFERROR(M537/N537, "")</f>
        <v/>
      </c>
    </row>
    <row r="538">
      <c r="B538" s="8" t="n"/>
      <c r="C538" s="9">
        <f>IFERROR(_xll.ciqfunctions.udf.CIQ(mh_ticker, "IQ_LASTSALEPRICE", B538), "")</f>
        <v/>
      </c>
      <c r="D538" s="10">
        <f>IFERROR(_xll.ciqfunctions.udf.CIQ(mh_ticker, "IQ_SHARESOUTSTANDING_OUT", B538), "")</f>
        <v/>
      </c>
      <c r="E538" s="11">
        <f>IFERROR(_xll.ciqfunctions.udf.CIQ(mh_ticker, "IQ_CASH_EQUIV", , B538), "")</f>
        <v/>
      </c>
      <c r="F538" s="11">
        <f>IFERROR(_xll.ciqfunctions.udf.CIQ(mh_ticker, "IQ_ST_INVEST", , B538), "")</f>
        <v/>
      </c>
      <c r="G538" s="11">
        <f>IFERROR(_xll.ciqfunctions.udf.CIQ(mh_ticker, "IQ_TOTAL_DEBT_EXCL_OPER_LEASES", , B538), "")</f>
        <v/>
      </c>
      <c r="H538" s="11">
        <f>IFERROR(_xll.ciqfunctions.udf.CIQ(mh_ticker, "IQ_PREF_EQUITY", , B538), "")</f>
        <v/>
      </c>
      <c r="I538" s="11">
        <f>IFERROR(_xll.ciqfunctions.udf.CIQ(mh_ticker, "IQ_MINORITY_INTEREST", , B538), "")</f>
        <v/>
      </c>
      <c r="J538" s="11">
        <f>IFERROR(_xll.ciqfunctions.udf.CIQ(mh_ticker, "IQ_EQUITY_METHOD", , B538), "")</f>
        <v/>
      </c>
      <c r="K538" s="11">
        <f>IFERROR(_xll.ciqfunctions.udf.CIQ(mh_ticker, "IQ_LT_Mark_Securities", , B538), "")</f>
        <v/>
      </c>
      <c r="L538" s="12">
        <f>IFERROR(C538*D538, "")</f>
        <v/>
      </c>
      <c r="M538" s="12">
        <f>IFERROR(L538-E538-F538+G538+H538+I538-J538-K538, "")</f>
        <v/>
      </c>
      <c r="N538" s="11">
        <f>IFERROR(_xll.ciqfunctions.udf.CIQ(mh_ticker, "IQ_EBITDA_EST", IQ_NTM, B538, , , "USD"), "")</f>
        <v/>
      </c>
      <c r="O538" s="13">
        <f>IFERROR(M538/N538, "")</f>
        <v/>
      </c>
    </row>
    <row r="539">
      <c r="B539" s="8" t="n"/>
      <c r="C539" s="9">
        <f>IFERROR(_xll.ciqfunctions.udf.CIQ(mh_ticker, "IQ_LASTSALEPRICE", B539), "")</f>
        <v/>
      </c>
      <c r="D539" s="10">
        <f>IFERROR(_xll.ciqfunctions.udf.CIQ(mh_ticker, "IQ_SHARESOUTSTANDING_OUT", B539), "")</f>
        <v/>
      </c>
      <c r="E539" s="11">
        <f>IFERROR(_xll.ciqfunctions.udf.CIQ(mh_ticker, "IQ_CASH_EQUIV", , B539), "")</f>
        <v/>
      </c>
      <c r="F539" s="11">
        <f>IFERROR(_xll.ciqfunctions.udf.CIQ(mh_ticker, "IQ_ST_INVEST", , B539), "")</f>
        <v/>
      </c>
      <c r="G539" s="11">
        <f>IFERROR(_xll.ciqfunctions.udf.CIQ(mh_ticker, "IQ_TOTAL_DEBT_EXCL_OPER_LEASES", , B539), "")</f>
        <v/>
      </c>
      <c r="H539" s="11">
        <f>IFERROR(_xll.ciqfunctions.udf.CIQ(mh_ticker, "IQ_PREF_EQUITY", , B539), "")</f>
        <v/>
      </c>
      <c r="I539" s="11">
        <f>IFERROR(_xll.ciqfunctions.udf.CIQ(mh_ticker, "IQ_MINORITY_INTEREST", , B539), "")</f>
        <v/>
      </c>
      <c r="J539" s="11">
        <f>IFERROR(_xll.ciqfunctions.udf.CIQ(mh_ticker, "IQ_EQUITY_METHOD", , B539), "")</f>
        <v/>
      </c>
      <c r="K539" s="11">
        <f>IFERROR(_xll.ciqfunctions.udf.CIQ(mh_ticker, "IQ_LT_Mark_Securities", , B539), "")</f>
        <v/>
      </c>
      <c r="L539" s="12">
        <f>IFERROR(C539*D539, "")</f>
        <v/>
      </c>
      <c r="M539" s="12">
        <f>IFERROR(L539-E539-F539+G539+H539+I539-J539-K539, "")</f>
        <v/>
      </c>
      <c r="N539" s="11">
        <f>IFERROR(_xll.ciqfunctions.udf.CIQ(mh_ticker, "IQ_EBITDA_EST", IQ_NTM, B539, , , "USD"), "")</f>
        <v/>
      </c>
      <c r="O539" s="13">
        <f>IFERROR(M539/N539, "")</f>
        <v/>
      </c>
    </row>
    <row r="540">
      <c r="B540" s="8" t="n"/>
      <c r="C540" s="9">
        <f>IFERROR(_xll.ciqfunctions.udf.CIQ(mh_ticker, "IQ_LASTSALEPRICE", B540), "")</f>
        <v/>
      </c>
      <c r="D540" s="10">
        <f>IFERROR(_xll.ciqfunctions.udf.CIQ(mh_ticker, "IQ_SHARESOUTSTANDING_OUT", B540), "")</f>
        <v/>
      </c>
      <c r="E540" s="11">
        <f>IFERROR(_xll.ciqfunctions.udf.CIQ(mh_ticker, "IQ_CASH_EQUIV", , B540), "")</f>
        <v/>
      </c>
      <c r="F540" s="11">
        <f>IFERROR(_xll.ciqfunctions.udf.CIQ(mh_ticker, "IQ_ST_INVEST", , B540), "")</f>
        <v/>
      </c>
      <c r="G540" s="11">
        <f>IFERROR(_xll.ciqfunctions.udf.CIQ(mh_ticker, "IQ_TOTAL_DEBT_EXCL_OPER_LEASES", , B540), "")</f>
        <v/>
      </c>
      <c r="H540" s="11">
        <f>IFERROR(_xll.ciqfunctions.udf.CIQ(mh_ticker, "IQ_PREF_EQUITY", , B540), "")</f>
        <v/>
      </c>
      <c r="I540" s="11">
        <f>IFERROR(_xll.ciqfunctions.udf.CIQ(mh_ticker, "IQ_MINORITY_INTEREST", , B540), "")</f>
        <v/>
      </c>
      <c r="J540" s="11">
        <f>IFERROR(_xll.ciqfunctions.udf.CIQ(mh_ticker, "IQ_EQUITY_METHOD", , B540), "")</f>
        <v/>
      </c>
      <c r="K540" s="11">
        <f>IFERROR(_xll.ciqfunctions.udf.CIQ(mh_ticker, "IQ_LT_Mark_Securities", , B540), "")</f>
        <v/>
      </c>
      <c r="L540" s="12">
        <f>IFERROR(C540*D540, "")</f>
        <v/>
      </c>
      <c r="M540" s="12">
        <f>IFERROR(L540-E540-F540+G540+H540+I540-J540-K540, "")</f>
        <v/>
      </c>
      <c r="N540" s="11">
        <f>IFERROR(_xll.ciqfunctions.udf.CIQ(mh_ticker, "IQ_EBITDA_EST", IQ_NTM, B540, , , "USD"), "")</f>
        <v/>
      </c>
      <c r="O540" s="13">
        <f>IFERROR(M540/N540, "")</f>
        <v/>
      </c>
    </row>
    <row r="541">
      <c r="B541" s="8" t="n"/>
      <c r="C541" s="9">
        <f>IFERROR(_xll.ciqfunctions.udf.CIQ(mh_ticker, "IQ_LASTSALEPRICE", B541), "")</f>
        <v/>
      </c>
      <c r="D541" s="10">
        <f>IFERROR(_xll.ciqfunctions.udf.CIQ(mh_ticker, "IQ_SHARESOUTSTANDING_OUT", B541), "")</f>
        <v/>
      </c>
      <c r="E541" s="11">
        <f>IFERROR(_xll.ciqfunctions.udf.CIQ(mh_ticker, "IQ_CASH_EQUIV", , B541), "")</f>
        <v/>
      </c>
      <c r="F541" s="11">
        <f>IFERROR(_xll.ciqfunctions.udf.CIQ(mh_ticker, "IQ_ST_INVEST", , B541), "")</f>
        <v/>
      </c>
      <c r="G541" s="11">
        <f>IFERROR(_xll.ciqfunctions.udf.CIQ(mh_ticker, "IQ_TOTAL_DEBT_EXCL_OPER_LEASES", , B541), "")</f>
        <v/>
      </c>
      <c r="H541" s="11">
        <f>IFERROR(_xll.ciqfunctions.udf.CIQ(mh_ticker, "IQ_PREF_EQUITY", , B541), "")</f>
        <v/>
      </c>
      <c r="I541" s="11">
        <f>IFERROR(_xll.ciqfunctions.udf.CIQ(mh_ticker, "IQ_MINORITY_INTEREST", , B541), "")</f>
        <v/>
      </c>
      <c r="J541" s="11">
        <f>IFERROR(_xll.ciqfunctions.udf.CIQ(mh_ticker, "IQ_EQUITY_METHOD", , B541), "")</f>
        <v/>
      </c>
      <c r="K541" s="11">
        <f>IFERROR(_xll.ciqfunctions.udf.CIQ(mh_ticker, "IQ_LT_Mark_Securities", , B541), "")</f>
        <v/>
      </c>
      <c r="L541" s="12">
        <f>IFERROR(C541*D541, "")</f>
        <v/>
      </c>
      <c r="M541" s="12">
        <f>IFERROR(L541-E541-F541+G541+H541+I541-J541-K541, "")</f>
        <v/>
      </c>
      <c r="N541" s="11">
        <f>IFERROR(_xll.ciqfunctions.udf.CIQ(mh_ticker, "IQ_EBITDA_EST", IQ_NTM, B541, , , "USD"), "")</f>
        <v/>
      </c>
      <c r="O541" s="13">
        <f>IFERROR(M541/N541, "")</f>
        <v/>
      </c>
    </row>
    <row r="542">
      <c r="B542" s="8" t="n"/>
      <c r="C542" s="9">
        <f>IFERROR(_xll.ciqfunctions.udf.CIQ(mh_ticker, "IQ_LASTSALEPRICE", B542), "")</f>
        <v/>
      </c>
      <c r="D542" s="10">
        <f>IFERROR(_xll.ciqfunctions.udf.CIQ(mh_ticker, "IQ_SHARESOUTSTANDING_OUT", B542), "")</f>
        <v/>
      </c>
      <c r="E542" s="11">
        <f>IFERROR(_xll.ciqfunctions.udf.CIQ(mh_ticker, "IQ_CASH_EQUIV", , B542), "")</f>
        <v/>
      </c>
      <c r="F542" s="11">
        <f>IFERROR(_xll.ciqfunctions.udf.CIQ(mh_ticker, "IQ_ST_INVEST", , B542), "")</f>
        <v/>
      </c>
      <c r="G542" s="11">
        <f>IFERROR(_xll.ciqfunctions.udf.CIQ(mh_ticker, "IQ_TOTAL_DEBT_EXCL_OPER_LEASES", , B542), "")</f>
        <v/>
      </c>
      <c r="H542" s="11">
        <f>IFERROR(_xll.ciqfunctions.udf.CIQ(mh_ticker, "IQ_PREF_EQUITY", , B542), "")</f>
        <v/>
      </c>
      <c r="I542" s="11">
        <f>IFERROR(_xll.ciqfunctions.udf.CIQ(mh_ticker, "IQ_MINORITY_INTEREST", , B542), "")</f>
        <v/>
      </c>
      <c r="J542" s="11">
        <f>IFERROR(_xll.ciqfunctions.udf.CIQ(mh_ticker, "IQ_EQUITY_METHOD", , B542), "")</f>
        <v/>
      </c>
      <c r="K542" s="11">
        <f>IFERROR(_xll.ciqfunctions.udf.CIQ(mh_ticker, "IQ_LT_Mark_Securities", , B542), "")</f>
        <v/>
      </c>
      <c r="L542" s="12">
        <f>IFERROR(C542*D542, "")</f>
        <v/>
      </c>
      <c r="M542" s="12">
        <f>IFERROR(L542-E542-F542+G542+H542+I542-J542-K542, "")</f>
        <v/>
      </c>
      <c r="N542" s="11">
        <f>IFERROR(_xll.ciqfunctions.udf.CIQ(mh_ticker, "IQ_EBITDA_EST", IQ_NTM, B542, , , "USD"), "")</f>
        <v/>
      </c>
      <c r="O542" s="13">
        <f>IFERROR(M542/N542, "")</f>
        <v/>
      </c>
    </row>
    <row r="543">
      <c r="B543" s="8" t="n"/>
      <c r="C543" s="9">
        <f>IFERROR(_xll.ciqfunctions.udf.CIQ(mh_ticker, "IQ_LASTSALEPRICE", B543), "")</f>
        <v/>
      </c>
      <c r="D543" s="10">
        <f>IFERROR(_xll.ciqfunctions.udf.CIQ(mh_ticker, "IQ_SHARESOUTSTANDING_OUT", B543), "")</f>
        <v/>
      </c>
      <c r="E543" s="11">
        <f>IFERROR(_xll.ciqfunctions.udf.CIQ(mh_ticker, "IQ_CASH_EQUIV", , B543), "")</f>
        <v/>
      </c>
      <c r="F543" s="11">
        <f>IFERROR(_xll.ciqfunctions.udf.CIQ(mh_ticker, "IQ_ST_INVEST", , B543), "")</f>
        <v/>
      </c>
      <c r="G543" s="11">
        <f>IFERROR(_xll.ciqfunctions.udf.CIQ(mh_ticker, "IQ_TOTAL_DEBT_EXCL_OPER_LEASES", , B543), "")</f>
        <v/>
      </c>
      <c r="H543" s="11">
        <f>IFERROR(_xll.ciqfunctions.udf.CIQ(mh_ticker, "IQ_PREF_EQUITY", , B543), "")</f>
        <v/>
      </c>
      <c r="I543" s="11">
        <f>IFERROR(_xll.ciqfunctions.udf.CIQ(mh_ticker, "IQ_MINORITY_INTEREST", , B543), "")</f>
        <v/>
      </c>
      <c r="J543" s="11">
        <f>IFERROR(_xll.ciqfunctions.udf.CIQ(mh_ticker, "IQ_EQUITY_METHOD", , B543), "")</f>
        <v/>
      </c>
      <c r="K543" s="11">
        <f>IFERROR(_xll.ciqfunctions.udf.CIQ(mh_ticker, "IQ_LT_Mark_Securities", , B543), "")</f>
        <v/>
      </c>
      <c r="L543" s="12">
        <f>IFERROR(C543*D543, "")</f>
        <v/>
      </c>
      <c r="M543" s="12">
        <f>IFERROR(L543-E543-F543+G543+H543+I543-J543-K543, "")</f>
        <v/>
      </c>
      <c r="N543" s="11">
        <f>IFERROR(_xll.ciqfunctions.udf.CIQ(mh_ticker, "IQ_EBITDA_EST", IQ_NTM, B543, , , "USD"), "")</f>
        <v/>
      </c>
      <c r="O543" s="13">
        <f>IFERROR(M543/N543, "")</f>
        <v/>
      </c>
    </row>
    <row r="544">
      <c r="B544" s="8" t="n"/>
      <c r="C544" s="9">
        <f>IFERROR(_xll.ciqfunctions.udf.CIQ(mh_ticker, "IQ_LASTSALEPRICE", B544), "")</f>
        <v/>
      </c>
      <c r="D544" s="10">
        <f>IFERROR(_xll.ciqfunctions.udf.CIQ(mh_ticker, "IQ_SHARESOUTSTANDING_OUT", B544), "")</f>
        <v/>
      </c>
      <c r="E544" s="11">
        <f>IFERROR(_xll.ciqfunctions.udf.CIQ(mh_ticker, "IQ_CASH_EQUIV", , B544), "")</f>
        <v/>
      </c>
      <c r="F544" s="11">
        <f>IFERROR(_xll.ciqfunctions.udf.CIQ(mh_ticker, "IQ_ST_INVEST", , B544), "")</f>
        <v/>
      </c>
      <c r="G544" s="11">
        <f>IFERROR(_xll.ciqfunctions.udf.CIQ(mh_ticker, "IQ_TOTAL_DEBT_EXCL_OPER_LEASES", , B544), "")</f>
        <v/>
      </c>
      <c r="H544" s="11">
        <f>IFERROR(_xll.ciqfunctions.udf.CIQ(mh_ticker, "IQ_PREF_EQUITY", , B544), "")</f>
        <v/>
      </c>
      <c r="I544" s="11">
        <f>IFERROR(_xll.ciqfunctions.udf.CIQ(mh_ticker, "IQ_MINORITY_INTEREST", , B544), "")</f>
        <v/>
      </c>
      <c r="J544" s="11">
        <f>IFERROR(_xll.ciqfunctions.udf.CIQ(mh_ticker, "IQ_EQUITY_METHOD", , B544), "")</f>
        <v/>
      </c>
      <c r="K544" s="11">
        <f>IFERROR(_xll.ciqfunctions.udf.CIQ(mh_ticker, "IQ_LT_Mark_Securities", , B544), "")</f>
        <v/>
      </c>
      <c r="L544" s="12">
        <f>IFERROR(C544*D544, "")</f>
        <v/>
      </c>
      <c r="M544" s="12">
        <f>IFERROR(L544-E544-F544+G544+H544+I544-J544-K544, "")</f>
        <v/>
      </c>
      <c r="N544" s="11">
        <f>IFERROR(_xll.ciqfunctions.udf.CIQ(mh_ticker, "IQ_EBITDA_EST", IQ_NTM, B544, , , "USD"), "")</f>
        <v/>
      </c>
      <c r="O544" s="13">
        <f>IFERROR(M544/N544, "")</f>
        <v/>
      </c>
    </row>
    <row r="545">
      <c r="B545" s="8" t="n"/>
      <c r="C545" s="9">
        <f>IFERROR(_xll.ciqfunctions.udf.CIQ(mh_ticker, "IQ_LASTSALEPRICE", B545), "")</f>
        <v/>
      </c>
      <c r="D545" s="10">
        <f>IFERROR(_xll.ciqfunctions.udf.CIQ(mh_ticker, "IQ_SHARESOUTSTANDING_OUT", B545), "")</f>
        <v/>
      </c>
      <c r="E545" s="11">
        <f>IFERROR(_xll.ciqfunctions.udf.CIQ(mh_ticker, "IQ_CASH_EQUIV", , B545), "")</f>
        <v/>
      </c>
      <c r="F545" s="11">
        <f>IFERROR(_xll.ciqfunctions.udf.CIQ(mh_ticker, "IQ_ST_INVEST", , B545), "")</f>
        <v/>
      </c>
      <c r="G545" s="11">
        <f>IFERROR(_xll.ciqfunctions.udf.CIQ(mh_ticker, "IQ_TOTAL_DEBT_EXCL_OPER_LEASES", , B545), "")</f>
        <v/>
      </c>
      <c r="H545" s="11">
        <f>IFERROR(_xll.ciqfunctions.udf.CIQ(mh_ticker, "IQ_PREF_EQUITY", , B545), "")</f>
        <v/>
      </c>
      <c r="I545" s="11">
        <f>IFERROR(_xll.ciqfunctions.udf.CIQ(mh_ticker, "IQ_MINORITY_INTEREST", , B545), "")</f>
        <v/>
      </c>
      <c r="J545" s="11">
        <f>IFERROR(_xll.ciqfunctions.udf.CIQ(mh_ticker, "IQ_EQUITY_METHOD", , B545), "")</f>
        <v/>
      </c>
      <c r="K545" s="11">
        <f>IFERROR(_xll.ciqfunctions.udf.CIQ(mh_ticker, "IQ_LT_Mark_Securities", , B545), "")</f>
        <v/>
      </c>
      <c r="L545" s="12">
        <f>IFERROR(C545*D545, "")</f>
        <v/>
      </c>
      <c r="M545" s="12">
        <f>IFERROR(L545-E545-F545+G545+H545+I545-J545-K545, "")</f>
        <v/>
      </c>
      <c r="N545" s="11">
        <f>IFERROR(_xll.ciqfunctions.udf.CIQ(mh_ticker, "IQ_EBITDA_EST", IQ_NTM, B545, , , "USD"), "")</f>
        <v/>
      </c>
      <c r="O545" s="13">
        <f>IFERROR(M545/N545, "")</f>
        <v/>
      </c>
    </row>
    <row r="546">
      <c r="B546" s="8" t="n"/>
      <c r="C546" s="9">
        <f>IFERROR(_xll.ciqfunctions.udf.CIQ(mh_ticker, "IQ_LASTSALEPRICE", B546), "")</f>
        <v/>
      </c>
      <c r="D546" s="10">
        <f>IFERROR(_xll.ciqfunctions.udf.CIQ(mh_ticker, "IQ_SHARESOUTSTANDING_OUT", B546), "")</f>
        <v/>
      </c>
      <c r="E546" s="11">
        <f>IFERROR(_xll.ciqfunctions.udf.CIQ(mh_ticker, "IQ_CASH_EQUIV", , B546), "")</f>
        <v/>
      </c>
      <c r="F546" s="11">
        <f>IFERROR(_xll.ciqfunctions.udf.CIQ(mh_ticker, "IQ_ST_INVEST", , B546), "")</f>
        <v/>
      </c>
      <c r="G546" s="11">
        <f>IFERROR(_xll.ciqfunctions.udf.CIQ(mh_ticker, "IQ_TOTAL_DEBT_EXCL_OPER_LEASES", , B546), "")</f>
        <v/>
      </c>
      <c r="H546" s="11">
        <f>IFERROR(_xll.ciqfunctions.udf.CIQ(mh_ticker, "IQ_PREF_EQUITY", , B546), "")</f>
        <v/>
      </c>
      <c r="I546" s="11">
        <f>IFERROR(_xll.ciqfunctions.udf.CIQ(mh_ticker, "IQ_MINORITY_INTEREST", , B546), "")</f>
        <v/>
      </c>
      <c r="J546" s="11">
        <f>IFERROR(_xll.ciqfunctions.udf.CIQ(mh_ticker, "IQ_EQUITY_METHOD", , B546), "")</f>
        <v/>
      </c>
      <c r="K546" s="11">
        <f>IFERROR(_xll.ciqfunctions.udf.CIQ(mh_ticker, "IQ_LT_Mark_Securities", , B546), "")</f>
        <v/>
      </c>
      <c r="L546" s="12">
        <f>IFERROR(C546*D546, "")</f>
        <v/>
      </c>
      <c r="M546" s="12">
        <f>IFERROR(L546-E546-F546+G546+H546+I546-J546-K546, "")</f>
        <v/>
      </c>
      <c r="N546" s="11">
        <f>IFERROR(_xll.ciqfunctions.udf.CIQ(mh_ticker, "IQ_EBITDA_EST", IQ_NTM, B546, , , "USD"), "")</f>
        <v/>
      </c>
      <c r="O546" s="13">
        <f>IFERROR(M546/N546, "")</f>
        <v/>
      </c>
    </row>
    <row r="547">
      <c r="B547" s="8" t="n"/>
      <c r="C547" s="9">
        <f>IFERROR(_xll.ciqfunctions.udf.CIQ(mh_ticker, "IQ_LASTSALEPRICE", B547), "")</f>
        <v/>
      </c>
      <c r="D547" s="10">
        <f>IFERROR(_xll.ciqfunctions.udf.CIQ(mh_ticker, "IQ_SHARESOUTSTANDING_OUT", B547), "")</f>
        <v/>
      </c>
      <c r="E547" s="11">
        <f>IFERROR(_xll.ciqfunctions.udf.CIQ(mh_ticker, "IQ_CASH_EQUIV", , B547), "")</f>
        <v/>
      </c>
      <c r="F547" s="11">
        <f>IFERROR(_xll.ciqfunctions.udf.CIQ(mh_ticker, "IQ_ST_INVEST", , B547), "")</f>
        <v/>
      </c>
      <c r="G547" s="11">
        <f>IFERROR(_xll.ciqfunctions.udf.CIQ(mh_ticker, "IQ_TOTAL_DEBT_EXCL_OPER_LEASES", , B547), "")</f>
        <v/>
      </c>
      <c r="H547" s="11">
        <f>IFERROR(_xll.ciqfunctions.udf.CIQ(mh_ticker, "IQ_PREF_EQUITY", , B547), "")</f>
        <v/>
      </c>
      <c r="I547" s="11">
        <f>IFERROR(_xll.ciqfunctions.udf.CIQ(mh_ticker, "IQ_MINORITY_INTEREST", , B547), "")</f>
        <v/>
      </c>
      <c r="J547" s="11">
        <f>IFERROR(_xll.ciqfunctions.udf.CIQ(mh_ticker, "IQ_EQUITY_METHOD", , B547), "")</f>
        <v/>
      </c>
      <c r="K547" s="11">
        <f>IFERROR(_xll.ciqfunctions.udf.CIQ(mh_ticker, "IQ_LT_Mark_Securities", , B547), "")</f>
        <v/>
      </c>
      <c r="L547" s="12">
        <f>IFERROR(C547*D547, "")</f>
        <v/>
      </c>
      <c r="M547" s="12">
        <f>IFERROR(L547-E547-F547+G547+H547+I547-J547-K547, "")</f>
        <v/>
      </c>
      <c r="N547" s="11">
        <f>IFERROR(_xll.ciqfunctions.udf.CIQ(mh_ticker, "IQ_EBITDA_EST", IQ_NTM, B547, , , "USD"), "")</f>
        <v/>
      </c>
      <c r="O547" s="13">
        <f>IFERROR(M547/N547, "")</f>
        <v/>
      </c>
    </row>
    <row r="548">
      <c r="B548" s="8" t="n"/>
      <c r="C548" s="9">
        <f>IFERROR(_xll.ciqfunctions.udf.CIQ(mh_ticker, "IQ_LASTSALEPRICE", B548), "")</f>
        <v/>
      </c>
      <c r="D548" s="10">
        <f>IFERROR(_xll.ciqfunctions.udf.CIQ(mh_ticker, "IQ_SHARESOUTSTANDING_OUT", B548), "")</f>
        <v/>
      </c>
      <c r="E548" s="11">
        <f>IFERROR(_xll.ciqfunctions.udf.CIQ(mh_ticker, "IQ_CASH_EQUIV", , B548), "")</f>
        <v/>
      </c>
      <c r="F548" s="11">
        <f>IFERROR(_xll.ciqfunctions.udf.CIQ(mh_ticker, "IQ_ST_INVEST", , B548), "")</f>
        <v/>
      </c>
      <c r="G548" s="11">
        <f>IFERROR(_xll.ciqfunctions.udf.CIQ(mh_ticker, "IQ_TOTAL_DEBT_EXCL_OPER_LEASES", , B548), "")</f>
        <v/>
      </c>
      <c r="H548" s="11">
        <f>IFERROR(_xll.ciqfunctions.udf.CIQ(mh_ticker, "IQ_PREF_EQUITY", , B548), "")</f>
        <v/>
      </c>
      <c r="I548" s="11">
        <f>IFERROR(_xll.ciqfunctions.udf.CIQ(mh_ticker, "IQ_MINORITY_INTEREST", , B548), "")</f>
        <v/>
      </c>
      <c r="J548" s="11">
        <f>IFERROR(_xll.ciqfunctions.udf.CIQ(mh_ticker, "IQ_EQUITY_METHOD", , B548), "")</f>
        <v/>
      </c>
      <c r="K548" s="11">
        <f>IFERROR(_xll.ciqfunctions.udf.CIQ(mh_ticker, "IQ_LT_Mark_Securities", , B548), "")</f>
        <v/>
      </c>
      <c r="L548" s="12">
        <f>IFERROR(C548*D548, "")</f>
        <v/>
      </c>
      <c r="M548" s="12">
        <f>IFERROR(L548-E548-F548+G548+H548+I548-J548-K548, "")</f>
        <v/>
      </c>
      <c r="N548" s="11">
        <f>IFERROR(_xll.ciqfunctions.udf.CIQ(mh_ticker, "IQ_EBITDA_EST", IQ_NTM, B548, , , "USD"), "")</f>
        <v/>
      </c>
      <c r="O548" s="13">
        <f>IFERROR(M548/N548, "")</f>
        <v/>
      </c>
    </row>
    <row r="549">
      <c r="B549" s="8" t="n"/>
      <c r="C549" s="9">
        <f>IFERROR(_xll.ciqfunctions.udf.CIQ(mh_ticker, "IQ_LASTSALEPRICE", B549), "")</f>
        <v/>
      </c>
      <c r="D549" s="10">
        <f>IFERROR(_xll.ciqfunctions.udf.CIQ(mh_ticker, "IQ_SHARESOUTSTANDING_OUT", B549), "")</f>
        <v/>
      </c>
      <c r="E549" s="11">
        <f>IFERROR(_xll.ciqfunctions.udf.CIQ(mh_ticker, "IQ_CASH_EQUIV", , B549), "")</f>
        <v/>
      </c>
      <c r="F549" s="11">
        <f>IFERROR(_xll.ciqfunctions.udf.CIQ(mh_ticker, "IQ_ST_INVEST", , B549), "")</f>
        <v/>
      </c>
      <c r="G549" s="11">
        <f>IFERROR(_xll.ciqfunctions.udf.CIQ(mh_ticker, "IQ_TOTAL_DEBT_EXCL_OPER_LEASES", , B549), "")</f>
        <v/>
      </c>
      <c r="H549" s="11">
        <f>IFERROR(_xll.ciqfunctions.udf.CIQ(mh_ticker, "IQ_PREF_EQUITY", , B549), "")</f>
        <v/>
      </c>
      <c r="I549" s="11">
        <f>IFERROR(_xll.ciqfunctions.udf.CIQ(mh_ticker, "IQ_MINORITY_INTEREST", , B549), "")</f>
        <v/>
      </c>
      <c r="J549" s="11">
        <f>IFERROR(_xll.ciqfunctions.udf.CIQ(mh_ticker, "IQ_EQUITY_METHOD", , B549), "")</f>
        <v/>
      </c>
      <c r="K549" s="11">
        <f>IFERROR(_xll.ciqfunctions.udf.CIQ(mh_ticker, "IQ_LT_Mark_Securities", , B549), "")</f>
        <v/>
      </c>
      <c r="L549" s="12">
        <f>IFERROR(C549*D549, "")</f>
        <v/>
      </c>
      <c r="M549" s="12">
        <f>IFERROR(L549-E549-F549+G549+H549+I549-J549-K549, "")</f>
        <v/>
      </c>
      <c r="N549" s="11">
        <f>IFERROR(_xll.ciqfunctions.udf.CIQ(mh_ticker, "IQ_EBITDA_EST", IQ_NTM, B549, , , "USD"), "")</f>
        <v/>
      </c>
      <c r="O549" s="13">
        <f>IFERROR(M549/N549, "")</f>
        <v/>
      </c>
    </row>
    <row r="550">
      <c r="B550" s="8" t="n"/>
      <c r="C550" s="9">
        <f>IFERROR(_xll.ciqfunctions.udf.CIQ(mh_ticker, "IQ_LASTSALEPRICE", B550), "")</f>
        <v/>
      </c>
      <c r="D550" s="10">
        <f>IFERROR(_xll.ciqfunctions.udf.CIQ(mh_ticker, "IQ_SHARESOUTSTANDING_OUT", B550), "")</f>
        <v/>
      </c>
      <c r="E550" s="11">
        <f>IFERROR(_xll.ciqfunctions.udf.CIQ(mh_ticker, "IQ_CASH_EQUIV", , B550), "")</f>
        <v/>
      </c>
      <c r="F550" s="11">
        <f>IFERROR(_xll.ciqfunctions.udf.CIQ(mh_ticker, "IQ_ST_INVEST", , B550), "")</f>
        <v/>
      </c>
      <c r="G550" s="11">
        <f>IFERROR(_xll.ciqfunctions.udf.CIQ(mh_ticker, "IQ_TOTAL_DEBT_EXCL_OPER_LEASES", , B550), "")</f>
        <v/>
      </c>
      <c r="H550" s="11">
        <f>IFERROR(_xll.ciqfunctions.udf.CIQ(mh_ticker, "IQ_PREF_EQUITY", , B550), "")</f>
        <v/>
      </c>
      <c r="I550" s="11">
        <f>IFERROR(_xll.ciqfunctions.udf.CIQ(mh_ticker, "IQ_MINORITY_INTEREST", , B550), "")</f>
        <v/>
      </c>
      <c r="J550" s="11">
        <f>IFERROR(_xll.ciqfunctions.udf.CIQ(mh_ticker, "IQ_EQUITY_METHOD", , B550), "")</f>
        <v/>
      </c>
      <c r="K550" s="11">
        <f>IFERROR(_xll.ciqfunctions.udf.CIQ(mh_ticker, "IQ_LT_Mark_Securities", , B550), "")</f>
        <v/>
      </c>
      <c r="L550" s="12">
        <f>IFERROR(C550*D550, "")</f>
        <v/>
      </c>
      <c r="M550" s="12">
        <f>IFERROR(L550-E550-F550+G550+H550+I550-J550-K550, "")</f>
        <v/>
      </c>
      <c r="N550" s="11">
        <f>IFERROR(_xll.ciqfunctions.udf.CIQ(mh_ticker, "IQ_EBITDA_EST", IQ_NTM, B550, , , "USD"), "")</f>
        <v/>
      </c>
      <c r="O550" s="13">
        <f>IFERROR(M550/N550, "")</f>
        <v/>
      </c>
    </row>
    <row r="551">
      <c r="B551" s="8" t="n"/>
      <c r="C551" s="9">
        <f>IFERROR(_xll.ciqfunctions.udf.CIQ(mh_ticker, "IQ_LASTSALEPRICE", B551), "")</f>
        <v/>
      </c>
      <c r="D551" s="10">
        <f>IFERROR(_xll.ciqfunctions.udf.CIQ(mh_ticker, "IQ_SHARESOUTSTANDING_OUT", B551), "")</f>
        <v/>
      </c>
      <c r="E551" s="11">
        <f>IFERROR(_xll.ciqfunctions.udf.CIQ(mh_ticker, "IQ_CASH_EQUIV", , B551), "")</f>
        <v/>
      </c>
      <c r="F551" s="11">
        <f>IFERROR(_xll.ciqfunctions.udf.CIQ(mh_ticker, "IQ_ST_INVEST", , B551), "")</f>
        <v/>
      </c>
      <c r="G551" s="11">
        <f>IFERROR(_xll.ciqfunctions.udf.CIQ(mh_ticker, "IQ_TOTAL_DEBT_EXCL_OPER_LEASES", , B551), "")</f>
        <v/>
      </c>
      <c r="H551" s="11">
        <f>IFERROR(_xll.ciqfunctions.udf.CIQ(mh_ticker, "IQ_PREF_EQUITY", , B551), "")</f>
        <v/>
      </c>
      <c r="I551" s="11">
        <f>IFERROR(_xll.ciqfunctions.udf.CIQ(mh_ticker, "IQ_MINORITY_INTEREST", , B551), "")</f>
        <v/>
      </c>
      <c r="J551" s="11">
        <f>IFERROR(_xll.ciqfunctions.udf.CIQ(mh_ticker, "IQ_EQUITY_METHOD", , B551), "")</f>
        <v/>
      </c>
      <c r="K551" s="11">
        <f>IFERROR(_xll.ciqfunctions.udf.CIQ(mh_ticker, "IQ_LT_Mark_Securities", , B551), "")</f>
        <v/>
      </c>
      <c r="L551" s="12">
        <f>IFERROR(C551*D551, "")</f>
        <v/>
      </c>
      <c r="M551" s="12">
        <f>IFERROR(L551-E551-F551+G551+H551+I551-J551-K551, "")</f>
        <v/>
      </c>
      <c r="N551" s="11">
        <f>IFERROR(_xll.ciqfunctions.udf.CIQ(mh_ticker, "IQ_EBITDA_EST", IQ_NTM, B551, , , "USD"), "")</f>
        <v/>
      </c>
      <c r="O551" s="13">
        <f>IFERROR(M551/N551, "")</f>
        <v/>
      </c>
    </row>
    <row r="552">
      <c r="B552" s="8" t="n"/>
      <c r="C552" s="9">
        <f>IFERROR(_xll.ciqfunctions.udf.CIQ(mh_ticker, "IQ_LASTSALEPRICE", B552), "")</f>
        <v/>
      </c>
      <c r="D552" s="10">
        <f>IFERROR(_xll.ciqfunctions.udf.CIQ(mh_ticker, "IQ_SHARESOUTSTANDING_OUT", B552), "")</f>
        <v/>
      </c>
      <c r="E552" s="11">
        <f>IFERROR(_xll.ciqfunctions.udf.CIQ(mh_ticker, "IQ_CASH_EQUIV", , B552), "")</f>
        <v/>
      </c>
      <c r="F552" s="11">
        <f>IFERROR(_xll.ciqfunctions.udf.CIQ(mh_ticker, "IQ_ST_INVEST", , B552), "")</f>
        <v/>
      </c>
      <c r="G552" s="11">
        <f>IFERROR(_xll.ciqfunctions.udf.CIQ(mh_ticker, "IQ_TOTAL_DEBT_EXCL_OPER_LEASES", , B552), "")</f>
        <v/>
      </c>
      <c r="H552" s="11">
        <f>IFERROR(_xll.ciqfunctions.udf.CIQ(mh_ticker, "IQ_PREF_EQUITY", , B552), "")</f>
        <v/>
      </c>
      <c r="I552" s="11">
        <f>IFERROR(_xll.ciqfunctions.udf.CIQ(mh_ticker, "IQ_MINORITY_INTEREST", , B552), "")</f>
        <v/>
      </c>
      <c r="J552" s="11">
        <f>IFERROR(_xll.ciqfunctions.udf.CIQ(mh_ticker, "IQ_EQUITY_METHOD", , B552), "")</f>
        <v/>
      </c>
      <c r="K552" s="11">
        <f>IFERROR(_xll.ciqfunctions.udf.CIQ(mh_ticker, "IQ_LT_Mark_Securities", , B552), "")</f>
        <v/>
      </c>
      <c r="L552" s="12">
        <f>IFERROR(C552*D552, "")</f>
        <v/>
      </c>
      <c r="M552" s="12">
        <f>IFERROR(L552-E552-F552+G552+H552+I552-J552-K552, "")</f>
        <v/>
      </c>
      <c r="N552" s="11">
        <f>IFERROR(_xll.ciqfunctions.udf.CIQ(mh_ticker, "IQ_EBITDA_EST", IQ_NTM, B552, , , "USD"), "")</f>
        <v/>
      </c>
      <c r="O552" s="13">
        <f>IFERROR(M552/N552, "")</f>
        <v/>
      </c>
    </row>
    <row r="553">
      <c r="B553" s="8" t="n"/>
      <c r="C553" s="9">
        <f>IFERROR(_xll.ciqfunctions.udf.CIQ(mh_ticker, "IQ_LASTSALEPRICE", B553), "")</f>
        <v/>
      </c>
      <c r="D553" s="10">
        <f>IFERROR(_xll.ciqfunctions.udf.CIQ(mh_ticker, "IQ_SHARESOUTSTANDING_OUT", B553), "")</f>
        <v/>
      </c>
      <c r="E553" s="11">
        <f>IFERROR(_xll.ciqfunctions.udf.CIQ(mh_ticker, "IQ_CASH_EQUIV", , B553), "")</f>
        <v/>
      </c>
      <c r="F553" s="11">
        <f>IFERROR(_xll.ciqfunctions.udf.CIQ(mh_ticker, "IQ_ST_INVEST", , B553), "")</f>
        <v/>
      </c>
      <c r="G553" s="11">
        <f>IFERROR(_xll.ciqfunctions.udf.CIQ(mh_ticker, "IQ_TOTAL_DEBT_EXCL_OPER_LEASES", , B553), "")</f>
        <v/>
      </c>
      <c r="H553" s="11">
        <f>IFERROR(_xll.ciqfunctions.udf.CIQ(mh_ticker, "IQ_PREF_EQUITY", , B553), "")</f>
        <v/>
      </c>
      <c r="I553" s="11">
        <f>IFERROR(_xll.ciqfunctions.udf.CIQ(mh_ticker, "IQ_MINORITY_INTEREST", , B553), "")</f>
        <v/>
      </c>
      <c r="J553" s="11">
        <f>IFERROR(_xll.ciqfunctions.udf.CIQ(mh_ticker, "IQ_EQUITY_METHOD", , B553), "")</f>
        <v/>
      </c>
      <c r="K553" s="11">
        <f>IFERROR(_xll.ciqfunctions.udf.CIQ(mh_ticker, "IQ_LT_Mark_Securities", , B553), "")</f>
        <v/>
      </c>
      <c r="L553" s="12">
        <f>IFERROR(C553*D553, "")</f>
        <v/>
      </c>
      <c r="M553" s="12">
        <f>IFERROR(L553-E553-F553+G553+H553+I553-J553-K553, "")</f>
        <v/>
      </c>
      <c r="N553" s="11">
        <f>IFERROR(_xll.ciqfunctions.udf.CIQ(mh_ticker, "IQ_EBITDA_EST", IQ_NTM, B553, , , "USD"), "")</f>
        <v/>
      </c>
      <c r="O553" s="13">
        <f>IFERROR(M553/N553, "")</f>
        <v/>
      </c>
    </row>
    <row r="554">
      <c r="B554" s="8" t="n"/>
      <c r="C554" s="9">
        <f>IFERROR(_xll.ciqfunctions.udf.CIQ(mh_ticker, "IQ_LASTSALEPRICE", B554), "")</f>
        <v/>
      </c>
      <c r="D554" s="10">
        <f>IFERROR(_xll.ciqfunctions.udf.CIQ(mh_ticker, "IQ_SHARESOUTSTANDING_OUT", B554), "")</f>
        <v/>
      </c>
      <c r="E554" s="11">
        <f>IFERROR(_xll.ciqfunctions.udf.CIQ(mh_ticker, "IQ_CASH_EQUIV", , B554), "")</f>
        <v/>
      </c>
      <c r="F554" s="11">
        <f>IFERROR(_xll.ciqfunctions.udf.CIQ(mh_ticker, "IQ_ST_INVEST", , B554), "")</f>
        <v/>
      </c>
      <c r="G554" s="11">
        <f>IFERROR(_xll.ciqfunctions.udf.CIQ(mh_ticker, "IQ_TOTAL_DEBT_EXCL_OPER_LEASES", , B554), "")</f>
        <v/>
      </c>
      <c r="H554" s="11">
        <f>IFERROR(_xll.ciqfunctions.udf.CIQ(mh_ticker, "IQ_PREF_EQUITY", , B554), "")</f>
        <v/>
      </c>
      <c r="I554" s="11">
        <f>IFERROR(_xll.ciqfunctions.udf.CIQ(mh_ticker, "IQ_MINORITY_INTEREST", , B554), "")</f>
        <v/>
      </c>
      <c r="J554" s="11">
        <f>IFERROR(_xll.ciqfunctions.udf.CIQ(mh_ticker, "IQ_EQUITY_METHOD", , B554), "")</f>
        <v/>
      </c>
      <c r="K554" s="11">
        <f>IFERROR(_xll.ciqfunctions.udf.CIQ(mh_ticker, "IQ_LT_Mark_Securities", , B554), "")</f>
        <v/>
      </c>
      <c r="L554" s="12">
        <f>IFERROR(C554*D554, "")</f>
        <v/>
      </c>
      <c r="M554" s="12">
        <f>IFERROR(L554-E554-F554+G554+H554+I554-J554-K554, "")</f>
        <v/>
      </c>
      <c r="N554" s="11">
        <f>IFERROR(_xll.ciqfunctions.udf.CIQ(mh_ticker, "IQ_EBITDA_EST", IQ_NTM, B554, , , "USD"), "")</f>
        <v/>
      </c>
      <c r="O554" s="13">
        <f>IFERROR(M554/N554, "")</f>
        <v/>
      </c>
    </row>
    <row r="555">
      <c r="B555" s="8" t="n"/>
      <c r="C555" s="9">
        <f>IFERROR(_xll.ciqfunctions.udf.CIQ(mh_ticker, "IQ_LASTSALEPRICE", B555), "")</f>
        <v/>
      </c>
      <c r="D555" s="10">
        <f>IFERROR(_xll.ciqfunctions.udf.CIQ(mh_ticker, "IQ_SHARESOUTSTANDING_OUT", B555), "")</f>
        <v/>
      </c>
      <c r="E555" s="11">
        <f>IFERROR(_xll.ciqfunctions.udf.CIQ(mh_ticker, "IQ_CASH_EQUIV", , B555), "")</f>
        <v/>
      </c>
      <c r="F555" s="11">
        <f>IFERROR(_xll.ciqfunctions.udf.CIQ(mh_ticker, "IQ_ST_INVEST", , B555), "")</f>
        <v/>
      </c>
      <c r="G555" s="11">
        <f>IFERROR(_xll.ciqfunctions.udf.CIQ(mh_ticker, "IQ_TOTAL_DEBT_EXCL_OPER_LEASES", , B555), "")</f>
        <v/>
      </c>
      <c r="H555" s="11">
        <f>IFERROR(_xll.ciqfunctions.udf.CIQ(mh_ticker, "IQ_PREF_EQUITY", , B555), "")</f>
        <v/>
      </c>
      <c r="I555" s="11">
        <f>IFERROR(_xll.ciqfunctions.udf.CIQ(mh_ticker, "IQ_MINORITY_INTEREST", , B555), "")</f>
        <v/>
      </c>
      <c r="J555" s="11">
        <f>IFERROR(_xll.ciqfunctions.udf.CIQ(mh_ticker, "IQ_EQUITY_METHOD", , B555), "")</f>
        <v/>
      </c>
      <c r="K555" s="11">
        <f>IFERROR(_xll.ciqfunctions.udf.CIQ(mh_ticker, "IQ_LT_Mark_Securities", , B555), "")</f>
        <v/>
      </c>
      <c r="L555" s="12">
        <f>IFERROR(C555*D555, "")</f>
        <v/>
      </c>
      <c r="M555" s="12">
        <f>IFERROR(L555-E555-F555+G555+H555+I555-J555-K555, "")</f>
        <v/>
      </c>
      <c r="N555" s="11">
        <f>IFERROR(_xll.ciqfunctions.udf.CIQ(mh_ticker, "IQ_EBITDA_EST", IQ_NTM, B555, , , "USD"), "")</f>
        <v/>
      </c>
      <c r="O555" s="13">
        <f>IFERROR(M555/N555, "")</f>
        <v/>
      </c>
    </row>
    <row r="556">
      <c r="B556" s="8" t="n"/>
      <c r="C556" s="9">
        <f>IFERROR(_xll.ciqfunctions.udf.CIQ(mh_ticker, "IQ_LASTSALEPRICE", B556), "")</f>
        <v/>
      </c>
      <c r="D556" s="10">
        <f>IFERROR(_xll.ciqfunctions.udf.CIQ(mh_ticker, "IQ_SHARESOUTSTANDING_OUT", B556), "")</f>
        <v/>
      </c>
      <c r="E556" s="11">
        <f>IFERROR(_xll.ciqfunctions.udf.CIQ(mh_ticker, "IQ_CASH_EQUIV", , B556), "")</f>
        <v/>
      </c>
      <c r="F556" s="11">
        <f>IFERROR(_xll.ciqfunctions.udf.CIQ(mh_ticker, "IQ_ST_INVEST", , B556), "")</f>
        <v/>
      </c>
      <c r="G556" s="11">
        <f>IFERROR(_xll.ciqfunctions.udf.CIQ(mh_ticker, "IQ_TOTAL_DEBT_EXCL_OPER_LEASES", , B556), "")</f>
        <v/>
      </c>
      <c r="H556" s="11">
        <f>IFERROR(_xll.ciqfunctions.udf.CIQ(mh_ticker, "IQ_PREF_EQUITY", , B556), "")</f>
        <v/>
      </c>
      <c r="I556" s="11">
        <f>IFERROR(_xll.ciqfunctions.udf.CIQ(mh_ticker, "IQ_MINORITY_INTEREST", , B556), "")</f>
        <v/>
      </c>
      <c r="J556" s="11">
        <f>IFERROR(_xll.ciqfunctions.udf.CIQ(mh_ticker, "IQ_EQUITY_METHOD", , B556), "")</f>
        <v/>
      </c>
      <c r="K556" s="11">
        <f>IFERROR(_xll.ciqfunctions.udf.CIQ(mh_ticker, "IQ_LT_Mark_Securities", , B556), "")</f>
        <v/>
      </c>
      <c r="L556" s="12">
        <f>IFERROR(C556*D556, "")</f>
        <v/>
      </c>
      <c r="M556" s="12">
        <f>IFERROR(L556-E556-F556+G556+H556+I556-J556-K556, "")</f>
        <v/>
      </c>
      <c r="N556" s="11">
        <f>IFERROR(_xll.ciqfunctions.udf.CIQ(mh_ticker, "IQ_EBITDA_EST", IQ_NTM, B556, , , "USD"), "")</f>
        <v/>
      </c>
      <c r="O556" s="13">
        <f>IFERROR(M556/N556, "")</f>
        <v/>
      </c>
    </row>
    <row r="557">
      <c r="B557" s="8" t="n"/>
      <c r="C557" s="9">
        <f>IFERROR(_xll.ciqfunctions.udf.CIQ(mh_ticker, "IQ_LASTSALEPRICE", B557), "")</f>
        <v/>
      </c>
      <c r="D557" s="10">
        <f>IFERROR(_xll.ciqfunctions.udf.CIQ(mh_ticker, "IQ_SHARESOUTSTANDING_OUT", B557), "")</f>
        <v/>
      </c>
      <c r="E557" s="11">
        <f>IFERROR(_xll.ciqfunctions.udf.CIQ(mh_ticker, "IQ_CASH_EQUIV", , B557), "")</f>
        <v/>
      </c>
      <c r="F557" s="11">
        <f>IFERROR(_xll.ciqfunctions.udf.CIQ(mh_ticker, "IQ_ST_INVEST", , B557), "")</f>
        <v/>
      </c>
      <c r="G557" s="11">
        <f>IFERROR(_xll.ciqfunctions.udf.CIQ(mh_ticker, "IQ_TOTAL_DEBT_EXCL_OPER_LEASES", , B557), "")</f>
        <v/>
      </c>
      <c r="H557" s="11">
        <f>IFERROR(_xll.ciqfunctions.udf.CIQ(mh_ticker, "IQ_PREF_EQUITY", , B557), "")</f>
        <v/>
      </c>
      <c r="I557" s="11">
        <f>IFERROR(_xll.ciqfunctions.udf.CIQ(mh_ticker, "IQ_MINORITY_INTEREST", , B557), "")</f>
        <v/>
      </c>
      <c r="J557" s="11">
        <f>IFERROR(_xll.ciqfunctions.udf.CIQ(mh_ticker, "IQ_EQUITY_METHOD", , B557), "")</f>
        <v/>
      </c>
      <c r="K557" s="11">
        <f>IFERROR(_xll.ciqfunctions.udf.CIQ(mh_ticker, "IQ_LT_Mark_Securities", , B557), "")</f>
        <v/>
      </c>
      <c r="L557" s="12">
        <f>IFERROR(C557*D557, "")</f>
        <v/>
      </c>
      <c r="M557" s="12">
        <f>IFERROR(L557-E557-F557+G557+H557+I557-J557-K557, "")</f>
        <v/>
      </c>
      <c r="N557" s="11">
        <f>IFERROR(_xll.ciqfunctions.udf.CIQ(mh_ticker, "IQ_EBITDA_EST", IQ_NTM, B557, , , "USD"), "")</f>
        <v/>
      </c>
      <c r="O557" s="13">
        <f>IFERROR(M557/N557, "")</f>
        <v/>
      </c>
    </row>
    <row r="558">
      <c r="B558" s="8" t="n"/>
      <c r="C558" s="9">
        <f>IFERROR(_xll.ciqfunctions.udf.CIQ(mh_ticker, "IQ_LASTSALEPRICE", B558), "")</f>
        <v/>
      </c>
      <c r="D558" s="10">
        <f>IFERROR(_xll.ciqfunctions.udf.CIQ(mh_ticker, "IQ_SHARESOUTSTANDING_OUT", B558), "")</f>
        <v/>
      </c>
      <c r="E558" s="11">
        <f>IFERROR(_xll.ciqfunctions.udf.CIQ(mh_ticker, "IQ_CASH_EQUIV", , B558), "")</f>
        <v/>
      </c>
      <c r="F558" s="11">
        <f>IFERROR(_xll.ciqfunctions.udf.CIQ(mh_ticker, "IQ_ST_INVEST", , B558), "")</f>
        <v/>
      </c>
      <c r="G558" s="11">
        <f>IFERROR(_xll.ciqfunctions.udf.CIQ(mh_ticker, "IQ_TOTAL_DEBT_EXCL_OPER_LEASES", , B558), "")</f>
        <v/>
      </c>
      <c r="H558" s="11">
        <f>IFERROR(_xll.ciqfunctions.udf.CIQ(mh_ticker, "IQ_PREF_EQUITY", , B558), "")</f>
        <v/>
      </c>
      <c r="I558" s="11">
        <f>IFERROR(_xll.ciqfunctions.udf.CIQ(mh_ticker, "IQ_MINORITY_INTEREST", , B558), "")</f>
        <v/>
      </c>
      <c r="J558" s="11">
        <f>IFERROR(_xll.ciqfunctions.udf.CIQ(mh_ticker, "IQ_EQUITY_METHOD", , B558), "")</f>
        <v/>
      </c>
      <c r="K558" s="11">
        <f>IFERROR(_xll.ciqfunctions.udf.CIQ(mh_ticker, "IQ_LT_Mark_Securities", , B558), "")</f>
        <v/>
      </c>
      <c r="L558" s="12">
        <f>IFERROR(C558*D558, "")</f>
        <v/>
      </c>
      <c r="M558" s="12">
        <f>IFERROR(L558-E558-F558+G558+H558+I558-J558-K558, "")</f>
        <v/>
      </c>
      <c r="N558" s="11">
        <f>IFERROR(_xll.ciqfunctions.udf.CIQ(mh_ticker, "IQ_EBITDA_EST", IQ_NTM, B558, , , "USD"), "")</f>
        <v/>
      </c>
      <c r="O558" s="13">
        <f>IFERROR(M558/N558, "")</f>
        <v/>
      </c>
    </row>
    <row r="559">
      <c r="B559" s="8" t="n"/>
      <c r="C559" s="9">
        <f>IFERROR(_xll.ciqfunctions.udf.CIQ(mh_ticker, "IQ_LASTSALEPRICE", B559), "")</f>
        <v/>
      </c>
      <c r="D559" s="10">
        <f>IFERROR(_xll.ciqfunctions.udf.CIQ(mh_ticker, "IQ_SHARESOUTSTANDING_OUT", B559), "")</f>
        <v/>
      </c>
      <c r="E559" s="11">
        <f>IFERROR(_xll.ciqfunctions.udf.CIQ(mh_ticker, "IQ_CASH_EQUIV", , B559), "")</f>
        <v/>
      </c>
      <c r="F559" s="11">
        <f>IFERROR(_xll.ciqfunctions.udf.CIQ(mh_ticker, "IQ_ST_INVEST", , B559), "")</f>
        <v/>
      </c>
      <c r="G559" s="11">
        <f>IFERROR(_xll.ciqfunctions.udf.CIQ(mh_ticker, "IQ_TOTAL_DEBT_EXCL_OPER_LEASES", , B559), "")</f>
        <v/>
      </c>
      <c r="H559" s="11">
        <f>IFERROR(_xll.ciqfunctions.udf.CIQ(mh_ticker, "IQ_PREF_EQUITY", , B559), "")</f>
        <v/>
      </c>
      <c r="I559" s="11">
        <f>IFERROR(_xll.ciqfunctions.udf.CIQ(mh_ticker, "IQ_MINORITY_INTEREST", , B559), "")</f>
        <v/>
      </c>
      <c r="J559" s="11">
        <f>IFERROR(_xll.ciqfunctions.udf.CIQ(mh_ticker, "IQ_EQUITY_METHOD", , B559), "")</f>
        <v/>
      </c>
      <c r="K559" s="11">
        <f>IFERROR(_xll.ciqfunctions.udf.CIQ(mh_ticker, "IQ_LT_Mark_Securities", , B559), "")</f>
        <v/>
      </c>
      <c r="L559" s="12">
        <f>IFERROR(C559*D559, "")</f>
        <v/>
      </c>
      <c r="M559" s="12">
        <f>IFERROR(L559-E559-F559+G559+H559+I559-J559-K559, "")</f>
        <v/>
      </c>
      <c r="N559" s="11">
        <f>IFERROR(_xll.ciqfunctions.udf.CIQ(mh_ticker, "IQ_EBITDA_EST", IQ_NTM, B559, , , "USD"), "")</f>
        <v/>
      </c>
      <c r="O559" s="13">
        <f>IFERROR(M559/N559, "")</f>
        <v/>
      </c>
    </row>
    <row r="560">
      <c r="B560" s="8" t="n"/>
      <c r="C560" s="9">
        <f>IFERROR(_xll.ciqfunctions.udf.CIQ(mh_ticker, "IQ_LASTSALEPRICE", B560), "")</f>
        <v/>
      </c>
      <c r="D560" s="10">
        <f>IFERROR(_xll.ciqfunctions.udf.CIQ(mh_ticker, "IQ_SHARESOUTSTANDING_OUT", B560), "")</f>
        <v/>
      </c>
      <c r="E560" s="11">
        <f>IFERROR(_xll.ciqfunctions.udf.CIQ(mh_ticker, "IQ_CASH_EQUIV", , B560), "")</f>
        <v/>
      </c>
      <c r="F560" s="11">
        <f>IFERROR(_xll.ciqfunctions.udf.CIQ(mh_ticker, "IQ_ST_INVEST", , B560), "")</f>
        <v/>
      </c>
      <c r="G560" s="11">
        <f>IFERROR(_xll.ciqfunctions.udf.CIQ(mh_ticker, "IQ_TOTAL_DEBT_EXCL_OPER_LEASES", , B560), "")</f>
        <v/>
      </c>
      <c r="H560" s="11">
        <f>IFERROR(_xll.ciqfunctions.udf.CIQ(mh_ticker, "IQ_PREF_EQUITY", , B560), "")</f>
        <v/>
      </c>
      <c r="I560" s="11">
        <f>IFERROR(_xll.ciqfunctions.udf.CIQ(mh_ticker, "IQ_MINORITY_INTEREST", , B560), "")</f>
        <v/>
      </c>
      <c r="J560" s="11">
        <f>IFERROR(_xll.ciqfunctions.udf.CIQ(mh_ticker, "IQ_EQUITY_METHOD", , B560), "")</f>
        <v/>
      </c>
      <c r="K560" s="11">
        <f>IFERROR(_xll.ciqfunctions.udf.CIQ(mh_ticker, "IQ_LT_Mark_Securities", , B560), "")</f>
        <v/>
      </c>
      <c r="L560" s="12">
        <f>IFERROR(C560*D560, "")</f>
        <v/>
      </c>
      <c r="M560" s="12">
        <f>IFERROR(L560-E560-F560+G560+H560+I560-J560-K560, "")</f>
        <v/>
      </c>
      <c r="N560" s="11">
        <f>IFERROR(_xll.ciqfunctions.udf.CIQ(mh_ticker, "IQ_EBITDA_EST", IQ_NTM, B560, , , "USD"), "")</f>
        <v/>
      </c>
      <c r="O560" s="13">
        <f>IFERROR(M560/N560, "")</f>
        <v/>
      </c>
    </row>
    <row r="561">
      <c r="B561" s="8" t="n"/>
      <c r="C561" s="9">
        <f>IFERROR(_xll.ciqfunctions.udf.CIQ(mh_ticker, "IQ_LASTSALEPRICE", B561), "")</f>
        <v/>
      </c>
      <c r="D561" s="10">
        <f>IFERROR(_xll.ciqfunctions.udf.CIQ(mh_ticker, "IQ_SHARESOUTSTANDING_OUT", B561), "")</f>
        <v/>
      </c>
      <c r="E561" s="11">
        <f>IFERROR(_xll.ciqfunctions.udf.CIQ(mh_ticker, "IQ_CASH_EQUIV", , B561), "")</f>
        <v/>
      </c>
      <c r="F561" s="11">
        <f>IFERROR(_xll.ciqfunctions.udf.CIQ(mh_ticker, "IQ_ST_INVEST", , B561), "")</f>
        <v/>
      </c>
      <c r="G561" s="11">
        <f>IFERROR(_xll.ciqfunctions.udf.CIQ(mh_ticker, "IQ_TOTAL_DEBT_EXCL_OPER_LEASES", , B561), "")</f>
        <v/>
      </c>
      <c r="H561" s="11">
        <f>IFERROR(_xll.ciqfunctions.udf.CIQ(mh_ticker, "IQ_PREF_EQUITY", , B561), "")</f>
        <v/>
      </c>
      <c r="I561" s="11">
        <f>IFERROR(_xll.ciqfunctions.udf.CIQ(mh_ticker, "IQ_MINORITY_INTEREST", , B561), "")</f>
        <v/>
      </c>
      <c r="J561" s="11">
        <f>IFERROR(_xll.ciqfunctions.udf.CIQ(mh_ticker, "IQ_EQUITY_METHOD", , B561), "")</f>
        <v/>
      </c>
      <c r="K561" s="11">
        <f>IFERROR(_xll.ciqfunctions.udf.CIQ(mh_ticker, "IQ_LT_Mark_Securities", , B561), "")</f>
        <v/>
      </c>
      <c r="L561" s="12">
        <f>IFERROR(C561*D561, "")</f>
        <v/>
      </c>
      <c r="M561" s="12">
        <f>IFERROR(L561-E561-F561+G561+H561+I561-J561-K561, "")</f>
        <v/>
      </c>
      <c r="N561" s="11">
        <f>IFERROR(_xll.ciqfunctions.udf.CIQ(mh_ticker, "IQ_EBITDA_EST", IQ_NTM, B561, , , "USD"), "")</f>
        <v/>
      </c>
      <c r="O561" s="13">
        <f>IFERROR(M561/N561, "")</f>
        <v/>
      </c>
    </row>
    <row r="562">
      <c r="B562" s="8" t="n"/>
      <c r="C562" s="9">
        <f>IFERROR(_xll.ciqfunctions.udf.CIQ(mh_ticker, "IQ_LASTSALEPRICE", B562), "")</f>
        <v/>
      </c>
      <c r="D562" s="10">
        <f>IFERROR(_xll.ciqfunctions.udf.CIQ(mh_ticker, "IQ_SHARESOUTSTANDING_OUT", B562), "")</f>
        <v/>
      </c>
      <c r="E562" s="11">
        <f>IFERROR(_xll.ciqfunctions.udf.CIQ(mh_ticker, "IQ_CASH_EQUIV", , B562), "")</f>
        <v/>
      </c>
      <c r="F562" s="11">
        <f>IFERROR(_xll.ciqfunctions.udf.CIQ(mh_ticker, "IQ_ST_INVEST", , B562), "")</f>
        <v/>
      </c>
      <c r="G562" s="11">
        <f>IFERROR(_xll.ciqfunctions.udf.CIQ(mh_ticker, "IQ_TOTAL_DEBT_EXCL_OPER_LEASES", , B562), "")</f>
        <v/>
      </c>
      <c r="H562" s="11">
        <f>IFERROR(_xll.ciqfunctions.udf.CIQ(mh_ticker, "IQ_PREF_EQUITY", , B562), "")</f>
        <v/>
      </c>
      <c r="I562" s="11">
        <f>IFERROR(_xll.ciqfunctions.udf.CIQ(mh_ticker, "IQ_MINORITY_INTEREST", , B562), "")</f>
        <v/>
      </c>
      <c r="J562" s="11">
        <f>IFERROR(_xll.ciqfunctions.udf.CIQ(mh_ticker, "IQ_EQUITY_METHOD", , B562), "")</f>
        <v/>
      </c>
      <c r="K562" s="11">
        <f>IFERROR(_xll.ciqfunctions.udf.CIQ(mh_ticker, "IQ_LT_Mark_Securities", , B562), "")</f>
        <v/>
      </c>
      <c r="L562" s="12">
        <f>IFERROR(C562*D562, "")</f>
        <v/>
      </c>
      <c r="M562" s="12">
        <f>IFERROR(L562-E562-F562+G562+H562+I562-J562-K562, "")</f>
        <v/>
      </c>
      <c r="N562" s="11">
        <f>IFERROR(_xll.ciqfunctions.udf.CIQ(mh_ticker, "IQ_EBITDA_EST", IQ_NTM, B562, , , "USD"), "")</f>
        <v/>
      </c>
      <c r="O562" s="13">
        <f>IFERROR(M562/N562, "")</f>
        <v/>
      </c>
    </row>
    <row r="563">
      <c r="B563" s="8" t="n"/>
      <c r="C563" s="9">
        <f>IFERROR(_xll.ciqfunctions.udf.CIQ(mh_ticker, "IQ_LASTSALEPRICE", B563), "")</f>
        <v/>
      </c>
      <c r="D563" s="10">
        <f>IFERROR(_xll.ciqfunctions.udf.CIQ(mh_ticker, "IQ_SHARESOUTSTANDING_OUT", B563), "")</f>
        <v/>
      </c>
      <c r="E563" s="11">
        <f>IFERROR(_xll.ciqfunctions.udf.CIQ(mh_ticker, "IQ_CASH_EQUIV", , B563), "")</f>
        <v/>
      </c>
      <c r="F563" s="11">
        <f>IFERROR(_xll.ciqfunctions.udf.CIQ(mh_ticker, "IQ_ST_INVEST", , B563), "")</f>
        <v/>
      </c>
      <c r="G563" s="11">
        <f>IFERROR(_xll.ciqfunctions.udf.CIQ(mh_ticker, "IQ_TOTAL_DEBT_EXCL_OPER_LEASES", , B563), "")</f>
        <v/>
      </c>
      <c r="H563" s="11">
        <f>IFERROR(_xll.ciqfunctions.udf.CIQ(mh_ticker, "IQ_PREF_EQUITY", , B563), "")</f>
        <v/>
      </c>
      <c r="I563" s="11">
        <f>IFERROR(_xll.ciqfunctions.udf.CIQ(mh_ticker, "IQ_MINORITY_INTEREST", , B563), "")</f>
        <v/>
      </c>
      <c r="J563" s="11">
        <f>IFERROR(_xll.ciqfunctions.udf.CIQ(mh_ticker, "IQ_EQUITY_METHOD", , B563), "")</f>
        <v/>
      </c>
      <c r="K563" s="11">
        <f>IFERROR(_xll.ciqfunctions.udf.CIQ(mh_ticker, "IQ_LT_Mark_Securities", , B563), "")</f>
        <v/>
      </c>
      <c r="L563" s="12">
        <f>IFERROR(C563*D563, "")</f>
        <v/>
      </c>
      <c r="M563" s="12">
        <f>IFERROR(L563-E563-F563+G563+H563+I563-J563-K563, "")</f>
        <v/>
      </c>
      <c r="N563" s="11">
        <f>IFERROR(_xll.ciqfunctions.udf.CIQ(mh_ticker, "IQ_EBITDA_EST", IQ_NTM, B563, , , "USD"), "")</f>
        <v/>
      </c>
      <c r="O563" s="13">
        <f>IFERROR(M563/N563, "")</f>
        <v/>
      </c>
    </row>
    <row r="564">
      <c r="B564" s="8" t="n"/>
      <c r="C564" s="9">
        <f>IFERROR(_xll.ciqfunctions.udf.CIQ(mh_ticker, "IQ_LASTSALEPRICE", B564), "")</f>
        <v/>
      </c>
      <c r="D564" s="10">
        <f>IFERROR(_xll.ciqfunctions.udf.CIQ(mh_ticker, "IQ_SHARESOUTSTANDING_OUT", B564), "")</f>
        <v/>
      </c>
      <c r="E564" s="11">
        <f>IFERROR(_xll.ciqfunctions.udf.CIQ(mh_ticker, "IQ_CASH_EQUIV", , B564), "")</f>
        <v/>
      </c>
      <c r="F564" s="11">
        <f>IFERROR(_xll.ciqfunctions.udf.CIQ(mh_ticker, "IQ_ST_INVEST", , B564), "")</f>
        <v/>
      </c>
      <c r="G564" s="11">
        <f>IFERROR(_xll.ciqfunctions.udf.CIQ(mh_ticker, "IQ_TOTAL_DEBT_EXCL_OPER_LEASES", , B564), "")</f>
        <v/>
      </c>
      <c r="H564" s="11">
        <f>IFERROR(_xll.ciqfunctions.udf.CIQ(mh_ticker, "IQ_PREF_EQUITY", , B564), "")</f>
        <v/>
      </c>
      <c r="I564" s="11">
        <f>IFERROR(_xll.ciqfunctions.udf.CIQ(mh_ticker, "IQ_MINORITY_INTEREST", , B564), "")</f>
        <v/>
      </c>
      <c r="J564" s="11">
        <f>IFERROR(_xll.ciqfunctions.udf.CIQ(mh_ticker, "IQ_EQUITY_METHOD", , B564), "")</f>
        <v/>
      </c>
      <c r="K564" s="11">
        <f>IFERROR(_xll.ciqfunctions.udf.CIQ(mh_ticker, "IQ_LT_Mark_Securities", , B564), "")</f>
        <v/>
      </c>
      <c r="L564" s="12">
        <f>IFERROR(C564*D564, "")</f>
        <v/>
      </c>
      <c r="M564" s="12">
        <f>IFERROR(L564-E564-F564+G564+H564+I564-J564-K564, "")</f>
        <v/>
      </c>
      <c r="N564" s="11">
        <f>IFERROR(_xll.ciqfunctions.udf.CIQ(mh_ticker, "IQ_EBITDA_EST", IQ_NTM, B564, , , "USD"), "")</f>
        <v/>
      </c>
      <c r="O564" s="13">
        <f>IFERROR(M564/N564, "")</f>
        <v/>
      </c>
    </row>
    <row r="565">
      <c r="B565" s="8" t="n"/>
      <c r="C565" s="9">
        <f>IFERROR(_xll.ciqfunctions.udf.CIQ(mh_ticker, "IQ_LASTSALEPRICE", B565), "")</f>
        <v/>
      </c>
      <c r="D565" s="10">
        <f>IFERROR(_xll.ciqfunctions.udf.CIQ(mh_ticker, "IQ_SHARESOUTSTANDING_OUT", B565), "")</f>
        <v/>
      </c>
      <c r="E565" s="11">
        <f>IFERROR(_xll.ciqfunctions.udf.CIQ(mh_ticker, "IQ_CASH_EQUIV", , B565), "")</f>
        <v/>
      </c>
      <c r="F565" s="11">
        <f>IFERROR(_xll.ciqfunctions.udf.CIQ(mh_ticker, "IQ_ST_INVEST", , B565), "")</f>
        <v/>
      </c>
      <c r="G565" s="11">
        <f>IFERROR(_xll.ciqfunctions.udf.CIQ(mh_ticker, "IQ_TOTAL_DEBT_EXCL_OPER_LEASES", , B565), "")</f>
        <v/>
      </c>
      <c r="H565" s="11">
        <f>IFERROR(_xll.ciqfunctions.udf.CIQ(mh_ticker, "IQ_PREF_EQUITY", , B565), "")</f>
        <v/>
      </c>
      <c r="I565" s="11">
        <f>IFERROR(_xll.ciqfunctions.udf.CIQ(mh_ticker, "IQ_MINORITY_INTEREST", , B565), "")</f>
        <v/>
      </c>
      <c r="J565" s="11">
        <f>IFERROR(_xll.ciqfunctions.udf.CIQ(mh_ticker, "IQ_EQUITY_METHOD", , B565), "")</f>
        <v/>
      </c>
      <c r="K565" s="11">
        <f>IFERROR(_xll.ciqfunctions.udf.CIQ(mh_ticker, "IQ_LT_Mark_Securities", , B565), "")</f>
        <v/>
      </c>
      <c r="L565" s="12">
        <f>IFERROR(C565*D565, "")</f>
        <v/>
      </c>
      <c r="M565" s="12">
        <f>IFERROR(L565-E565-F565+G565+H565+I565-J565-K565, "")</f>
        <v/>
      </c>
      <c r="N565" s="11">
        <f>IFERROR(_xll.ciqfunctions.udf.CIQ(mh_ticker, "IQ_EBITDA_EST", IQ_NTM, B565, , , "USD"), "")</f>
        <v/>
      </c>
      <c r="O565" s="13">
        <f>IFERROR(M565/N565, "")</f>
        <v/>
      </c>
    </row>
    <row r="566">
      <c r="B566" s="8" t="n"/>
      <c r="C566" s="9">
        <f>IFERROR(_xll.ciqfunctions.udf.CIQ(mh_ticker, "IQ_LASTSALEPRICE", B566), "")</f>
        <v/>
      </c>
      <c r="D566" s="10">
        <f>IFERROR(_xll.ciqfunctions.udf.CIQ(mh_ticker, "IQ_SHARESOUTSTANDING_OUT", B566), "")</f>
        <v/>
      </c>
      <c r="E566" s="11">
        <f>IFERROR(_xll.ciqfunctions.udf.CIQ(mh_ticker, "IQ_CASH_EQUIV", , B566), "")</f>
        <v/>
      </c>
      <c r="F566" s="11">
        <f>IFERROR(_xll.ciqfunctions.udf.CIQ(mh_ticker, "IQ_ST_INVEST", , B566), "")</f>
        <v/>
      </c>
      <c r="G566" s="11">
        <f>IFERROR(_xll.ciqfunctions.udf.CIQ(mh_ticker, "IQ_TOTAL_DEBT_EXCL_OPER_LEASES", , B566), "")</f>
        <v/>
      </c>
      <c r="H566" s="11">
        <f>IFERROR(_xll.ciqfunctions.udf.CIQ(mh_ticker, "IQ_PREF_EQUITY", , B566), "")</f>
        <v/>
      </c>
      <c r="I566" s="11">
        <f>IFERROR(_xll.ciqfunctions.udf.CIQ(mh_ticker, "IQ_MINORITY_INTEREST", , B566), "")</f>
        <v/>
      </c>
      <c r="J566" s="11">
        <f>IFERROR(_xll.ciqfunctions.udf.CIQ(mh_ticker, "IQ_EQUITY_METHOD", , B566), "")</f>
        <v/>
      </c>
      <c r="K566" s="11">
        <f>IFERROR(_xll.ciqfunctions.udf.CIQ(mh_ticker, "IQ_LT_Mark_Securities", , B566), "")</f>
        <v/>
      </c>
      <c r="L566" s="12">
        <f>IFERROR(C566*D566, "")</f>
        <v/>
      </c>
      <c r="M566" s="12">
        <f>IFERROR(L566-E566-F566+G566+H566+I566-J566-K566, "")</f>
        <v/>
      </c>
      <c r="N566" s="11">
        <f>IFERROR(_xll.ciqfunctions.udf.CIQ(mh_ticker, "IQ_EBITDA_EST", IQ_NTM, B566, , , "USD"), "")</f>
        <v/>
      </c>
      <c r="O566" s="13">
        <f>IFERROR(M566/N566, "")</f>
        <v/>
      </c>
    </row>
    <row r="567">
      <c r="B567" s="8" t="n"/>
      <c r="C567" s="9">
        <f>IFERROR(_xll.ciqfunctions.udf.CIQ(mh_ticker, "IQ_LASTSALEPRICE", B567), "")</f>
        <v/>
      </c>
      <c r="D567" s="10">
        <f>IFERROR(_xll.ciqfunctions.udf.CIQ(mh_ticker, "IQ_SHARESOUTSTANDING_OUT", B567), "")</f>
        <v/>
      </c>
      <c r="E567" s="11">
        <f>IFERROR(_xll.ciqfunctions.udf.CIQ(mh_ticker, "IQ_CASH_EQUIV", , B567), "")</f>
        <v/>
      </c>
      <c r="F567" s="11">
        <f>IFERROR(_xll.ciqfunctions.udf.CIQ(mh_ticker, "IQ_ST_INVEST", , B567), "")</f>
        <v/>
      </c>
      <c r="G567" s="11">
        <f>IFERROR(_xll.ciqfunctions.udf.CIQ(mh_ticker, "IQ_TOTAL_DEBT_EXCL_OPER_LEASES", , B567), "")</f>
        <v/>
      </c>
      <c r="H567" s="11">
        <f>IFERROR(_xll.ciqfunctions.udf.CIQ(mh_ticker, "IQ_PREF_EQUITY", , B567), "")</f>
        <v/>
      </c>
      <c r="I567" s="11">
        <f>IFERROR(_xll.ciqfunctions.udf.CIQ(mh_ticker, "IQ_MINORITY_INTEREST", , B567), "")</f>
        <v/>
      </c>
      <c r="J567" s="11">
        <f>IFERROR(_xll.ciqfunctions.udf.CIQ(mh_ticker, "IQ_EQUITY_METHOD", , B567), "")</f>
        <v/>
      </c>
      <c r="K567" s="11">
        <f>IFERROR(_xll.ciqfunctions.udf.CIQ(mh_ticker, "IQ_LT_Mark_Securities", , B567), "")</f>
        <v/>
      </c>
      <c r="L567" s="12">
        <f>IFERROR(C567*D567, "")</f>
        <v/>
      </c>
      <c r="M567" s="12">
        <f>IFERROR(L567-E567-F567+G567+H567+I567-J567-K567, "")</f>
        <v/>
      </c>
      <c r="N567" s="11">
        <f>IFERROR(_xll.ciqfunctions.udf.CIQ(mh_ticker, "IQ_EBITDA_EST", IQ_NTM, B567, , , "USD"), "")</f>
        <v/>
      </c>
      <c r="O567" s="13">
        <f>IFERROR(M567/N567, "")</f>
        <v/>
      </c>
    </row>
    <row r="568">
      <c r="B568" s="8" t="n"/>
      <c r="C568" s="9">
        <f>IFERROR(_xll.ciqfunctions.udf.CIQ(mh_ticker, "IQ_LASTSALEPRICE", B568), "")</f>
        <v/>
      </c>
      <c r="D568" s="10">
        <f>IFERROR(_xll.ciqfunctions.udf.CIQ(mh_ticker, "IQ_SHARESOUTSTANDING_OUT", B568), "")</f>
        <v/>
      </c>
      <c r="E568" s="11">
        <f>IFERROR(_xll.ciqfunctions.udf.CIQ(mh_ticker, "IQ_CASH_EQUIV", , B568), "")</f>
        <v/>
      </c>
      <c r="F568" s="11">
        <f>IFERROR(_xll.ciqfunctions.udf.CIQ(mh_ticker, "IQ_ST_INVEST", , B568), "")</f>
        <v/>
      </c>
      <c r="G568" s="11">
        <f>IFERROR(_xll.ciqfunctions.udf.CIQ(mh_ticker, "IQ_TOTAL_DEBT_EXCL_OPER_LEASES", , B568), "")</f>
        <v/>
      </c>
      <c r="H568" s="11">
        <f>IFERROR(_xll.ciqfunctions.udf.CIQ(mh_ticker, "IQ_PREF_EQUITY", , B568), "")</f>
        <v/>
      </c>
      <c r="I568" s="11">
        <f>IFERROR(_xll.ciqfunctions.udf.CIQ(mh_ticker, "IQ_MINORITY_INTEREST", , B568), "")</f>
        <v/>
      </c>
      <c r="J568" s="11">
        <f>IFERROR(_xll.ciqfunctions.udf.CIQ(mh_ticker, "IQ_EQUITY_METHOD", , B568), "")</f>
        <v/>
      </c>
      <c r="K568" s="11">
        <f>IFERROR(_xll.ciqfunctions.udf.CIQ(mh_ticker, "IQ_LT_Mark_Securities", , B568), "")</f>
        <v/>
      </c>
      <c r="L568" s="12">
        <f>IFERROR(C568*D568, "")</f>
        <v/>
      </c>
      <c r="M568" s="12">
        <f>IFERROR(L568-E568-F568+G568+H568+I568-J568-K568, "")</f>
        <v/>
      </c>
      <c r="N568" s="11">
        <f>IFERROR(_xll.ciqfunctions.udf.CIQ(mh_ticker, "IQ_EBITDA_EST", IQ_NTM, B568, , , "USD"), "")</f>
        <v/>
      </c>
      <c r="O568" s="13">
        <f>IFERROR(M568/N568, "")</f>
        <v/>
      </c>
    </row>
    <row r="569">
      <c r="B569" s="8" t="n"/>
      <c r="C569" s="9">
        <f>IFERROR(_xll.ciqfunctions.udf.CIQ(mh_ticker, "IQ_LASTSALEPRICE", B569), "")</f>
        <v/>
      </c>
      <c r="D569" s="10">
        <f>IFERROR(_xll.ciqfunctions.udf.CIQ(mh_ticker, "IQ_SHARESOUTSTANDING_OUT", B569), "")</f>
        <v/>
      </c>
      <c r="E569" s="11">
        <f>IFERROR(_xll.ciqfunctions.udf.CIQ(mh_ticker, "IQ_CASH_EQUIV", , B569), "")</f>
        <v/>
      </c>
      <c r="F569" s="11">
        <f>IFERROR(_xll.ciqfunctions.udf.CIQ(mh_ticker, "IQ_ST_INVEST", , B569), "")</f>
        <v/>
      </c>
      <c r="G569" s="11">
        <f>IFERROR(_xll.ciqfunctions.udf.CIQ(mh_ticker, "IQ_TOTAL_DEBT_EXCL_OPER_LEASES", , B569), "")</f>
        <v/>
      </c>
      <c r="H569" s="11">
        <f>IFERROR(_xll.ciqfunctions.udf.CIQ(mh_ticker, "IQ_PREF_EQUITY", , B569), "")</f>
        <v/>
      </c>
      <c r="I569" s="11">
        <f>IFERROR(_xll.ciqfunctions.udf.CIQ(mh_ticker, "IQ_MINORITY_INTEREST", , B569), "")</f>
        <v/>
      </c>
      <c r="J569" s="11">
        <f>IFERROR(_xll.ciqfunctions.udf.CIQ(mh_ticker, "IQ_EQUITY_METHOD", , B569), "")</f>
        <v/>
      </c>
      <c r="K569" s="11">
        <f>IFERROR(_xll.ciqfunctions.udf.CIQ(mh_ticker, "IQ_LT_Mark_Securities", , B569), "")</f>
        <v/>
      </c>
      <c r="L569" s="12">
        <f>IFERROR(C569*D569, "")</f>
        <v/>
      </c>
      <c r="M569" s="12">
        <f>IFERROR(L569-E569-F569+G569+H569+I569-J569-K569, "")</f>
        <v/>
      </c>
      <c r="N569" s="11">
        <f>IFERROR(_xll.ciqfunctions.udf.CIQ(mh_ticker, "IQ_EBITDA_EST", IQ_NTM, B569, , , "USD"), "")</f>
        <v/>
      </c>
      <c r="O569" s="13">
        <f>IFERROR(M569/N569, "")</f>
        <v/>
      </c>
    </row>
    <row r="570">
      <c r="B570" s="8" t="n"/>
      <c r="C570" s="9">
        <f>IFERROR(_xll.ciqfunctions.udf.CIQ(mh_ticker, "IQ_LASTSALEPRICE", B570), "")</f>
        <v/>
      </c>
      <c r="D570" s="10">
        <f>IFERROR(_xll.ciqfunctions.udf.CIQ(mh_ticker, "IQ_SHARESOUTSTANDING_OUT", B570), "")</f>
        <v/>
      </c>
      <c r="E570" s="11">
        <f>IFERROR(_xll.ciqfunctions.udf.CIQ(mh_ticker, "IQ_CASH_EQUIV", , B570), "")</f>
        <v/>
      </c>
      <c r="F570" s="11">
        <f>IFERROR(_xll.ciqfunctions.udf.CIQ(mh_ticker, "IQ_ST_INVEST", , B570), "")</f>
        <v/>
      </c>
      <c r="G570" s="11">
        <f>IFERROR(_xll.ciqfunctions.udf.CIQ(mh_ticker, "IQ_TOTAL_DEBT_EXCL_OPER_LEASES", , B570), "")</f>
        <v/>
      </c>
      <c r="H570" s="11">
        <f>IFERROR(_xll.ciqfunctions.udf.CIQ(mh_ticker, "IQ_PREF_EQUITY", , B570), "")</f>
        <v/>
      </c>
      <c r="I570" s="11">
        <f>IFERROR(_xll.ciqfunctions.udf.CIQ(mh_ticker, "IQ_MINORITY_INTEREST", , B570), "")</f>
        <v/>
      </c>
      <c r="J570" s="11">
        <f>IFERROR(_xll.ciqfunctions.udf.CIQ(mh_ticker, "IQ_EQUITY_METHOD", , B570), "")</f>
        <v/>
      </c>
      <c r="K570" s="11">
        <f>IFERROR(_xll.ciqfunctions.udf.CIQ(mh_ticker, "IQ_LT_Mark_Securities", , B570), "")</f>
        <v/>
      </c>
      <c r="L570" s="12">
        <f>IFERROR(C570*D570, "")</f>
        <v/>
      </c>
      <c r="M570" s="12">
        <f>IFERROR(L570-E570-F570+G570+H570+I570-J570-K570, "")</f>
        <v/>
      </c>
      <c r="N570" s="11">
        <f>IFERROR(_xll.ciqfunctions.udf.CIQ(mh_ticker, "IQ_EBITDA_EST", IQ_NTM, B570, , , "USD"), "")</f>
        <v/>
      </c>
      <c r="O570" s="13">
        <f>IFERROR(M570/N570, "")</f>
        <v/>
      </c>
    </row>
    <row r="571">
      <c r="B571" s="8" t="n"/>
      <c r="C571" s="9">
        <f>IFERROR(_xll.ciqfunctions.udf.CIQ(mh_ticker, "IQ_LASTSALEPRICE", B571), "")</f>
        <v/>
      </c>
      <c r="D571" s="10">
        <f>IFERROR(_xll.ciqfunctions.udf.CIQ(mh_ticker, "IQ_SHARESOUTSTANDING_OUT", B571), "")</f>
        <v/>
      </c>
      <c r="E571" s="11">
        <f>IFERROR(_xll.ciqfunctions.udf.CIQ(mh_ticker, "IQ_CASH_EQUIV", , B571), "")</f>
        <v/>
      </c>
      <c r="F571" s="11">
        <f>IFERROR(_xll.ciqfunctions.udf.CIQ(mh_ticker, "IQ_ST_INVEST", , B571), "")</f>
        <v/>
      </c>
      <c r="G571" s="11">
        <f>IFERROR(_xll.ciqfunctions.udf.CIQ(mh_ticker, "IQ_TOTAL_DEBT_EXCL_OPER_LEASES", , B571), "")</f>
        <v/>
      </c>
      <c r="H571" s="11">
        <f>IFERROR(_xll.ciqfunctions.udf.CIQ(mh_ticker, "IQ_PREF_EQUITY", , B571), "")</f>
        <v/>
      </c>
      <c r="I571" s="11">
        <f>IFERROR(_xll.ciqfunctions.udf.CIQ(mh_ticker, "IQ_MINORITY_INTEREST", , B571), "")</f>
        <v/>
      </c>
      <c r="J571" s="11">
        <f>IFERROR(_xll.ciqfunctions.udf.CIQ(mh_ticker, "IQ_EQUITY_METHOD", , B571), "")</f>
        <v/>
      </c>
      <c r="K571" s="11">
        <f>IFERROR(_xll.ciqfunctions.udf.CIQ(mh_ticker, "IQ_LT_Mark_Securities", , B571), "")</f>
        <v/>
      </c>
      <c r="L571" s="12">
        <f>IFERROR(C571*D571, "")</f>
        <v/>
      </c>
      <c r="M571" s="12">
        <f>IFERROR(L571-E571-F571+G571+H571+I571-J571-K571, "")</f>
        <v/>
      </c>
      <c r="N571" s="11">
        <f>IFERROR(_xll.ciqfunctions.udf.CIQ(mh_ticker, "IQ_EBITDA_EST", IQ_NTM, B571, , , "USD"), "")</f>
        <v/>
      </c>
      <c r="O571" s="13">
        <f>IFERROR(M571/N571, "")</f>
        <v/>
      </c>
    </row>
    <row r="572">
      <c r="B572" s="8" t="n"/>
      <c r="C572" s="9">
        <f>IFERROR(_xll.ciqfunctions.udf.CIQ(mh_ticker, "IQ_LASTSALEPRICE", B572), "")</f>
        <v/>
      </c>
      <c r="D572" s="10">
        <f>IFERROR(_xll.ciqfunctions.udf.CIQ(mh_ticker, "IQ_SHARESOUTSTANDING_OUT", B572), "")</f>
        <v/>
      </c>
      <c r="E572" s="11">
        <f>IFERROR(_xll.ciqfunctions.udf.CIQ(mh_ticker, "IQ_CASH_EQUIV", , B572), "")</f>
        <v/>
      </c>
      <c r="F572" s="11">
        <f>IFERROR(_xll.ciqfunctions.udf.CIQ(mh_ticker, "IQ_ST_INVEST", , B572), "")</f>
        <v/>
      </c>
      <c r="G572" s="11">
        <f>IFERROR(_xll.ciqfunctions.udf.CIQ(mh_ticker, "IQ_TOTAL_DEBT_EXCL_OPER_LEASES", , B572), "")</f>
        <v/>
      </c>
      <c r="H572" s="11">
        <f>IFERROR(_xll.ciqfunctions.udf.CIQ(mh_ticker, "IQ_PREF_EQUITY", , B572), "")</f>
        <v/>
      </c>
      <c r="I572" s="11">
        <f>IFERROR(_xll.ciqfunctions.udf.CIQ(mh_ticker, "IQ_MINORITY_INTEREST", , B572), "")</f>
        <v/>
      </c>
      <c r="J572" s="11">
        <f>IFERROR(_xll.ciqfunctions.udf.CIQ(mh_ticker, "IQ_EQUITY_METHOD", , B572), "")</f>
        <v/>
      </c>
      <c r="K572" s="11">
        <f>IFERROR(_xll.ciqfunctions.udf.CIQ(mh_ticker, "IQ_LT_Mark_Securities", , B572), "")</f>
        <v/>
      </c>
      <c r="L572" s="12">
        <f>IFERROR(C572*D572, "")</f>
        <v/>
      </c>
      <c r="M572" s="12">
        <f>IFERROR(L572-E572-F572+G572+H572+I572-J572-K572, "")</f>
        <v/>
      </c>
      <c r="N572" s="11">
        <f>IFERROR(_xll.ciqfunctions.udf.CIQ(mh_ticker, "IQ_EBITDA_EST", IQ_NTM, B572, , , "USD"), "")</f>
        <v/>
      </c>
      <c r="O572" s="13">
        <f>IFERROR(M572/N572, "")</f>
        <v/>
      </c>
    </row>
    <row r="573">
      <c r="B573" s="8" t="n"/>
      <c r="C573" s="9">
        <f>IFERROR(_xll.ciqfunctions.udf.CIQ(mh_ticker, "IQ_LASTSALEPRICE", B573), "")</f>
        <v/>
      </c>
      <c r="D573" s="10">
        <f>IFERROR(_xll.ciqfunctions.udf.CIQ(mh_ticker, "IQ_SHARESOUTSTANDING_OUT", B573), "")</f>
        <v/>
      </c>
      <c r="E573" s="11">
        <f>IFERROR(_xll.ciqfunctions.udf.CIQ(mh_ticker, "IQ_CASH_EQUIV", , B573), "")</f>
        <v/>
      </c>
      <c r="F573" s="11">
        <f>IFERROR(_xll.ciqfunctions.udf.CIQ(mh_ticker, "IQ_ST_INVEST", , B573), "")</f>
        <v/>
      </c>
      <c r="G573" s="11">
        <f>IFERROR(_xll.ciqfunctions.udf.CIQ(mh_ticker, "IQ_TOTAL_DEBT_EXCL_OPER_LEASES", , B573), "")</f>
        <v/>
      </c>
      <c r="H573" s="11">
        <f>IFERROR(_xll.ciqfunctions.udf.CIQ(mh_ticker, "IQ_PREF_EQUITY", , B573), "")</f>
        <v/>
      </c>
      <c r="I573" s="11">
        <f>IFERROR(_xll.ciqfunctions.udf.CIQ(mh_ticker, "IQ_MINORITY_INTEREST", , B573), "")</f>
        <v/>
      </c>
      <c r="J573" s="11">
        <f>IFERROR(_xll.ciqfunctions.udf.CIQ(mh_ticker, "IQ_EQUITY_METHOD", , B573), "")</f>
        <v/>
      </c>
      <c r="K573" s="11">
        <f>IFERROR(_xll.ciqfunctions.udf.CIQ(mh_ticker, "IQ_LT_Mark_Securities", , B573), "")</f>
        <v/>
      </c>
      <c r="L573" s="12">
        <f>IFERROR(C573*D573, "")</f>
        <v/>
      </c>
      <c r="M573" s="12">
        <f>IFERROR(L573-E573-F573+G573+H573+I573-J573-K573, "")</f>
        <v/>
      </c>
      <c r="N573" s="11">
        <f>IFERROR(_xll.ciqfunctions.udf.CIQ(mh_ticker, "IQ_EBITDA_EST", IQ_NTM, B573, , , "USD"), "")</f>
        <v/>
      </c>
      <c r="O573" s="13">
        <f>IFERROR(M573/N573, "")</f>
        <v/>
      </c>
    </row>
    <row r="574">
      <c r="B574" s="8" t="n"/>
      <c r="C574" s="9">
        <f>IFERROR(_xll.ciqfunctions.udf.CIQ(mh_ticker, "IQ_LASTSALEPRICE", B574), "")</f>
        <v/>
      </c>
      <c r="D574" s="10">
        <f>IFERROR(_xll.ciqfunctions.udf.CIQ(mh_ticker, "IQ_SHARESOUTSTANDING_OUT", B574), "")</f>
        <v/>
      </c>
      <c r="E574" s="11">
        <f>IFERROR(_xll.ciqfunctions.udf.CIQ(mh_ticker, "IQ_CASH_EQUIV", , B574), "")</f>
        <v/>
      </c>
      <c r="F574" s="11">
        <f>IFERROR(_xll.ciqfunctions.udf.CIQ(mh_ticker, "IQ_ST_INVEST", , B574), "")</f>
        <v/>
      </c>
      <c r="G574" s="11">
        <f>IFERROR(_xll.ciqfunctions.udf.CIQ(mh_ticker, "IQ_TOTAL_DEBT_EXCL_OPER_LEASES", , B574), "")</f>
        <v/>
      </c>
      <c r="H574" s="11">
        <f>IFERROR(_xll.ciqfunctions.udf.CIQ(mh_ticker, "IQ_PREF_EQUITY", , B574), "")</f>
        <v/>
      </c>
      <c r="I574" s="11">
        <f>IFERROR(_xll.ciqfunctions.udf.CIQ(mh_ticker, "IQ_MINORITY_INTEREST", , B574), "")</f>
        <v/>
      </c>
      <c r="J574" s="11">
        <f>IFERROR(_xll.ciqfunctions.udf.CIQ(mh_ticker, "IQ_EQUITY_METHOD", , B574), "")</f>
        <v/>
      </c>
      <c r="K574" s="11">
        <f>IFERROR(_xll.ciqfunctions.udf.CIQ(mh_ticker, "IQ_LT_Mark_Securities", , B574), "")</f>
        <v/>
      </c>
      <c r="L574" s="12">
        <f>IFERROR(C574*D574, "")</f>
        <v/>
      </c>
      <c r="M574" s="12">
        <f>IFERROR(L574-E574-F574+G574+H574+I574-J574-K574, "")</f>
        <v/>
      </c>
      <c r="N574" s="11">
        <f>IFERROR(_xll.ciqfunctions.udf.CIQ(mh_ticker, "IQ_EBITDA_EST", IQ_NTM, B574, , , "USD"), "")</f>
        <v/>
      </c>
      <c r="O574" s="13">
        <f>IFERROR(M574/N574, "")</f>
        <v/>
      </c>
    </row>
    <row r="575">
      <c r="B575" s="8" t="n"/>
      <c r="C575" s="9">
        <f>IFERROR(_xll.ciqfunctions.udf.CIQ(mh_ticker, "IQ_LASTSALEPRICE", B575), "")</f>
        <v/>
      </c>
      <c r="D575" s="10">
        <f>IFERROR(_xll.ciqfunctions.udf.CIQ(mh_ticker, "IQ_SHARESOUTSTANDING_OUT", B575), "")</f>
        <v/>
      </c>
      <c r="E575" s="11">
        <f>IFERROR(_xll.ciqfunctions.udf.CIQ(mh_ticker, "IQ_CASH_EQUIV", , B575), "")</f>
        <v/>
      </c>
      <c r="F575" s="11">
        <f>IFERROR(_xll.ciqfunctions.udf.CIQ(mh_ticker, "IQ_ST_INVEST", , B575), "")</f>
        <v/>
      </c>
      <c r="G575" s="11">
        <f>IFERROR(_xll.ciqfunctions.udf.CIQ(mh_ticker, "IQ_TOTAL_DEBT_EXCL_OPER_LEASES", , B575), "")</f>
        <v/>
      </c>
      <c r="H575" s="11">
        <f>IFERROR(_xll.ciqfunctions.udf.CIQ(mh_ticker, "IQ_PREF_EQUITY", , B575), "")</f>
        <v/>
      </c>
      <c r="I575" s="11">
        <f>IFERROR(_xll.ciqfunctions.udf.CIQ(mh_ticker, "IQ_MINORITY_INTEREST", , B575), "")</f>
        <v/>
      </c>
      <c r="J575" s="11">
        <f>IFERROR(_xll.ciqfunctions.udf.CIQ(mh_ticker, "IQ_EQUITY_METHOD", , B575), "")</f>
        <v/>
      </c>
      <c r="K575" s="11">
        <f>IFERROR(_xll.ciqfunctions.udf.CIQ(mh_ticker, "IQ_LT_Mark_Securities", , B575), "")</f>
        <v/>
      </c>
      <c r="L575" s="12">
        <f>IFERROR(C575*D575, "")</f>
        <v/>
      </c>
      <c r="M575" s="12">
        <f>IFERROR(L575-E575-F575+G575+H575+I575-J575-K575, "")</f>
        <v/>
      </c>
      <c r="N575" s="11">
        <f>IFERROR(_xll.ciqfunctions.udf.CIQ(mh_ticker, "IQ_EBITDA_EST", IQ_NTM, B575, , , "USD"), "")</f>
        <v/>
      </c>
      <c r="O575" s="13">
        <f>IFERROR(M575/N575, "")</f>
        <v/>
      </c>
    </row>
    <row r="576">
      <c r="B576" s="8" t="n"/>
      <c r="C576" s="9">
        <f>IFERROR(_xll.ciqfunctions.udf.CIQ(mh_ticker, "IQ_LASTSALEPRICE", B576), "")</f>
        <v/>
      </c>
      <c r="D576" s="10">
        <f>IFERROR(_xll.ciqfunctions.udf.CIQ(mh_ticker, "IQ_SHARESOUTSTANDING_OUT", B576), "")</f>
        <v/>
      </c>
      <c r="E576" s="11">
        <f>IFERROR(_xll.ciqfunctions.udf.CIQ(mh_ticker, "IQ_CASH_EQUIV", , B576), "")</f>
        <v/>
      </c>
      <c r="F576" s="11">
        <f>IFERROR(_xll.ciqfunctions.udf.CIQ(mh_ticker, "IQ_ST_INVEST", , B576), "")</f>
        <v/>
      </c>
      <c r="G576" s="11">
        <f>IFERROR(_xll.ciqfunctions.udf.CIQ(mh_ticker, "IQ_TOTAL_DEBT_EXCL_OPER_LEASES", , B576), "")</f>
        <v/>
      </c>
      <c r="H576" s="11">
        <f>IFERROR(_xll.ciqfunctions.udf.CIQ(mh_ticker, "IQ_PREF_EQUITY", , B576), "")</f>
        <v/>
      </c>
      <c r="I576" s="11">
        <f>IFERROR(_xll.ciqfunctions.udf.CIQ(mh_ticker, "IQ_MINORITY_INTEREST", , B576), "")</f>
        <v/>
      </c>
      <c r="J576" s="11">
        <f>IFERROR(_xll.ciqfunctions.udf.CIQ(mh_ticker, "IQ_EQUITY_METHOD", , B576), "")</f>
        <v/>
      </c>
      <c r="K576" s="11">
        <f>IFERROR(_xll.ciqfunctions.udf.CIQ(mh_ticker, "IQ_LT_Mark_Securities", , B576), "")</f>
        <v/>
      </c>
      <c r="L576" s="12">
        <f>IFERROR(C576*D576, "")</f>
        <v/>
      </c>
      <c r="M576" s="12">
        <f>IFERROR(L576-E576-F576+G576+H576+I576-J576-K576, "")</f>
        <v/>
      </c>
      <c r="N576" s="11">
        <f>IFERROR(_xll.ciqfunctions.udf.CIQ(mh_ticker, "IQ_EBITDA_EST", IQ_NTM, B576, , , "USD"), "")</f>
        <v/>
      </c>
      <c r="O576" s="13">
        <f>IFERROR(M576/N576, "")</f>
        <v/>
      </c>
    </row>
    <row r="577">
      <c r="B577" s="8" t="n"/>
      <c r="C577" s="9">
        <f>IFERROR(_xll.ciqfunctions.udf.CIQ(mh_ticker, "IQ_LASTSALEPRICE", B577), "")</f>
        <v/>
      </c>
      <c r="D577" s="10">
        <f>IFERROR(_xll.ciqfunctions.udf.CIQ(mh_ticker, "IQ_SHARESOUTSTANDING_OUT", B577), "")</f>
        <v/>
      </c>
      <c r="E577" s="11">
        <f>IFERROR(_xll.ciqfunctions.udf.CIQ(mh_ticker, "IQ_CASH_EQUIV", , B577), "")</f>
        <v/>
      </c>
      <c r="F577" s="11">
        <f>IFERROR(_xll.ciqfunctions.udf.CIQ(mh_ticker, "IQ_ST_INVEST", , B577), "")</f>
        <v/>
      </c>
      <c r="G577" s="11">
        <f>IFERROR(_xll.ciqfunctions.udf.CIQ(mh_ticker, "IQ_TOTAL_DEBT_EXCL_OPER_LEASES", , B577), "")</f>
        <v/>
      </c>
      <c r="H577" s="11">
        <f>IFERROR(_xll.ciqfunctions.udf.CIQ(mh_ticker, "IQ_PREF_EQUITY", , B577), "")</f>
        <v/>
      </c>
      <c r="I577" s="11">
        <f>IFERROR(_xll.ciqfunctions.udf.CIQ(mh_ticker, "IQ_MINORITY_INTEREST", , B577), "")</f>
        <v/>
      </c>
      <c r="J577" s="11">
        <f>IFERROR(_xll.ciqfunctions.udf.CIQ(mh_ticker, "IQ_EQUITY_METHOD", , B577), "")</f>
        <v/>
      </c>
      <c r="K577" s="11">
        <f>IFERROR(_xll.ciqfunctions.udf.CIQ(mh_ticker, "IQ_LT_Mark_Securities", , B577), "")</f>
        <v/>
      </c>
      <c r="L577" s="12">
        <f>IFERROR(C577*D577, "")</f>
        <v/>
      </c>
      <c r="M577" s="12">
        <f>IFERROR(L577-E577-F577+G577+H577+I577-J577-K577, "")</f>
        <v/>
      </c>
      <c r="N577" s="11">
        <f>IFERROR(_xll.ciqfunctions.udf.CIQ(mh_ticker, "IQ_EBITDA_EST", IQ_NTM, B577, , , "USD"), "")</f>
        <v/>
      </c>
      <c r="O577" s="13">
        <f>IFERROR(M577/N577, "")</f>
        <v/>
      </c>
    </row>
    <row r="578">
      <c r="B578" s="8" t="n"/>
      <c r="C578" s="9">
        <f>IFERROR(_xll.ciqfunctions.udf.CIQ(mh_ticker, "IQ_LASTSALEPRICE", B578), "")</f>
        <v/>
      </c>
      <c r="D578" s="10">
        <f>IFERROR(_xll.ciqfunctions.udf.CIQ(mh_ticker, "IQ_SHARESOUTSTANDING_OUT", B578), "")</f>
        <v/>
      </c>
      <c r="E578" s="11">
        <f>IFERROR(_xll.ciqfunctions.udf.CIQ(mh_ticker, "IQ_CASH_EQUIV", , B578), "")</f>
        <v/>
      </c>
      <c r="F578" s="11">
        <f>IFERROR(_xll.ciqfunctions.udf.CIQ(mh_ticker, "IQ_ST_INVEST", , B578), "")</f>
        <v/>
      </c>
      <c r="G578" s="11">
        <f>IFERROR(_xll.ciqfunctions.udf.CIQ(mh_ticker, "IQ_TOTAL_DEBT_EXCL_OPER_LEASES", , B578), "")</f>
        <v/>
      </c>
      <c r="H578" s="11">
        <f>IFERROR(_xll.ciqfunctions.udf.CIQ(mh_ticker, "IQ_PREF_EQUITY", , B578), "")</f>
        <v/>
      </c>
      <c r="I578" s="11">
        <f>IFERROR(_xll.ciqfunctions.udf.CIQ(mh_ticker, "IQ_MINORITY_INTEREST", , B578), "")</f>
        <v/>
      </c>
      <c r="J578" s="11">
        <f>IFERROR(_xll.ciqfunctions.udf.CIQ(mh_ticker, "IQ_EQUITY_METHOD", , B578), "")</f>
        <v/>
      </c>
      <c r="K578" s="11">
        <f>IFERROR(_xll.ciqfunctions.udf.CIQ(mh_ticker, "IQ_LT_Mark_Securities", , B578), "")</f>
        <v/>
      </c>
      <c r="L578" s="12">
        <f>IFERROR(C578*D578, "")</f>
        <v/>
      </c>
      <c r="M578" s="12">
        <f>IFERROR(L578-E578-F578+G578+H578+I578-J578-K578, "")</f>
        <v/>
      </c>
      <c r="N578" s="11">
        <f>IFERROR(_xll.ciqfunctions.udf.CIQ(mh_ticker, "IQ_EBITDA_EST", IQ_NTM, B578, , , "USD"), "")</f>
        <v/>
      </c>
      <c r="O578" s="13">
        <f>IFERROR(M578/N578, "")</f>
        <v/>
      </c>
    </row>
    <row r="579">
      <c r="B579" s="8" t="n"/>
      <c r="C579" s="9">
        <f>IFERROR(_xll.ciqfunctions.udf.CIQ(mh_ticker, "IQ_LASTSALEPRICE", B579), "")</f>
        <v/>
      </c>
      <c r="D579" s="10">
        <f>IFERROR(_xll.ciqfunctions.udf.CIQ(mh_ticker, "IQ_SHARESOUTSTANDING_OUT", B579), "")</f>
        <v/>
      </c>
      <c r="E579" s="11">
        <f>IFERROR(_xll.ciqfunctions.udf.CIQ(mh_ticker, "IQ_CASH_EQUIV", , B579), "")</f>
        <v/>
      </c>
      <c r="F579" s="11">
        <f>IFERROR(_xll.ciqfunctions.udf.CIQ(mh_ticker, "IQ_ST_INVEST", , B579), "")</f>
        <v/>
      </c>
      <c r="G579" s="11">
        <f>IFERROR(_xll.ciqfunctions.udf.CIQ(mh_ticker, "IQ_TOTAL_DEBT_EXCL_OPER_LEASES", , B579), "")</f>
        <v/>
      </c>
      <c r="H579" s="11">
        <f>IFERROR(_xll.ciqfunctions.udf.CIQ(mh_ticker, "IQ_PREF_EQUITY", , B579), "")</f>
        <v/>
      </c>
      <c r="I579" s="11">
        <f>IFERROR(_xll.ciqfunctions.udf.CIQ(mh_ticker, "IQ_MINORITY_INTEREST", , B579), "")</f>
        <v/>
      </c>
      <c r="J579" s="11">
        <f>IFERROR(_xll.ciqfunctions.udf.CIQ(mh_ticker, "IQ_EQUITY_METHOD", , B579), "")</f>
        <v/>
      </c>
      <c r="K579" s="11">
        <f>IFERROR(_xll.ciqfunctions.udf.CIQ(mh_ticker, "IQ_LT_Mark_Securities", , B579), "")</f>
        <v/>
      </c>
      <c r="L579" s="12">
        <f>IFERROR(C579*D579, "")</f>
        <v/>
      </c>
      <c r="M579" s="12">
        <f>IFERROR(L579-E579-F579+G579+H579+I579-J579-K579, "")</f>
        <v/>
      </c>
      <c r="N579" s="11">
        <f>IFERROR(_xll.ciqfunctions.udf.CIQ(mh_ticker, "IQ_EBITDA_EST", IQ_NTM, B579, , , "USD"), "")</f>
        <v/>
      </c>
      <c r="O579" s="13">
        <f>IFERROR(M579/N579, "")</f>
        <v/>
      </c>
    </row>
    <row r="580">
      <c r="B580" s="8" t="n"/>
      <c r="C580" s="9">
        <f>IFERROR(_xll.ciqfunctions.udf.CIQ(mh_ticker, "IQ_LASTSALEPRICE", B580), "")</f>
        <v/>
      </c>
      <c r="D580" s="10">
        <f>IFERROR(_xll.ciqfunctions.udf.CIQ(mh_ticker, "IQ_SHARESOUTSTANDING_OUT", B580), "")</f>
        <v/>
      </c>
      <c r="E580" s="11">
        <f>IFERROR(_xll.ciqfunctions.udf.CIQ(mh_ticker, "IQ_CASH_EQUIV", , B580), "")</f>
        <v/>
      </c>
      <c r="F580" s="11">
        <f>IFERROR(_xll.ciqfunctions.udf.CIQ(mh_ticker, "IQ_ST_INVEST", , B580), "")</f>
        <v/>
      </c>
      <c r="G580" s="11">
        <f>IFERROR(_xll.ciqfunctions.udf.CIQ(mh_ticker, "IQ_TOTAL_DEBT_EXCL_OPER_LEASES", , B580), "")</f>
        <v/>
      </c>
      <c r="H580" s="11">
        <f>IFERROR(_xll.ciqfunctions.udf.CIQ(mh_ticker, "IQ_PREF_EQUITY", , B580), "")</f>
        <v/>
      </c>
      <c r="I580" s="11">
        <f>IFERROR(_xll.ciqfunctions.udf.CIQ(mh_ticker, "IQ_MINORITY_INTEREST", , B580), "")</f>
        <v/>
      </c>
      <c r="J580" s="11">
        <f>IFERROR(_xll.ciqfunctions.udf.CIQ(mh_ticker, "IQ_EQUITY_METHOD", , B580), "")</f>
        <v/>
      </c>
      <c r="K580" s="11">
        <f>IFERROR(_xll.ciqfunctions.udf.CIQ(mh_ticker, "IQ_LT_Mark_Securities", , B580), "")</f>
        <v/>
      </c>
      <c r="L580" s="12">
        <f>IFERROR(C580*D580, "")</f>
        <v/>
      </c>
      <c r="M580" s="12">
        <f>IFERROR(L580-E580-F580+G580+H580+I580-J580-K580, "")</f>
        <v/>
      </c>
      <c r="N580" s="11">
        <f>IFERROR(_xll.ciqfunctions.udf.CIQ(mh_ticker, "IQ_EBITDA_EST", IQ_NTM, B580, , , "USD"), "")</f>
        <v/>
      </c>
      <c r="O580" s="13">
        <f>IFERROR(M580/N580, "")</f>
        <v/>
      </c>
    </row>
    <row r="581">
      <c r="B581" s="8" t="n"/>
      <c r="C581" s="9">
        <f>IFERROR(_xll.ciqfunctions.udf.CIQ(mh_ticker, "IQ_LASTSALEPRICE", B581), "")</f>
        <v/>
      </c>
      <c r="D581" s="10">
        <f>IFERROR(_xll.ciqfunctions.udf.CIQ(mh_ticker, "IQ_SHARESOUTSTANDING_OUT", B581), "")</f>
        <v/>
      </c>
      <c r="E581" s="11">
        <f>IFERROR(_xll.ciqfunctions.udf.CIQ(mh_ticker, "IQ_CASH_EQUIV", , B581), "")</f>
        <v/>
      </c>
      <c r="F581" s="11">
        <f>IFERROR(_xll.ciqfunctions.udf.CIQ(mh_ticker, "IQ_ST_INVEST", , B581), "")</f>
        <v/>
      </c>
      <c r="G581" s="11">
        <f>IFERROR(_xll.ciqfunctions.udf.CIQ(mh_ticker, "IQ_TOTAL_DEBT_EXCL_OPER_LEASES", , B581), "")</f>
        <v/>
      </c>
      <c r="H581" s="11">
        <f>IFERROR(_xll.ciqfunctions.udf.CIQ(mh_ticker, "IQ_PREF_EQUITY", , B581), "")</f>
        <v/>
      </c>
      <c r="I581" s="11">
        <f>IFERROR(_xll.ciqfunctions.udf.CIQ(mh_ticker, "IQ_MINORITY_INTEREST", , B581), "")</f>
        <v/>
      </c>
      <c r="J581" s="11">
        <f>IFERROR(_xll.ciqfunctions.udf.CIQ(mh_ticker, "IQ_EQUITY_METHOD", , B581), "")</f>
        <v/>
      </c>
      <c r="K581" s="11">
        <f>IFERROR(_xll.ciqfunctions.udf.CIQ(mh_ticker, "IQ_LT_Mark_Securities", , B581), "")</f>
        <v/>
      </c>
      <c r="L581" s="12">
        <f>IFERROR(C581*D581, "")</f>
        <v/>
      </c>
      <c r="M581" s="12">
        <f>IFERROR(L581-E581-F581+G581+H581+I581-J581-K581, "")</f>
        <v/>
      </c>
      <c r="N581" s="11">
        <f>IFERROR(_xll.ciqfunctions.udf.CIQ(mh_ticker, "IQ_EBITDA_EST", IQ_NTM, B581, , , "USD"), "")</f>
        <v/>
      </c>
      <c r="O581" s="13">
        <f>IFERROR(M581/N581, "")</f>
        <v/>
      </c>
    </row>
    <row r="582">
      <c r="B582" s="8" t="n"/>
      <c r="C582" s="9">
        <f>IFERROR(_xll.ciqfunctions.udf.CIQ(mh_ticker, "IQ_LASTSALEPRICE", B582), "")</f>
        <v/>
      </c>
      <c r="D582" s="10">
        <f>IFERROR(_xll.ciqfunctions.udf.CIQ(mh_ticker, "IQ_SHARESOUTSTANDING_OUT", B582), "")</f>
        <v/>
      </c>
      <c r="E582" s="11">
        <f>IFERROR(_xll.ciqfunctions.udf.CIQ(mh_ticker, "IQ_CASH_EQUIV", , B582), "")</f>
        <v/>
      </c>
      <c r="F582" s="11">
        <f>IFERROR(_xll.ciqfunctions.udf.CIQ(mh_ticker, "IQ_ST_INVEST", , B582), "")</f>
        <v/>
      </c>
      <c r="G582" s="11">
        <f>IFERROR(_xll.ciqfunctions.udf.CIQ(mh_ticker, "IQ_TOTAL_DEBT_EXCL_OPER_LEASES", , B582), "")</f>
        <v/>
      </c>
      <c r="H582" s="11">
        <f>IFERROR(_xll.ciqfunctions.udf.CIQ(mh_ticker, "IQ_PREF_EQUITY", , B582), "")</f>
        <v/>
      </c>
      <c r="I582" s="11">
        <f>IFERROR(_xll.ciqfunctions.udf.CIQ(mh_ticker, "IQ_MINORITY_INTEREST", , B582), "")</f>
        <v/>
      </c>
      <c r="J582" s="11">
        <f>IFERROR(_xll.ciqfunctions.udf.CIQ(mh_ticker, "IQ_EQUITY_METHOD", , B582), "")</f>
        <v/>
      </c>
      <c r="K582" s="11">
        <f>IFERROR(_xll.ciqfunctions.udf.CIQ(mh_ticker, "IQ_LT_Mark_Securities", , B582), "")</f>
        <v/>
      </c>
      <c r="L582" s="12">
        <f>IFERROR(C582*D582, "")</f>
        <v/>
      </c>
      <c r="M582" s="12">
        <f>IFERROR(L582-E582-F582+G582+H582+I582-J582-K582, "")</f>
        <v/>
      </c>
      <c r="N582" s="11">
        <f>IFERROR(_xll.ciqfunctions.udf.CIQ(mh_ticker, "IQ_EBITDA_EST", IQ_NTM, B582, , , "USD"), "")</f>
        <v/>
      </c>
      <c r="O582" s="13">
        <f>IFERROR(M582/N582, "")</f>
        <v/>
      </c>
    </row>
    <row r="583">
      <c r="B583" s="8" t="n"/>
      <c r="C583" s="9">
        <f>IFERROR(_xll.ciqfunctions.udf.CIQ(mh_ticker, "IQ_LASTSALEPRICE", B583), "")</f>
        <v/>
      </c>
      <c r="D583" s="10">
        <f>IFERROR(_xll.ciqfunctions.udf.CIQ(mh_ticker, "IQ_SHARESOUTSTANDING_OUT", B583), "")</f>
        <v/>
      </c>
      <c r="E583" s="11">
        <f>IFERROR(_xll.ciqfunctions.udf.CIQ(mh_ticker, "IQ_CASH_EQUIV", , B583), "")</f>
        <v/>
      </c>
      <c r="F583" s="11">
        <f>IFERROR(_xll.ciqfunctions.udf.CIQ(mh_ticker, "IQ_ST_INVEST", , B583), "")</f>
        <v/>
      </c>
      <c r="G583" s="11">
        <f>IFERROR(_xll.ciqfunctions.udf.CIQ(mh_ticker, "IQ_TOTAL_DEBT_EXCL_OPER_LEASES", , B583), "")</f>
        <v/>
      </c>
      <c r="H583" s="11">
        <f>IFERROR(_xll.ciqfunctions.udf.CIQ(mh_ticker, "IQ_PREF_EQUITY", , B583), "")</f>
        <v/>
      </c>
      <c r="I583" s="11">
        <f>IFERROR(_xll.ciqfunctions.udf.CIQ(mh_ticker, "IQ_MINORITY_INTEREST", , B583), "")</f>
        <v/>
      </c>
      <c r="J583" s="11">
        <f>IFERROR(_xll.ciqfunctions.udf.CIQ(mh_ticker, "IQ_EQUITY_METHOD", , B583), "")</f>
        <v/>
      </c>
      <c r="K583" s="11">
        <f>IFERROR(_xll.ciqfunctions.udf.CIQ(mh_ticker, "IQ_LT_Mark_Securities", , B583), "")</f>
        <v/>
      </c>
      <c r="L583" s="12">
        <f>IFERROR(C583*D583, "")</f>
        <v/>
      </c>
      <c r="M583" s="12">
        <f>IFERROR(L583-E583-F583+G583+H583+I583-J583-K583, "")</f>
        <v/>
      </c>
      <c r="N583" s="11">
        <f>IFERROR(_xll.ciqfunctions.udf.CIQ(mh_ticker, "IQ_EBITDA_EST", IQ_NTM, B583, , , "USD"), "")</f>
        <v/>
      </c>
      <c r="O583" s="13">
        <f>IFERROR(M583/N583, "")</f>
        <v/>
      </c>
    </row>
    <row r="584">
      <c r="B584" s="8" t="n"/>
      <c r="C584" s="9">
        <f>IFERROR(_xll.ciqfunctions.udf.CIQ(mh_ticker, "IQ_LASTSALEPRICE", B584), "")</f>
        <v/>
      </c>
      <c r="D584" s="10">
        <f>IFERROR(_xll.ciqfunctions.udf.CIQ(mh_ticker, "IQ_SHARESOUTSTANDING_OUT", B584), "")</f>
        <v/>
      </c>
      <c r="E584" s="11">
        <f>IFERROR(_xll.ciqfunctions.udf.CIQ(mh_ticker, "IQ_CASH_EQUIV", , B584), "")</f>
        <v/>
      </c>
      <c r="F584" s="11">
        <f>IFERROR(_xll.ciqfunctions.udf.CIQ(mh_ticker, "IQ_ST_INVEST", , B584), "")</f>
        <v/>
      </c>
      <c r="G584" s="11">
        <f>IFERROR(_xll.ciqfunctions.udf.CIQ(mh_ticker, "IQ_TOTAL_DEBT_EXCL_OPER_LEASES", , B584), "")</f>
        <v/>
      </c>
      <c r="H584" s="11">
        <f>IFERROR(_xll.ciqfunctions.udf.CIQ(mh_ticker, "IQ_PREF_EQUITY", , B584), "")</f>
        <v/>
      </c>
      <c r="I584" s="11">
        <f>IFERROR(_xll.ciqfunctions.udf.CIQ(mh_ticker, "IQ_MINORITY_INTEREST", , B584), "")</f>
        <v/>
      </c>
      <c r="J584" s="11">
        <f>IFERROR(_xll.ciqfunctions.udf.CIQ(mh_ticker, "IQ_EQUITY_METHOD", , B584), "")</f>
        <v/>
      </c>
      <c r="K584" s="11">
        <f>IFERROR(_xll.ciqfunctions.udf.CIQ(mh_ticker, "IQ_LT_Mark_Securities", , B584), "")</f>
        <v/>
      </c>
      <c r="L584" s="12">
        <f>IFERROR(C584*D584, "")</f>
        <v/>
      </c>
      <c r="M584" s="12">
        <f>IFERROR(L584-E584-F584+G584+H584+I584-J584-K584, "")</f>
        <v/>
      </c>
      <c r="N584" s="11">
        <f>IFERROR(_xll.ciqfunctions.udf.CIQ(mh_ticker, "IQ_EBITDA_EST", IQ_NTM, B584, , , "USD"), "")</f>
        <v/>
      </c>
      <c r="O584" s="13">
        <f>IFERROR(M584/N584, "")</f>
        <v/>
      </c>
    </row>
    <row r="585">
      <c r="B585" s="8" t="n"/>
      <c r="C585" s="9">
        <f>IFERROR(_xll.ciqfunctions.udf.CIQ(mh_ticker, "IQ_LASTSALEPRICE", B585), "")</f>
        <v/>
      </c>
      <c r="D585" s="10">
        <f>IFERROR(_xll.ciqfunctions.udf.CIQ(mh_ticker, "IQ_SHARESOUTSTANDING_OUT", B585), "")</f>
        <v/>
      </c>
      <c r="E585" s="11">
        <f>IFERROR(_xll.ciqfunctions.udf.CIQ(mh_ticker, "IQ_CASH_EQUIV", , B585), "")</f>
        <v/>
      </c>
      <c r="F585" s="11">
        <f>IFERROR(_xll.ciqfunctions.udf.CIQ(mh_ticker, "IQ_ST_INVEST", , B585), "")</f>
        <v/>
      </c>
      <c r="G585" s="11">
        <f>IFERROR(_xll.ciqfunctions.udf.CIQ(mh_ticker, "IQ_TOTAL_DEBT_EXCL_OPER_LEASES", , B585), "")</f>
        <v/>
      </c>
      <c r="H585" s="11">
        <f>IFERROR(_xll.ciqfunctions.udf.CIQ(mh_ticker, "IQ_PREF_EQUITY", , B585), "")</f>
        <v/>
      </c>
      <c r="I585" s="11">
        <f>IFERROR(_xll.ciqfunctions.udf.CIQ(mh_ticker, "IQ_MINORITY_INTEREST", , B585), "")</f>
        <v/>
      </c>
      <c r="J585" s="11">
        <f>IFERROR(_xll.ciqfunctions.udf.CIQ(mh_ticker, "IQ_EQUITY_METHOD", , B585), "")</f>
        <v/>
      </c>
      <c r="K585" s="11">
        <f>IFERROR(_xll.ciqfunctions.udf.CIQ(mh_ticker, "IQ_LT_Mark_Securities", , B585), "")</f>
        <v/>
      </c>
      <c r="L585" s="12">
        <f>IFERROR(C585*D585, "")</f>
        <v/>
      </c>
      <c r="M585" s="12">
        <f>IFERROR(L585-E585-F585+G585+H585+I585-J585-K585, "")</f>
        <v/>
      </c>
      <c r="N585" s="11">
        <f>IFERROR(_xll.ciqfunctions.udf.CIQ(mh_ticker, "IQ_EBITDA_EST", IQ_NTM, B585, , , "USD"), "")</f>
        <v/>
      </c>
      <c r="O585" s="13">
        <f>IFERROR(M585/N585, "")</f>
        <v/>
      </c>
    </row>
    <row r="586">
      <c r="B586" s="8" t="n"/>
      <c r="C586" s="9">
        <f>IFERROR(_xll.ciqfunctions.udf.CIQ(mh_ticker, "IQ_LASTSALEPRICE", B586), "")</f>
        <v/>
      </c>
      <c r="D586" s="10">
        <f>IFERROR(_xll.ciqfunctions.udf.CIQ(mh_ticker, "IQ_SHARESOUTSTANDING_OUT", B586), "")</f>
        <v/>
      </c>
      <c r="E586" s="11">
        <f>IFERROR(_xll.ciqfunctions.udf.CIQ(mh_ticker, "IQ_CASH_EQUIV", , B586), "")</f>
        <v/>
      </c>
      <c r="F586" s="11">
        <f>IFERROR(_xll.ciqfunctions.udf.CIQ(mh_ticker, "IQ_ST_INVEST", , B586), "")</f>
        <v/>
      </c>
      <c r="G586" s="11">
        <f>IFERROR(_xll.ciqfunctions.udf.CIQ(mh_ticker, "IQ_TOTAL_DEBT_EXCL_OPER_LEASES", , B586), "")</f>
        <v/>
      </c>
      <c r="H586" s="11">
        <f>IFERROR(_xll.ciqfunctions.udf.CIQ(mh_ticker, "IQ_PREF_EQUITY", , B586), "")</f>
        <v/>
      </c>
      <c r="I586" s="11">
        <f>IFERROR(_xll.ciqfunctions.udf.CIQ(mh_ticker, "IQ_MINORITY_INTEREST", , B586), "")</f>
        <v/>
      </c>
      <c r="J586" s="11">
        <f>IFERROR(_xll.ciqfunctions.udf.CIQ(mh_ticker, "IQ_EQUITY_METHOD", , B586), "")</f>
        <v/>
      </c>
      <c r="K586" s="11">
        <f>IFERROR(_xll.ciqfunctions.udf.CIQ(mh_ticker, "IQ_LT_Mark_Securities", , B586), "")</f>
        <v/>
      </c>
      <c r="L586" s="12">
        <f>IFERROR(C586*D586, "")</f>
        <v/>
      </c>
      <c r="M586" s="12">
        <f>IFERROR(L586-E586-F586+G586+H586+I586-J586-K586, "")</f>
        <v/>
      </c>
      <c r="N586" s="11">
        <f>IFERROR(_xll.ciqfunctions.udf.CIQ(mh_ticker, "IQ_EBITDA_EST", IQ_NTM, B586, , , "USD"), "")</f>
        <v/>
      </c>
      <c r="O586" s="13">
        <f>IFERROR(M586/N586, "")</f>
        <v/>
      </c>
    </row>
    <row r="587">
      <c r="B587" s="8" t="n"/>
      <c r="C587" s="9">
        <f>IFERROR(_xll.ciqfunctions.udf.CIQ(mh_ticker, "IQ_LASTSALEPRICE", B587), "")</f>
        <v/>
      </c>
      <c r="D587" s="10">
        <f>IFERROR(_xll.ciqfunctions.udf.CIQ(mh_ticker, "IQ_SHARESOUTSTANDING_OUT", B587), "")</f>
        <v/>
      </c>
      <c r="E587" s="11">
        <f>IFERROR(_xll.ciqfunctions.udf.CIQ(mh_ticker, "IQ_CASH_EQUIV", , B587), "")</f>
        <v/>
      </c>
      <c r="F587" s="11">
        <f>IFERROR(_xll.ciqfunctions.udf.CIQ(mh_ticker, "IQ_ST_INVEST", , B587), "")</f>
        <v/>
      </c>
      <c r="G587" s="11">
        <f>IFERROR(_xll.ciqfunctions.udf.CIQ(mh_ticker, "IQ_TOTAL_DEBT_EXCL_OPER_LEASES", , B587), "")</f>
        <v/>
      </c>
      <c r="H587" s="11">
        <f>IFERROR(_xll.ciqfunctions.udf.CIQ(mh_ticker, "IQ_PREF_EQUITY", , B587), "")</f>
        <v/>
      </c>
      <c r="I587" s="11">
        <f>IFERROR(_xll.ciqfunctions.udf.CIQ(mh_ticker, "IQ_MINORITY_INTEREST", , B587), "")</f>
        <v/>
      </c>
      <c r="J587" s="11">
        <f>IFERROR(_xll.ciqfunctions.udf.CIQ(mh_ticker, "IQ_EQUITY_METHOD", , B587), "")</f>
        <v/>
      </c>
      <c r="K587" s="11">
        <f>IFERROR(_xll.ciqfunctions.udf.CIQ(mh_ticker, "IQ_LT_Mark_Securities", , B587), "")</f>
        <v/>
      </c>
      <c r="L587" s="12">
        <f>IFERROR(C587*D587, "")</f>
        <v/>
      </c>
      <c r="M587" s="12">
        <f>IFERROR(L587-E587-F587+G587+H587+I587-J587-K587, "")</f>
        <v/>
      </c>
      <c r="N587" s="11">
        <f>IFERROR(_xll.ciqfunctions.udf.CIQ(mh_ticker, "IQ_EBITDA_EST", IQ_NTM, B587, , , "USD"), "")</f>
        <v/>
      </c>
      <c r="O587" s="13">
        <f>IFERROR(M587/N587, "")</f>
        <v/>
      </c>
    </row>
    <row r="588">
      <c r="B588" s="8" t="n"/>
      <c r="C588" s="9">
        <f>IFERROR(_xll.ciqfunctions.udf.CIQ(mh_ticker, "IQ_LASTSALEPRICE", B588), "")</f>
        <v/>
      </c>
      <c r="D588" s="10">
        <f>IFERROR(_xll.ciqfunctions.udf.CIQ(mh_ticker, "IQ_SHARESOUTSTANDING_OUT", B588), "")</f>
        <v/>
      </c>
      <c r="E588" s="11">
        <f>IFERROR(_xll.ciqfunctions.udf.CIQ(mh_ticker, "IQ_CASH_EQUIV", , B588), "")</f>
        <v/>
      </c>
      <c r="F588" s="11">
        <f>IFERROR(_xll.ciqfunctions.udf.CIQ(mh_ticker, "IQ_ST_INVEST", , B588), "")</f>
        <v/>
      </c>
      <c r="G588" s="11">
        <f>IFERROR(_xll.ciqfunctions.udf.CIQ(mh_ticker, "IQ_TOTAL_DEBT_EXCL_OPER_LEASES", , B588), "")</f>
        <v/>
      </c>
      <c r="H588" s="11">
        <f>IFERROR(_xll.ciqfunctions.udf.CIQ(mh_ticker, "IQ_PREF_EQUITY", , B588), "")</f>
        <v/>
      </c>
      <c r="I588" s="11">
        <f>IFERROR(_xll.ciqfunctions.udf.CIQ(mh_ticker, "IQ_MINORITY_INTEREST", , B588), "")</f>
        <v/>
      </c>
      <c r="J588" s="11">
        <f>IFERROR(_xll.ciqfunctions.udf.CIQ(mh_ticker, "IQ_EQUITY_METHOD", , B588), "")</f>
        <v/>
      </c>
      <c r="K588" s="11">
        <f>IFERROR(_xll.ciqfunctions.udf.CIQ(mh_ticker, "IQ_LT_Mark_Securities", , B588), "")</f>
        <v/>
      </c>
      <c r="L588" s="12">
        <f>IFERROR(C588*D588, "")</f>
        <v/>
      </c>
      <c r="M588" s="12">
        <f>IFERROR(L588-E588-F588+G588+H588+I588-J588-K588, "")</f>
        <v/>
      </c>
      <c r="N588" s="11">
        <f>IFERROR(_xll.ciqfunctions.udf.CIQ(mh_ticker, "IQ_EBITDA_EST", IQ_NTM, B588, , , "USD"), "")</f>
        <v/>
      </c>
      <c r="O588" s="13">
        <f>IFERROR(M588/N588, "")</f>
        <v/>
      </c>
    </row>
    <row r="589">
      <c r="B589" s="8" t="n"/>
      <c r="C589" s="9">
        <f>IFERROR(_xll.ciqfunctions.udf.CIQ(mh_ticker, "IQ_LASTSALEPRICE", B589), "")</f>
        <v/>
      </c>
      <c r="D589" s="10">
        <f>IFERROR(_xll.ciqfunctions.udf.CIQ(mh_ticker, "IQ_SHARESOUTSTANDING_OUT", B589), "")</f>
        <v/>
      </c>
      <c r="E589" s="11">
        <f>IFERROR(_xll.ciqfunctions.udf.CIQ(mh_ticker, "IQ_CASH_EQUIV", , B589), "")</f>
        <v/>
      </c>
      <c r="F589" s="11">
        <f>IFERROR(_xll.ciqfunctions.udf.CIQ(mh_ticker, "IQ_ST_INVEST", , B589), "")</f>
        <v/>
      </c>
      <c r="G589" s="11">
        <f>IFERROR(_xll.ciqfunctions.udf.CIQ(mh_ticker, "IQ_TOTAL_DEBT_EXCL_OPER_LEASES", , B589), "")</f>
        <v/>
      </c>
      <c r="H589" s="11">
        <f>IFERROR(_xll.ciqfunctions.udf.CIQ(mh_ticker, "IQ_PREF_EQUITY", , B589), "")</f>
        <v/>
      </c>
      <c r="I589" s="11">
        <f>IFERROR(_xll.ciqfunctions.udf.CIQ(mh_ticker, "IQ_MINORITY_INTEREST", , B589), "")</f>
        <v/>
      </c>
      <c r="J589" s="11">
        <f>IFERROR(_xll.ciqfunctions.udf.CIQ(mh_ticker, "IQ_EQUITY_METHOD", , B589), "")</f>
        <v/>
      </c>
      <c r="K589" s="11">
        <f>IFERROR(_xll.ciqfunctions.udf.CIQ(mh_ticker, "IQ_LT_Mark_Securities", , B589), "")</f>
        <v/>
      </c>
      <c r="L589" s="12">
        <f>IFERROR(C589*D589, "")</f>
        <v/>
      </c>
      <c r="M589" s="12">
        <f>IFERROR(L589-E589-F589+G589+H589+I589-J589-K589, "")</f>
        <v/>
      </c>
      <c r="N589" s="11">
        <f>IFERROR(_xll.ciqfunctions.udf.CIQ(mh_ticker, "IQ_EBITDA_EST", IQ_NTM, B589, , , "USD"), "")</f>
        <v/>
      </c>
      <c r="O589" s="13">
        <f>IFERROR(M589/N589, "")</f>
        <v/>
      </c>
    </row>
    <row r="590">
      <c r="B590" s="8" t="n"/>
      <c r="C590" s="9">
        <f>IFERROR(_xll.ciqfunctions.udf.CIQ(mh_ticker, "IQ_LASTSALEPRICE", B590), "")</f>
        <v/>
      </c>
      <c r="D590" s="10">
        <f>IFERROR(_xll.ciqfunctions.udf.CIQ(mh_ticker, "IQ_SHARESOUTSTANDING_OUT", B590), "")</f>
        <v/>
      </c>
      <c r="E590" s="11">
        <f>IFERROR(_xll.ciqfunctions.udf.CIQ(mh_ticker, "IQ_CASH_EQUIV", , B590), "")</f>
        <v/>
      </c>
      <c r="F590" s="11">
        <f>IFERROR(_xll.ciqfunctions.udf.CIQ(mh_ticker, "IQ_ST_INVEST", , B590), "")</f>
        <v/>
      </c>
      <c r="G590" s="11">
        <f>IFERROR(_xll.ciqfunctions.udf.CIQ(mh_ticker, "IQ_TOTAL_DEBT_EXCL_OPER_LEASES", , B590), "")</f>
        <v/>
      </c>
      <c r="H590" s="11">
        <f>IFERROR(_xll.ciqfunctions.udf.CIQ(mh_ticker, "IQ_PREF_EQUITY", , B590), "")</f>
        <v/>
      </c>
      <c r="I590" s="11">
        <f>IFERROR(_xll.ciqfunctions.udf.CIQ(mh_ticker, "IQ_MINORITY_INTEREST", , B590), "")</f>
        <v/>
      </c>
      <c r="J590" s="11">
        <f>IFERROR(_xll.ciqfunctions.udf.CIQ(mh_ticker, "IQ_EQUITY_METHOD", , B590), "")</f>
        <v/>
      </c>
      <c r="K590" s="11">
        <f>IFERROR(_xll.ciqfunctions.udf.CIQ(mh_ticker, "IQ_LT_Mark_Securities", , B590), "")</f>
        <v/>
      </c>
      <c r="L590" s="12">
        <f>IFERROR(C590*D590, "")</f>
        <v/>
      </c>
      <c r="M590" s="12">
        <f>IFERROR(L590-E590-F590+G590+H590+I590-J590-K590, "")</f>
        <v/>
      </c>
      <c r="N590" s="11">
        <f>IFERROR(_xll.ciqfunctions.udf.CIQ(mh_ticker, "IQ_EBITDA_EST", IQ_NTM, B590, , , "USD"), "")</f>
        <v/>
      </c>
      <c r="O590" s="13">
        <f>IFERROR(M590/N590, "")</f>
        <v/>
      </c>
    </row>
    <row r="591">
      <c r="B591" s="8" t="n"/>
      <c r="C591" s="9">
        <f>IFERROR(_xll.ciqfunctions.udf.CIQ(mh_ticker, "IQ_LASTSALEPRICE", B591), "")</f>
        <v/>
      </c>
      <c r="D591" s="10">
        <f>IFERROR(_xll.ciqfunctions.udf.CIQ(mh_ticker, "IQ_SHARESOUTSTANDING_OUT", B591), "")</f>
        <v/>
      </c>
      <c r="E591" s="11">
        <f>IFERROR(_xll.ciqfunctions.udf.CIQ(mh_ticker, "IQ_CASH_EQUIV", , B591), "")</f>
        <v/>
      </c>
      <c r="F591" s="11">
        <f>IFERROR(_xll.ciqfunctions.udf.CIQ(mh_ticker, "IQ_ST_INVEST", , B591), "")</f>
        <v/>
      </c>
      <c r="G591" s="11">
        <f>IFERROR(_xll.ciqfunctions.udf.CIQ(mh_ticker, "IQ_TOTAL_DEBT_EXCL_OPER_LEASES", , B591), "")</f>
        <v/>
      </c>
      <c r="H591" s="11">
        <f>IFERROR(_xll.ciqfunctions.udf.CIQ(mh_ticker, "IQ_PREF_EQUITY", , B591), "")</f>
        <v/>
      </c>
      <c r="I591" s="11">
        <f>IFERROR(_xll.ciqfunctions.udf.CIQ(mh_ticker, "IQ_MINORITY_INTEREST", , B591), "")</f>
        <v/>
      </c>
      <c r="J591" s="11">
        <f>IFERROR(_xll.ciqfunctions.udf.CIQ(mh_ticker, "IQ_EQUITY_METHOD", , B591), "")</f>
        <v/>
      </c>
      <c r="K591" s="11">
        <f>IFERROR(_xll.ciqfunctions.udf.CIQ(mh_ticker, "IQ_LT_Mark_Securities", , B591), "")</f>
        <v/>
      </c>
      <c r="L591" s="12">
        <f>IFERROR(C591*D591, "")</f>
        <v/>
      </c>
      <c r="M591" s="12">
        <f>IFERROR(L591-E591-F591+G591+H591+I591-J591-K591, "")</f>
        <v/>
      </c>
      <c r="N591" s="11">
        <f>IFERROR(_xll.ciqfunctions.udf.CIQ(mh_ticker, "IQ_EBITDA_EST", IQ_NTM, B591, , , "USD"), "")</f>
        <v/>
      </c>
      <c r="O591" s="13">
        <f>IFERROR(M591/N591, "")</f>
        <v/>
      </c>
    </row>
    <row r="592">
      <c r="B592" s="8" t="n"/>
      <c r="C592" s="9">
        <f>IFERROR(_xll.ciqfunctions.udf.CIQ(mh_ticker, "IQ_LASTSALEPRICE", B592), "")</f>
        <v/>
      </c>
      <c r="D592" s="10">
        <f>IFERROR(_xll.ciqfunctions.udf.CIQ(mh_ticker, "IQ_SHARESOUTSTANDING_OUT", B592), "")</f>
        <v/>
      </c>
      <c r="E592" s="11">
        <f>IFERROR(_xll.ciqfunctions.udf.CIQ(mh_ticker, "IQ_CASH_EQUIV", , B592), "")</f>
        <v/>
      </c>
      <c r="F592" s="11">
        <f>IFERROR(_xll.ciqfunctions.udf.CIQ(mh_ticker, "IQ_ST_INVEST", , B592), "")</f>
        <v/>
      </c>
      <c r="G592" s="11">
        <f>IFERROR(_xll.ciqfunctions.udf.CIQ(mh_ticker, "IQ_TOTAL_DEBT_EXCL_OPER_LEASES", , B592), "")</f>
        <v/>
      </c>
      <c r="H592" s="11">
        <f>IFERROR(_xll.ciqfunctions.udf.CIQ(mh_ticker, "IQ_PREF_EQUITY", , B592), "")</f>
        <v/>
      </c>
      <c r="I592" s="11">
        <f>IFERROR(_xll.ciqfunctions.udf.CIQ(mh_ticker, "IQ_MINORITY_INTEREST", , B592), "")</f>
        <v/>
      </c>
      <c r="J592" s="11">
        <f>IFERROR(_xll.ciqfunctions.udf.CIQ(mh_ticker, "IQ_EQUITY_METHOD", , B592), "")</f>
        <v/>
      </c>
      <c r="K592" s="11">
        <f>IFERROR(_xll.ciqfunctions.udf.CIQ(mh_ticker, "IQ_LT_Mark_Securities", , B592), "")</f>
        <v/>
      </c>
      <c r="L592" s="12">
        <f>IFERROR(C592*D592, "")</f>
        <v/>
      </c>
      <c r="M592" s="12">
        <f>IFERROR(L592-E592-F592+G592+H592+I592-J592-K592, "")</f>
        <v/>
      </c>
      <c r="N592" s="11">
        <f>IFERROR(_xll.ciqfunctions.udf.CIQ(mh_ticker, "IQ_EBITDA_EST", IQ_NTM, B592, , , "USD"), "")</f>
        <v/>
      </c>
      <c r="O592" s="13">
        <f>IFERROR(M592/N592, "")</f>
        <v/>
      </c>
    </row>
    <row r="593">
      <c r="B593" s="8" t="n"/>
      <c r="C593" s="9">
        <f>IFERROR(_xll.ciqfunctions.udf.CIQ(mh_ticker, "IQ_LASTSALEPRICE", B593), "")</f>
        <v/>
      </c>
      <c r="D593" s="10">
        <f>IFERROR(_xll.ciqfunctions.udf.CIQ(mh_ticker, "IQ_SHARESOUTSTANDING_OUT", B593), "")</f>
        <v/>
      </c>
      <c r="E593" s="11">
        <f>IFERROR(_xll.ciqfunctions.udf.CIQ(mh_ticker, "IQ_CASH_EQUIV", , B593), "")</f>
        <v/>
      </c>
      <c r="F593" s="11">
        <f>IFERROR(_xll.ciqfunctions.udf.CIQ(mh_ticker, "IQ_ST_INVEST", , B593), "")</f>
        <v/>
      </c>
      <c r="G593" s="11">
        <f>IFERROR(_xll.ciqfunctions.udf.CIQ(mh_ticker, "IQ_TOTAL_DEBT_EXCL_OPER_LEASES", , B593), "")</f>
        <v/>
      </c>
      <c r="H593" s="11">
        <f>IFERROR(_xll.ciqfunctions.udf.CIQ(mh_ticker, "IQ_PREF_EQUITY", , B593), "")</f>
        <v/>
      </c>
      <c r="I593" s="11">
        <f>IFERROR(_xll.ciqfunctions.udf.CIQ(mh_ticker, "IQ_MINORITY_INTEREST", , B593), "")</f>
        <v/>
      </c>
      <c r="J593" s="11">
        <f>IFERROR(_xll.ciqfunctions.udf.CIQ(mh_ticker, "IQ_EQUITY_METHOD", , B593), "")</f>
        <v/>
      </c>
      <c r="K593" s="11">
        <f>IFERROR(_xll.ciqfunctions.udf.CIQ(mh_ticker, "IQ_LT_Mark_Securities", , B593), "")</f>
        <v/>
      </c>
      <c r="L593" s="12">
        <f>IFERROR(C593*D593, "")</f>
        <v/>
      </c>
      <c r="M593" s="12">
        <f>IFERROR(L593-E593-F593+G593+H593+I593-J593-K593, "")</f>
        <v/>
      </c>
      <c r="N593" s="11">
        <f>IFERROR(_xll.ciqfunctions.udf.CIQ(mh_ticker, "IQ_EBITDA_EST", IQ_NTM, B593, , , "USD"), "")</f>
        <v/>
      </c>
      <c r="O593" s="13">
        <f>IFERROR(M593/N593, "")</f>
        <v/>
      </c>
    </row>
    <row r="594">
      <c r="B594" s="8" t="n"/>
      <c r="C594" s="9">
        <f>IFERROR(_xll.ciqfunctions.udf.CIQ(mh_ticker, "IQ_LASTSALEPRICE", B594), "")</f>
        <v/>
      </c>
      <c r="D594" s="10">
        <f>IFERROR(_xll.ciqfunctions.udf.CIQ(mh_ticker, "IQ_SHARESOUTSTANDING_OUT", B594), "")</f>
        <v/>
      </c>
      <c r="E594" s="11">
        <f>IFERROR(_xll.ciqfunctions.udf.CIQ(mh_ticker, "IQ_CASH_EQUIV", , B594), "")</f>
        <v/>
      </c>
      <c r="F594" s="11">
        <f>IFERROR(_xll.ciqfunctions.udf.CIQ(mh_ticker, "IQ_ST_INVEST", , B594), "")</f>
        <v/>
      </c>
      <c r="G594" s="11">
        <f>IFERROR(_xll.ciqfunctions.udf.CIQ(mh_ticker, "IQ_TOTAL_DEBT_EXCL_OPER_LEASES", , B594), "")</f>
        <v/>
      </c>
      <c r="H594" s="11">
        <f>IFERROR(_xll.ciqfunctions.udf.CIQ(mh_ticker, "IQ_PREF_EQUITY", , B594), "")</f>
        <v/>
      </c>
      <c r="I594" s="11">
        <f>IFERROR(_xll.ciqfunctions.udf.CIQ(mh_ticker, "IQ_MINORITY_INTEREST", , B594), "")</f>
        <v/>
      </c>
      <c r="J594" s="11">
        <f>IFERROR(_xll.ciqfunctions.udf.CIQ(mh_ticker, "IQ_EQUITY_METHOD", , B594), "")</f>
        <v/>
      </c>
      <c r="K594" s="11">
        <f>IFERROR(_xll.ciqfunctions.udf.CIQ(mh_ticker, "IQ_LT_Mark_Securities", , B594), "")</f>
        <v/>
      </c>
      <c r="L594" s="12">
        <f>IFERROR(C594*D594, "")</f>
        <v/>
      </c>
      <c r="M594" s="12">
        <f>IFERROR(L594-E594-F594+G594+H594+I594-J594-K594, "")</f>
        <v/>
      </c>
      <c r="N594" s="11">
        <f>IFERROR(_xll.ciqfunctions.udf.CIQ(mh_ticker, "IQ_EBITDA_EST", IQ_NTM, B594, , , "USD"), "")</f>
        <v/>
      </c>
      <c r="O594" s="13">
        <f>IFERROR(M594/N594, "")</f>
        <v/>
      </c>
    </row>
    <row r="595">
      <c r="B595" s="8" t="n"/>
      <c r="C595" s="9">
        <f>IFERROR(_xll.ciqfunctions.udf.CIQ(mh_ticker, "IQ_LASTSALEPRICE", B595), "")</f>
        <v/>
      </c>
      <c r="D595" s="10">
        <f>IFERROR(_xll.ciqfunctions.udf.CIQ(mh_ticker, "IQ_SHARESOUTSTANDING_OUT", B595), "")</f>
        <v/>
      </c>
      <c r="E595" s="11">
        <f>IFERROR(_xll.ciqfunctions.udf.CIQ(mh_ticker, "IQ_CASH_EQUIV", , B595), "")</f>
        <v/>
      </c>
      <c r="F595" s="11">
        <f>IFERROR(_xll.ciqfunctions.udf.CIQ(mh_ticker, "IQ_ST_INVEST", , B595), "")</f>
        <v/>
      </c>
      <c r="G595" s="11">
        <f>IFERROR(_xll.ciqfunctions.udf.CIQ(mh_ticker, "IQ_TOTAL_DEBT_EXCL_OPER_LEASES", , B595), "")</f>
        <v/>
      </c>
      <c r="H595" s="11">
        <f>IFERROR(_xll.ciqfunctions.udf.CIQ(mh_ticker, "IQ_PREF_EQUITY", , B595), "")</f>
        <v/>
      </c>
      <c r="I595" s="11">
        <f>IFERROR(_xll.ciqfunctions.udf.CIQ(mh_ticker, "IQ_MINORITY_INTEREST", , B595), "")</f>
        <v/>
      </c>
      <c r="J595" s="11">
        <f>IFERROR(_xll.ciqfunctions.udf.CIQ(mh_ticker, "IQ_EQUITY_METHOD", , B595), "")</f>
        <v/>
      </c>
      <c r="K595" s="11">
        <f>IFERROR(_xll.ciqfunctions.udf.CIQ(mh_ticker, "IQ_LT_Mark_Securities", , B595), "")</f>
        <v/>
      </c>
      <c r="L595" s="12">
        <f>IFERROR(C595*D595, "")</f>
        <v/>
      </c>
      <c r="M595" s="12">
        <f>IFERROR(L595-E595-F595+G595+H595+I595-J595-K595, "")</f>
        <v/>
      </c>
      <c r="N595" s="11">
        <f>IFERROR(_xll.ciqfunctions.udf.CIQ(mh_ticker, "IQ_EBITDA_EST", IQ_NTM, B595, , , "USD"), "")</f>
        <v/>
      </c>
      <c r="O595" s="13">
        <f>IFERROR(M595/N595, "")</f>
        <v/>
      </c>
    </row>
    <row r="596">
      <c r="B596" s="8" t="n"/>
      <c r="C596" s="9">
        <f>IFERROR(_xll.ciqfunctions.udf.CIQ(mh_ticker, "IQ_LASTSALEPRICE", B596), "")</f>
        <v/>
      </c>
      <c r="D596" s="10">
        <f>IFERROR(_xll.ciqfunctions.udf.CIQ(mh_ticker, "IQ_SHARESOUTSTANDING_OUT", B596), "")</f>
        <v/>
      </c>
      <c r="E596" s="11">
        <f>IFERROR(_xll.ciqfunctions.udf.CIQ(mh_ticker, "IQ_CASH_EQUIV", , B596), "")</f>
        <v/>
      </c>
      <c r="F596" s="11">
        <f>IFERROR(_xll.ciqfunctions.udf.CIQ(mh_ticker, "IQ_ST_INVEST", , B596), "")</f>
        <v/>
      </c>
      <c r="G596" s="11">
        <f>IFERROR(_xll.ciqfunctions.udf.CIQ(mh_ticker, "IQ_TOTAL_DEBT_EXCL_OPER_LEASES", , B596), "")</f>
        <v/>
      </c>
      <c r="H596" s="11">
        <f>IFERROR(_xll.ciqfunctions.udf.CIQ(mh_ticker, "IQ_PREF_EQUITY", , B596), "")</f>
        <v/>
      </c>
      <c r="I596" s="11">
        <f>IFERROR(_xll.ciqfunctions.udf.CIQ(mh_ticker, "IQ_MINORITY_INTEREST", , B596), "")</f>
        <v/>
      </c>
      <c r="J596" s="11">
        <f>IFERROR(_xll.ciqfunctions.udf.CIQ(mh_ticker, "IQ_EQUITY_METHOD", , B596), "")</f>
        <v/>
      </c>
      <c r="K596" s="11">
        <f>IFERROR(_xll.ciqfunctions.udf.CIQ(mh_ticker, "IQ_LT_Mark_Securities", , B596), "")</f>
        <v/>
      </c>
      <c r="L596" s="12">
        <f>IFERROR(C596*D596, "")</f>
        <v/>
      </c>
      <c r="M596" s="12">
        <f>IFERROR(L596-E596-F596+G596+H596+I596-J596-K596, "")</f>
        <v/>
      </c>
      <c r="N596" s="11">
        <f>IFERROR(_xll.ciqfunctions.udf.CIQ(mh_ticker, "IQ_EBITDA_EST", IQ_NTM, B596, , , "USD"), "")</f>
        <v/>
      </c>
      <c r="O596" s="13">
        <f>IFERROR(M596/N596, "")</f>
        <v/>
      </c>
    </row>
    <row r="597">
      <c r="B597" s="8" t="n"/>
      <c r="C597" s="9">
        <f>IFERROR(_xll.ciqfunctions.udf.CIQ(mh_ticker, "IQ_LASTSALEPRICE", B597), "")</f>
        <v/>
      </c>
      <c r="D597" s="10">
        <f>IFERROR(_xll.ciqfunctions.udf.CIQ(mh_ticker, "IQ_SHARESOUTSTANDING_OUT", B597), "")</f>
        <v/>
      </c>
      <c r="E597" s="11">
        <f>IFERROR(_xll.ciqfunctions.udf.CIQ(mh_ticker, "IQ_CASH_EQUIV", , B597), "")</f>
        <v/>
      </c>
      <c r="F597" s="11">
        <f>IFERROR(_xll.ciqfunctions.udf.CIQ(mh_ticker, "IQ_ST_INVEST", , B597), "")</f>
        <v/>
      </c>
      <c r="G597" s="11">
        <f>IFERROR(_xll.ciqfunctions.udf.CIQ(mh_ticker, "IQ_TOTAL_DEBT_EXCL_OPER_LEASES", , B597), "")</f>
        <v/>
      </c>
      <c r="H597" s="11">
        <f>IFERROR(_xll.ciqfunctions.udf.CIQ(mh_ticker, "IQ_PREF_EQUITY", , B597), "")</f>
        <v/>
      </c>
      <c r="I597" s="11">
        <f>IFERROR(_xll.ciqfunctions.udf.CIQ(mh_ticker, "IQ_MINORITY_INTEREST", , B597), "")</f>
        <v/>
      </c>
      <c r="J597" s="11">
        <f>IFERROR(_xll.ciqfunctions.udf.CIQ(mh_ticker, "IQ_EQUITY_METHOD", , B597), "")</f>
        <v/>
      </c>
      <c r="K597" s="11">
        <f>IFERROR(_xll.ciqfunctions.udf.CIQ(mh_ticker, "IQ_LT_Mark_Securities", , B597), "")</f>
        <v/>
      </c>
      <c r="L597" s="12">
        <f>IFERROR(C597*D597, "")</f>
        <v/>
      </c>
      <c r="M597" s="12">
        <f>IFERROR(L597-E597-F597+G597+H597+I597-J597-K597, "")</f>
        <v/>
      </c>
      <c r="N597" s="11">
        <f>IFERROR(_xll.ciqfunctions.udf.CIQ(mh_ticker, "IQ_EBITDA_EST", IQ_NTM, B597, , , "USD"), "")</f>
        <v/>
      </c>
      <c r="O597" s="13">
        <f>IFERROR(M597/N597, "")</f>
        <v/>
      </c>
    </row>
    <row r="598">
      <c r="B598" s="8" t="n"/>
      <c r="C598" s="9">
        <f>IFERROR(_xll.ciqfunctions.udf.CIQ(mh_ticker, "IQ_LASTSALEPRICE", B598), "")</f>
        <v/>
      </c>
      <c r="D598" s="10">
        <f>IFERROR(_xll.ciqfunctions.udf.CIQ(mh_ticker, "IQ_SHARESOUTSTANDING_OUT", B598), "")</f>
        <v/>
      </c>
      <c r="E598" s="11">
        <f>IFERROR(_xll.ciqfunctions.udf.CIQ(mh_ticker, "IQ_CASH_EQUIV", , B598), "")</f>
        <v/>
      </c>
      <c r="F598" s="11">
        <f>IFERROR(_xll.ciqfunctions.udf.CIQ(mh_ticker, "IQ_ST_INVEST", , B598), "")</f>
        <v/>
      </c>
      <c r="G598" s="11">
        <f>IFERROR(_xll.ciqfunctions.udf.CIQ(mh_ticker, "IQ_TOTAL_DEBT_EXCL_OPER_LEASES", , B598), "")</f>
        <v/>
      </c>
      <c r="H598" s="11">
        <f>IFERROR(_xll.ciqfunctions.udf.CIQ(mh_ticker, "IQ_PREF_EQUITY", , B598), "")</f>
        <v/>
      </c>
      <c r="I598" s="11">
        <f>IFERROR(_xll.ciqfunctions.udf.CIQ(mh_ticker, "IQ_MINORITY_INTEREST", , B598), "")</f>
        <v/>
      </c>
      <c r="J598" s="11">
        <f>IFERROR(_xll.ciqfunctions.udf.CIQ(mh_ticker, "IQ_EQUITY_METHOD", , B598), "")</f>
        <v/>
      </c>
      <c r="K598" s="11">
        <f>IFERROR(_xll.ciqfunctions.udf.CIQ(mh_ticker, "IQ_LT_Mark_Securities", , B598), "")</f>
        <v/>
      </c>
      <c r="L598" s="12">
        <f>IFERROR(C598*D598, "")</f>
        <v/>
      </c>
      <c r="M598" s="12">
        <f>IFERROR(L598-E598-F598+G598+H598+I598-J598-K598, "")</f>
        <v/>
      </c>
      <c r="N598" s="11">
        <f>IFERROR(_xll.ciqfunctions.udf.CIQ(mh_ticker, "IQ_EBITDA_EST", IQ_NTM, B598, , , "USD"), "")</f>
        <v/>
      </c>
      <c r="O598" s="13">
        <f>IFERROR(M598/N598, "")</f>
        <v/>
      </c>
    </row>
    <row r="599">
      <c r="B599" s="8" t="n"/>
      <c r="C599" s="9">
        <f>IFERROR(_xll.ciqfunctions.udf.CIQ(mh_ticker, "IQ_LASTSALEPRICE", B599), "")</f>
        <v/>
      </c>
      <c r="D599" s="10">
        <f>IFERROR(_xll.ciqfunctions.udf.CIQ(mh_ticker, "IQ_SHARESOUTSTANDING_OUT", B599), "")</f>
        <v/>
      </c>
      <c r="E599" s="11">
        <f>IFERROR(_xll.ciqfunctions.udf.CIQ(mh_ticker, "IQ_CASH_EQUIV", , B599), "")</f>
        <v/>
      </c>
      <c r="F599" s="11">
        <f>IFERROR(_xll.ciqfunctions.udf.CIQ(mh_ticker, "IQ_ST_INVEST", , B599), "")</f>
        <v/>
      </c>
      <c r="G599" s="11">
        <f>IFERROR(_xll.ciqfunctions.udf.CIQ(mh_ticker, "IQ_TOTAL_DEBT_EXCL_OPER_LEASES", , B599), "")</f>
        <v/>
      </c>
      <c r="H599" s="11">
        <f>IFERROR(_xll.ciqfunctions.udf.CIQ(mh_ticker, "IQ_PREF_EQUITY", , B599), "")</f>
        <v/>
      </c>
      <c r="I599" s="11">
        <f>IFERROR(_xll.ciqfunctions.udf.CIQ(mh_ticker, "IQ_MINORITY_INTEREST", , B599), "")</f>
        <v/>
      </c>
      <c r="J599" s="11">
        <f>IFERROR(_xll.ciqfunctions.udf.CIQ(mh_ticker, "IQ_EQUITY_METHOD", , B599), "")</f>
        <v/>
      </c>
      <c r="K599" s="11">
        <f>IFERROR(_xll.ciqfunctions.udf.CIQ(mh_ticker, "IQ_LT_Mark_Securities", , B599), "")</f>
        <v/>
      </c>
      <c r="L599" s="12">
        <f>IFERROR(C599*D599, "")</f>
        <v/>
      </c>
      <c r="M599" s="12">
        <f>IFERROR(L599-E599-F599+G599+H599+I599-J599-K599, "")</f>
        <v/>
      </c>
      <c r="N599" s="11">
        <f>IFERROR(_xll.ciqfunctions.udf.CIQ(mh_ticker, "IQ_EBITDA_EST", IQ_NTM, B599, , , "USD"), "")</f>
        <v/>
      </c>
      <c r="O599" s="13">
        <f>IFERROR(M599/N599, "")</f>
        <v/>
      </c>
    </row>
    <row r="600">
      <c r="B600" s="8" t="n"/>
      <c r="C600" s="9">
        <f>IFERROR(_xll.ciqfunctions.udf.CIQ(mh_ticker, "IQ_LASTSALEPRICE", B600), "")</f>
        <v/>
      </c>
      <c r="D600" s="10">
        <f>IFERROR(_xll.ciqfunctions.udf.CIQ(mh_ticker, "IQ_SHARESOUTSTANDING_OUT", B600), "")</f>
        <v/>
      </c>
      <c r="E600" s="11">
        <f>IFERROR(_xll.ciqfunctions.udf.CIQ(mh_ticker, "IQ_CASH_EQUIV", , B600), "")</f>
        <v/>
      </c>
      <c r="F600" s="11">
        <f>IFERROR(_xll.ciqfunctions.udf.CIQ(mh_ticker, "IQ_ST_INVEST", , B600), "")</f>
        <v/>
      </c>
      <c r="G600" s="11">
        <f>IFERROR(_xll.ciqfunctions.udf.CIQ(mh_ticker, "IQ_TOTAL_DEBT_EXCL_OPER_LEASES", , B600), "")</f>
        <v/>
      </c>
      <c r="H600" s="11">
        <f>IFERROR(_xll.ciqfunctions.udf.CIQ(mh_ticker, "IQ_PREF_EQUITY", , B600), "")</f>
        <v/>
      </c>
      <c r="I600" s="11">
        <f>IFERROR(_xll.ciqfunctions.udf.CIQ(mh_ticker, "IQ_MINORITY_INTEREST", , B600), "")</f>
        <v/>
      </c>
      <c r="J600" s="11">
        <f>IFERROR(_xll.ciqfunctions.udf.CIQ(mh_ticker, "IQ_EQUITY_METHOD", , B600), "")</f>
        <v/>
      </c>
      <c r="K600" s="11">
        <f>IFERROR(_xll.ciqfunctions.udf.CIQ(mh_ticker, "IQ_LT_Mark_Securities", , B600), "")</f>
        <v/>
      </c>
      <c r="L600" s="12">
        <f>IFERROR(C600*D600, "")</f>
        <v/>
      </c>
      <c r="M600" s="12">
        <f>IFERROR(L600-E600-F600+G600+H600+I600-J600-K600, "")</f>
        <v/>
      </c>
      <c r="N600" s="11">
        <f>IFERROR(_xll.ciqfunctions.udf.CIQ(mh_ticker, "IQ_EBITDA_EST", IQ_NTM, B600, , , "USD"), "")</f>
        <v/>
      </c>
      <c r="O600" s="13">
        <f>IFERROR(M600/N600, "")</f>
        <v/>
      </c>
    </row>
    <row r="601">
      <c r="B601" s="8" t="n"/>
      <c r="C601" s="9">
        <f>IFERROR(_xll.ciqfunctions.udf.CIQ(mh_ticker, "IQ_LASTSALEPRICE", B601), "")</f>
        <v/>
      </c>
      <c r="D601" s="10">
        <f>IFERROR(_xll.ciqfunctions.udf.CIQ(mh_ticker, "IQ_SHARESOUTSTANDING_OUT", B601), "")</f>
        <v/>
      </c>
      <c r="E601" s="11">
        <f>IFERROR(_xll.ciqfunctions.udf.CIQ(mh_ticker, "IQ_CASH_EQUIV", , B601), "")</f>
        <v/>
      </c>
      <c r="F601" s="11">
        <f>IFERROR(_xll.ciqfunctions.udf.CIQ(mh_ticker, "IQ_ST_INVEST", , B601), "")</f>
        <v/>
      </c>
      <c r="G601" s="11">
        <f>IFERROR(_xll.ciqfunctions.udf.CIQ(mh_ticker, "IQ_TOTAL_DEBT_EXCL_OPER_LEASES", , B601), "")</f>
        <v/>
      </c>
      <c r="H601" s="11">
        <f>IFERROR(_xll.ciqfunctions.udf.CIQ(mh_ticker, "IQ_PREF_EQUITY", , B601), "")</f>
        <v/>
      </c>
      <c r="I601" s="11">
        <f>IFERROR(_xll.ciqfunctions.udf.CIQ(mh_ticker, "IQ_MINORITY_INTEREST", , B601), "")</f>
        <v/>
      </c>
      <c r="J601" s="11">
        <f>IFERROR(_xll.ciqfunctions.udf.CIQ(mh_ticker, "IQ_EQUITY_METHOD", , B601), "")</f>
        <v/>
      </c>
      <c r="K601" s="11">
        <f>IFERROR(_xll.ciqfunctions.udf.CIQ(mh_ticker, "IQ_LT_Mark_Securities", , B601), "")</f>
        <v/>
      </c>
      <c r="L601" s="12">
        <f>IFERROR(C601*D601, "")</f>
        <v/>
      </c>
      <c r="M601" s="12">
        <f>IFERROR(L601-E601-F601+G601+H601+I601-J601-K601, "")</f>
        <v/>
      </c>
      <c r="N601" s="11">
        <f>IFERROR(_xll.ciqfunctions.udf.CIQ(mh_ticker, "IQ_EBITDA_EST", IQ_NTM, B601, , , "USD"), "")</f>
        <v/>
      </c>
      <c r="O601" s="13">
        <f>IFERROR(M601/N601, "")</f>
        <v/>
      </c>
    </row>
    <row r="602">
      <c r="B602" s="8" t="n"/>
      <c r="C602" s="9">
        <f>IFERROR(_xll.ciqfunctions.udf.CIQ(mh_ticker, "IQ_LASTSALEPRICE", B602), "")</f>
        <v/>
      </c>
      <c r="D602" s="10">
        <f>IFERROR(_xll.ciqfunctions.udf.CIQ(mh_ticker, "IQ_SHARESOUTSTANDING_OUT", B602), "")</f>
        <v/>
      </c>
      <c r="E602" s="11">
        <f>IFERROR(_xll.ciqfunctions.udf.CIQ(mh_ticker, "IQ_CASH_EQUIV", , B602), "")</f>
        <v/>
      </c>
      <c r="F602" s="11">
        <f>IFERROR(_xll.ciqfunctions.udf.CIQ(mh_ticker, "IQ_ST_INVEST", , B602), "")</f>
        <v/>
      </c>
      <c r="G602" s="11">
        <f>IFERROR(_xll.ciqfunctions.udf.CIQ(mh_ticker, "IQ_TOTAL_DEBT_EXCL_OPER_LEASES", , B602), "")</f>
        <v/>
      </c>
      <c r="H602" s="11">
        <f>IFERROR(_xll.ciqfunctions.udf.CIQ(mh_ticker, "IQ_PREF_EQUITY", , B602), "")</f>
        <v/>
      </c>
      <c r="I602" s="11">
        <f>IFERROR(_xll.ciqfunctions.udf.CIQ(mh_ticker, "IQ_MINORITY_INTEREST", , B602), "")</f>
        <v/>
      </c>
      <c r="J602" s="11">
        <f>IFERROR(_xll.ciqfunctions.udf.CIQ(mh_ticker, "IQ_EQUITY_METHOD", , B602), "")</f>
        <v/>
      </c>
      <c r="K602" s="11">
        <f>IFERROR(_xll.ciqfunctions.udf.CIQ(mh_ticker, "IQ_LT_Mark_Securities", , B602), "")</f>
        <v/>
      </c>
      <c r="L602" s="12">
        <f>IFERROR(C602*D602, "")</f>
        <v/>
      </c>
      <c r="M602" s="12">
        <f>IFERROR(L602-E602-F602+G602+H602+I602-J602-K602, "")</f>
        <v/>
      </c>
      <c r="N602" s="11">
        <f>IFERROR(_xll.ciqfunctions.udf.CIQ(mh_ticker, "IQ_EBITDA_EST", IQ_NTM, B602, , , "USD"), "")</f>
        <v/>
      </c>
      <c r="O602" s="13">
        <f>IFERROR(M602/N602, "")</f>
        <v/>
      </c>
    </row>
    <row r="603">
      <c r="B603" s="8" t="n"/>
      <c r="C603" s="9">
        <f>IFERROR(_xll.ciqfunctions.udf.CIQ(mh_ticker, "IQ_LASTSALEPRICE", B603), "")</f>
        <v/>
      </c>
      <c r="D603" s="10">
        <f>IFERROR(_xll.ciqfunctions.udf.CIQ(mh_ticker, "IQ_SHARESOUTSTANDING_OUT", B603), "")</f>
        <v/>
      </c>
      <c r="E603" s="11">
        <f>IFERROR(_xll.ciqfunctions.udf.CIQ(mh_ticker, "IQ_CASH_EQUIV", , B603), "")</f>
        <v/>
      </c>
      <c r="F603" s="11">
        <f>IFERROR(_xll.ciqfunctions.udf.CIQ(mh_ticker, "IQ_ST_INVEST", , B603), "")</f>
        <v/>
      </c>
      <c r="G603" s="11">
        <f>IFERROR(_xll.ciqfunctions.udf.CIQ(mh_ticker, "IQ_TOTAL_DEBT_EXCL_OPER_LEASES", , B603), "")</f>
        <v/>
      </c>
      <c r="H603" s="11">
        <f>IFERROR(_xll.ciqfunctions.udf.CIQ(mh_ticker, "IQ_PREF_EQUITY", , B603), "")</f>
        <v/>
      </c>
      <c r="I603" s="11">
        <f>IFERROR(_xll.ciqfunctions.udf.CIQ(mh_ticker, "IQ_MINORITY_INTEREST", , B603), "")</f>
        <v/>
      </c>
      <c r="J603" s="11">
        <f>IFERROR(_xll.ciqfunctions.udf.CIQ(mh_ticker, "IQ_EQUITY_METHOD", , B603), "")</f>
        <v/>
      </c>
      <c r="K603" s="11">
        <f>IFERROR(_xll.ciqfunctions.udf.CIQ(mh_ticker, "IQ_LT_Mark_Securities", , B603), "")</f>
        <v/>
      </c>
      <c r="L603" s="12">
        <f>IFERROR(C603*D603, "")</f>
        <v/>
      </c>
      <c r="M603" s="12">
        <f>IFERROR(L603-E603-F603+G603+H603+I603-J603-K603, "")</f>
        <v/>
      </c>
      <c r="N603" s="11">
        <f>IFERROR(_xll.ciqfunctions.udf.CIQ(mh_ticker, "IQ_EBITDA_EST", IQ_NTM, B603, , , "USD"), "")</f>
        <v/>
      </c>
      <c r="O603" s="13">
        <f>IFERROR(M603/N603, "")</f>
        <v/>
      </c>
    </row>
    <row r="604">
      <c r="B604" s="8" t="n"/>
      <c r="C604" s="9">
        <f>IFERROR(_xll.ciqfunctions.udf.CIQ(mh_ticker, "IQ_LASTSALEPRICE", B604), "")</f>
        <v/>
      </c>
      <c r="D604" s="10">
        <f>IFERROR(_xll.ciqfunctions.udf.CIQ(mh_ticker, "IQ_SHARESOUTSTANDING_OUT", B604), "")</f>
        <v/>
      </c>
      <c r="E604" s="11">
        <f>IFERROR(_xll.ciqfunctions.udf.CIQ(mh_ticker, "IQ_CASH_EQUIV", , B604), "")</f>
        <v/>
      </c>
      <c r="F604" s="11">
        <f>IFERROR(_xll.ciqfunctions.udf.CIQ(mh_ticker, "IQ_ST_INVEST", , B604), "")</f>
        <v/>
      </c>
      <c r="G604" s="11">
        <f>IFERROR(_xll.ciqfunctions.udf.CIQ(mh_ticker, "IQ_TOTAL_DEBT_EXCL_OPER_LEASES", , B604), "")</f>
        <v/>
      </c>
      <c r="H604" s="11">
        <f>IFERROR(_xll.ciqfunctions.udf.CIQ(mh_ticker, "IQ_PREF_EQUITY", , B604), "")</f>
        <v/>
      </c>
      <c r="I604" s="11">
        <f>IFERROR(_xll.ciqfunctions.udf.CIQ(mh_ticker, "IQ_MINORITY_INTEREST", , B604), "")</f>
        <v/>
      </c>
      <c r="J604" s="11">
        <f>IFERROR(_xll.ciqfunctions.udf.CIQ(mh_ticker, "IQ_EQUITY_METHOD", , B604), "")</f>
        <v/>
      </c>
      <c r="K604" s="11">
        <f>IFERROR(_xll.ciqfunctions.udf.CIQ(mh_ticker, "IQ_LT_Mark_Securities", , B604), "")</f>
        <v/>
      </c>
      <c r="L604" s="12">
        <f>IFERROR(C604*D604, "")</f>
        <v/>
      </c>
      <c r="M604" s="12">
        <f>IFERROR(L604-E604-F604+G604+H604+I604-J604-K604, "")</f>
        <v/>
      </c>
      <c r="N604" s="11">
        <f>IFERROR(_xll.ciqfunctions.udf.CIQ(mh_ticker, "IQ_EBITDA_EST", IQ_NTM, B604, , , "USD"), "")</f>
        <v/>
      </c>
      <c r="O604" s="13">
        <f>IFERROR(M604/N604, "")</f>
        <v/>
      </c>
    </row>
    <row r="605">
      <c r="B605" s="8" t="n"/>
      <c r="C605" s="9">
        <f>IFERROR(_xll.ciqfunctions.udf.CIQ(mh_ticker, "IQ_LASTSALEPRICE", B605), "")</f>
        <v/>
      </c>
      <c r="D605" s="10">
        <f>IFERROR(_xll.ciqfunctions.udf.CIQ(mh_ticker, "IQ_SHARESOUTSTANDING_OUT", B605), "")</f>
        <v/>
      </c>
      <c r="E605" s="11">
        <f>IFERROR(_xll.ciqfunctions.udf.CIQ(mh_ticker, "IQ_CASH_EQUIV", , B605), "")</f>
        <v/>
      </c>
      <c r="F605" s="11">
        <f>IFERROR(_xll.ciqfunctions.udf.CIQ(mh_ticker, "IQ_ST_INVEST", , B605), "")</f>
        <v/>
      </c>
      <c r="G605" s="11">
        <f>IFERROR(_xll.ciqfunctions.udf.CIQ(mh_ticker, "IQ_TOTAL_DEBT_EXCL_OPER_LEASES", , B605), "")</f>
        <v/>
      </c>
      <c r="H605" s="11">
        <f>IFERROR(_xll.ciqfunctions.udf.CIQ(mh_ticker, "IQ_PREF_EQUITY", , B605), "")</f>
        <v/>
      </c>
      <c r="I605" s="11">
        <f>IFERROR(_xll.ciqfunctions.udf.CIQ(mh_ticker, "IQ_MINORITY_INTEREST", , B605), "")</f>
        <v/>
      </c>
      <c r="J605" s="11">
        <f>IFERROR(_xll.ciqfunctions.udf.CIQ(mh_ticker, "IQ_EQUITY_METHOD", , B605), "")</f>
        <v/>
      </c>
      <c r="K605" s="11">
        <f>IFERROR(_xll.ciqfunctions.udf.CIQ(mh_ticker, "IQ_LT_Mark_Securities", , B605), "")</f>
        <v/>
      </c>
      <c r="L605" s="12">
        <f>IFERROR(C605*D605, "")</f>
        <v/>
      </c>
      <c r="M605" s="12">
        <f>IFERROR(L605-E605-F605+G605+H605+I605-J605-K605, "")</f>
        <v/>
      </c>
      <c r="N605" s="11">
        <f>IFERROR(_xll.ciqfunctions.udf.CIQ(mh_ticker, "IQ_EBITDA_EST", IQ_NTM, B605, , , "USD"), "")</f>
        <v/>
      </c>
      <c r="O605" s="13">
        <f>IFERROR(M605/N605, "")</f>
        <v/>
      </c>
    </row>
    <row r="606">
      <c r="B606" s="8" t="n"/>
      <c r="C606" s="9">
        <f>IFERROR(_xll.ciqfunctions.udf.CIQ(mh_ticker, "IQ_LASTSALEPRICE", B606), "")</f>
        <v/>
      </c>
      <c r="D606" s="10">
        <f>IFERROR(_xll.ciqfunctions.udf.CIQ(mh_ticker, "IQ_SHARESOUTSTANDING_OUT", B606), "")</f>
        <v/>
      </c>
      <c r="E606" s="11">
        <f>IFERROR(_xll.ciqfunctions.udf.CIQ(mh_ticker, "IQ_CASH_EQUIV", , B606), "")</f>
        <v/>
      </c>
      <c r="F606" s="11">
        <f>IFERROR(_xll.ciqfunctions.udf.CIQ(mh_ticker, "IQ_ST_INVEST", , B606), "")</f>
        <v/>
      </c>
      <c r="G606" s="11">
        <f>IFERROR(_xll.ciqfunctions.udf.CIQ(mh_ticker, "IQ_TOTAL_DEBT_EXCL_OPER_LEASES", , B606), "")</f>
        <v/>
      </c>
      <c r="H606" s="11">
        <f>IFERROR(_xll.ciqfunctions.udf.CIQ(mh_ticker, "IQ_PREF_EQUITY", , B606), "")</f>
        <v/>
      </c>
      <c r="I606" s="11">
        <f>IFERROR(_xll.ciqfunctions.udf.CIQ(mh_ticker, "IQ_MINORITY_INTEREST", , B606), "")</f>
        <v/>
      </c>
      <c r="J606" s="11">
        <f>IFERROR(_xll.ciqfunctions.udf.CIQ(mh_ticker, "IQ_EQUITY_METHOD", , B606), "")</f>
        <v/>
      </c>
      <c r="K606" s="11">
        <f>IFERROR(_xll.ciqfunctions.udf.CIQ(mh_ticker, "IQ_LT_Mark_Securities", , B606), "")</f>
        <v/>
      </c>
      <c r="L606" s="12">
        <f>IFERROR(C606*D606, "")</f>
        <v/>
      </c>
      <c r="M606" s="12">
        <f>IFERROR(L606-E606-F606+G606+H606+I606-J606-K606, "")</f>
        <v/>
      </c>
      <c r="N606" s="11">
        <f>IFERROR(_xll.ciqfunctions.udf.CIQ(mh_ticker, "IQ_EBITDA_EST", IQ_NTM, B606, , , "USD"), "")</f>
        <v/>
      </c>
      <c r="O606" s="13">
        <f>IFERROR(M606/N606, "")</f>
        <v/>
      </c>
    </row>
    <row r="607">
      <c r="B607" s="8" t="n"/>
      <c r="C607" s="9">
        <f>IFERROR(_xll.ciqfunctions.udf.CIQ(mh_ticker, "IQ_LASTSALEPRICE", B607), "")</f>
        <v/>
      </c>
      <c r="D607" s="10">
        <f>IFERROR(_xll.ciqfunctions.udf.CIQ(mh_ticker, "IQ_SHARESOUTSTANDING_OUT", B607), "")</f>
        <v/>
      </c>
      <c r="E607" s="11">
        <f>IFERROR(_xll.ciqfunctions.udf.CIQ(mh_ticker, "IQ_CASH_EQUIV", , B607), "")</f>
        <v/>
      </c>
      <c r="F607" s="11">
        <f>IFERROR(_xll.ciqfunctions.udf.CIQ(mh_ticker, "IQ_ST_INVEST", , B607), "")</f>
        <v/>
      </c>
      <c r="G607" s="11">
        <f>IFERROR(_xll.ciqfunctions.udf.CIQ(mh_ticker, "IQ_TOTAL_DEBT_EXCL_OPER_LEASES", , B607), "")</f>
        <v/>
      </c>
      <c r="H607" s="11">
        <f>IFERROR(_xll.ciqfunctions.udf.CIQ(mh_ticker, "IQ_PREF_EQUITY", , B607), "")</f>
        <v/>
      </c>
      <c r="I607" s="11">
        <f>IFERROR(_xll.ciqfunctions.udf.CIQ(mh_ticker, "IQ_MINORITY_INTEREST", , B607), "")</f>
        <v/>
      </c>
      <c r="J607" s="11">
        <f>IFERROR(_xll.ciqfunctions.udf.CIQ(mh_ticker, "IQ_EQUITY_METHOD", , B607), "")</f>
        <v/>
      </c>
      <c r="K607" s="11">
        <f>IFERROR(_xll.ciqfunctions.udf.CIQ(mh_ticker, "IQ_LT_Mark_Securities", , B607), "")</f>
        <v/>
      </c>
      <c r="L607" s="12">
        <f>IFERROR(C607*D607, "")</f>
        <v/>
      </c>
      <c r="M607" s="12">
        <f>IFERROR(L607-E607-F607+G607+H607+I607-J607-K607, "")</f>
        <v/>
      </c>
      <c r="N607" s="11">
        <f>IFERROR(_xll.ciqfunctions.udf.CIQ(mh_ticker, "IQ_EBITDA_EST", IQ_NTM, B607, , , "USD"), "")</f>
        <v/>
      </c>
      <c r="O607" s="13">
        <f>IFERROR(M607/N607, "")</f>
        <v/>
      </c>
    </row>
    <row r="608">
      <c r="B608" s="8" t="n"/>
      <c r="C608" s="9">
        <f>IFERROR(_xll.ciqfunctions.udf.CIQ(mh_ticker, "IQ_LASTSALEPRICE", B608), "")</f>
        <v/>
      </c>
      <c r="D608" s="10">
        <f>IFERROR(_xll.ciqfunctions.udf.CIQ(mh_ticker, "IQ_SHARESOUTSTANDING_OUT", B608), "")</f>
        <v/>
      </c>
      <c r="E608" s="11">
        <f>IFERROR(_xll.ciqfunctions.udf.CIQ(mh_ticker, "IQ_CASH_EQUIV", , B608), "")</f>
        <v/>
      </c>
      <c r="F608" s="11">
        <f>IFERROR(_xll.ciqfunctions.udf.CIQ(mh_ticker, "IQ_ST_INVEST", , B608), "")</f>
        <v/>
      </c>
      <c r="G608" s="11">
        <f>IFERROR(_xll.ciqfunctions.udf.CIQ(mh_ticker, "IQ_TOTAL_DEBT_EXCL_OPER_LEASES", , B608), "")</f>
        <v/>
      </c>
      <c r="H608" s="11">
        <f>IFERROR(_xll.ciqfunctions.udf.CIQ(mh_ticker, "IQ_PREF_EQUITY", , B608), "")</f>
        <v/>
      </c>
      <c r="I608" s="11">
        <f>IFERROR(_xll.ciqfunctions.udf.CIQ(mh_ticker, "IQ_MINORITY_INTEREST", , B608), "")</f>
        <v/>
      </c>
      <c r="J608" s="11">
        <f>IFERROR(_xll.ciqfunctions.udf.CIQ(mh_ticker, "IQ_EQUITY_METHOD", , B608), "")</f>
        <v/>
      </c>
      <c r="K608" s="11">
        <f>IFERROR(_xll.ciqfunctions.udf.CIQ(mh_ticker, "IQ_LT_Mark_Securities", , B608), "")</f>
        <v/>
      </c>
      <c r="L608" s="12">
        <f>IFERROR(C608*D608, "")</f>
        <v/>
      </c>
      <c r="M608" s="12">
        <f>IFERROR(L608-E608-F608+G608+H608+I608-J608-K608, "")</f>
        <v/>
      </c>
      <c r="N608" s="11">
        <f>IFERROR(_xll.ciqfunctions.udf.CIQ(mh_ticker, "IQ_EBITDA_EST", IQ_NTM, B608, , , "USD"), "")</f>
        <v/>
      </c>
      <c r="O608" s="13">
        <f>IFERROR(M608/N608, "")</f>
        <v/>
      </c>
    </row>
    <row r="609">
      <c r="B609" s="8" t="n"/>
      <c r="C609" s="9">
        <f>IFERROR(_xll.ciqfunctions.udf.CIQ(mh_ticker, "IQ_LASTSALEPRICE", B609), "")</f>
        <v/>
      </c>
      <c r="D609" s="10">
        <f>IFERROR(_xll.ciqfunctions.udf.CIQ(mh_ticker, "IQ_SHARESOUTSTANDING_OUT", B609), "")</f>
        <v/>
      </c>
      <c r="E609" s="11">
        <f>IFERROR(_xll.ciqfunctions.udf.CIQ(mh_ticker, "IQ_CASH_EQUIV", , B609), "")</f>
        <v/>
      </c>
      <c r="F609" s="11">
        <f>IFERROR(_xll.ciqfunctions.udf.CIQ(mh_ticker, "IQ_ST_INVEST", , B609), "")</f>
        <v/>
      </c>
      <c r="G609" s="11">
        <f>IFERROR(_xll.ciqfunctions.udf.CIQ(mh_ticker, "IQ_TOTAL_DEBT_EXCL_OPER_LEASES", , B609), "")</f>
        <v/>
      </c>
      <c r="H609" s="11">
        <f>IFERROR(_xll.ciqfunctions.udf.CIQ(mh_ticker, "IQ_PREF_EQUITY", , B609), "")</f>
        <v/>
      </c>
      <c r="I609" s="11">
        <f>IFERROR(_xll.ciqfunctions.udf.CIQ(mh_ticker, "IQ_MINORITY_INTEREST", , B609), "")</f>
        <v/>
      </c>
      <c r="J609" s="11">
        <f>IFERROR(_xll.ciqfunctions.udf.CIQ(mh_ticker, "IQ_EQUITY_METHOD", , B609), "")</f>
        <v/>
      </c>
      <c r="K609" s="11">
        <f>IFERROR(_xll.ciqfunctions.udf.CIQ(mh_ticker, "IQ_LT_Mark_Securities", , B609), "")</f>
        <v/>
      </c>
      <c r="L609" s="12">
        <f>IFERROR(C609*D609, "")</f>
        <v/>
      </c>
      <c r="M609" s="12">
        <f>IFERROR(L609-E609-F609+G609+H609+I609-J609-K609, "")</f>
        <v/>
      </c>
      <c r="N609" s="11">
        <f>IFERROR(_xll.ciqfunctions.udf.CIQ(mh_ticker, "IQ_EBITDA_EST", IQ_NTM, B609, , , "USD"), "")</f>
        <v/>
      </c>
      <c r="O609" s="13">
        <f>IFERROR(M609/N609, "")</f>
        <v/>
      </c>
    </row>
    <row r="610">
      <c r="B610" s="8" t="n"/>
      <c r="C610" s="9">
        <f>IFERROR(_xll.ciqfunctions.udf.CIQ(mh_ticker, "IQ_LASTSALEPRICE", B610), "")</f>
        <v/>
      </c>
      <c r="D610" s="10">
        <f>IFERROR(_xll.ciqfunctions.udf.CIQ(mh_ticker, "IQ_SHARESOUTSTANDING_OUT", B610), "")</f>
        <v/>
      </c>
      <c r="E610" s="11">
        <f>IFERROR(_xll.ciqfunctions.udf.CIQ(mh_ticker, "IQ_CASH_EQUIV", , B610), "")</f>
        <v/>
      </c>
      <c r="F610" s="11">
        <f>IFERROR(_xll.ciqfunctions.udf.CIQ(mh_ticker, "IQ_ST_INVEST", , B610), "")</f>
        <v/>
      </c>
      <c r="G610" s="11">
        <f>IFERROR(_xll.ciqfunctions.udf.CIQ(mh_ticker, "IQ_TOTAL_DEBT_EXCL_OPER_LEASES", , B610), "")</f>
        <v/>
      </c>
      <c r="H610" s="11">
        <f>IFERROR(_xll.ciqfunctions.udf.CIQ(mh_ticker, "IQ_PREF_EQUITY", , B610), "")</f>
        <v/>
      </c>
      <c r="I610" s="11">
        <f>IFERROR(_xll.ciqfunctions.udf.CIQ(mh_ticker, "IQ_MINORITY_INTEREST", , B610), "")</f>
        <v/>
      </c>
      <c r="J610" s="11">
        <f>IFERROR(_xll.ciqfunctions.udf.CIQ(mh_ticker, "IQ_EQUITY_METHOD", , B610), "")</f>
        <v/>
      </c>
      <c r="K610" s="11">
        <f>IFERROR(_xll.ciqfunctions.udf.CIQ(mh_ticker, "IQ_LT_Mark_Securities", , B610), "")</f>
        <v/>
      </c>
      <c r="L610" s="12">
        <f>IFERROR(C610*D610, "")</f>
        <v/>
      </c>
      <c r="M610" s="12">
        <f>IFERROR(L610-E610-F610+G610+H610+I610-J610-K610, "")</f>
        <v/>
      </c>
      <c r="N610" s="11">
        <f>IFERROR(_xll.ciqfunctions.udf.CIQ(mh_ticker, "IQ_EBITDA_EST", IQ_NTM, B610, , , "USD"), "")</f>
        <v/>
      </c>
      <c r="O610" s="13">
        <f>IFERROR(M610/N610, "")</f>
        <v/>
      </c>
    </row>
    <row r="611">
      <c r="B611" s="8" t="n"/>
      <c r="C611" s="9">
        <f>IFERROR(_xll.ciqfunctions.udf.CIQ(mh_ticker, "IQ_LASTSALEPRICE", B611), "")</f>
        <v/>
      </c>
      <c r="D611" s="10">
        <f>IFERROR(_xll.ciqfunctions.udf.CIQ(mh_ticker, "IQ_SHARESOUTSTANDING_OUT", B611), "")</f>
        <v/>
      </c>
      <c r="E611" s="11">
        <f>IFERROR(_xll.ciqfunctions.udf.CIQ(mh_ticker, "IQ_CASH_EQUIV", , B611), "")</f>
        <v/>
      </c>
      <c r="F611" s="11">
        <f>IFERROR(_xll.ciqfunctions.udf.CIQ(mh_ticker, "IQ_ST_INVEST", , B611), "")</f>
        <v/>
      </c>
      <c r="G611" s="11">
        <f>IFERROR(_xll.ciqfunctions.udf.CIQ(mh_ticker, "IQ_TOTAL_DEBT_EXCL_OPER_LEASES", , B611), "")</f>
        <v/>
      </c>
      <c r="H611" s="11">
        <f>IFERROR(_xll.ciqfunctions.udf.CIQ(mh_ticker, "IQ_PREF_EQUITY", , B611), "")</f>
        <v/>
      </c>
      <c r="I611" s="11">
        <f>IFERROR(_xll.ciqfunctions.udf.CIQ(mh_ticker, "IQ_MINORITY_INTEREST", , B611), "")</f>
        <v/>
      </c>
      <c r="J611" s="11">
        <f>IFERROR(_xll.ciqfunctions.udf.CIQ(mh_ticker, "IQ_EQUITY_METHOD", , B611), "")</f>
        <v/>
      </c>
      <c r="K611" s="11">
        <f>IFERROR(_xll.ciqfunctions.udf.CIQ(mh_ticker, "IQ_LT_Mark_Securities", , B611), "")</f>
        <v/>
      </c>
      <c r="L611" s="12">
        <f>IFERROR(C611*D611, "")</f>
        <v/>
      </c>
      <c r="M611" s="12">
        <f>IFERROR(L611-E611-F611+G611+H611+I611-J611-K611, "")</f>
        <v/>
      </c>
      <c r="N611" s="11">
        <f>IFERROR(_xll.ciqfunctions.udf.CIQ(mh_ticker, "IQ_EBITDA_EST", IQ_NTM, B611, , , "USD"), "")</f>
        <v/>
      </c>
      <c r="O611" s="13">
        <f>IFERROR(M611/N611, "")</f>
        <v/>
      </c>
    </row>
    <row r="612">
      <c r="B612" s="8" t="n"/>
      <c r="C612" s="9">
        <f>IFERROR(_xll.ciqfunctions.udf.CIQ(mh_ticker, "IQ_LASTSALEPRICE", B612), "")</f>
        <v/>
      </c>
      <c r="D612" s="10">
        <f>IFERROR(_xll.ciqfunctions.udf.CIQ(mh_ticker, "IQ_SHARESOUTSTANDING_OUT", B612), "")</f>
        <v/>
      </c>
      <c r="E612" s="11">
        <f>IFERROR(_xll.ciqfunctions.udf.CIQ(mh_ticker, "IQ_CASH_EQUIV", , B612), "")</f>
        <v/>
      </c>
      <c r="F612" s="11">
        <f>IFERROR(_xll.ciqfunctions.udf.CIQ(mh_ticker, "IQ_ST_INVEST", , B612), "")</f>
        <v/>
      </c>
      <c r="G612" s="11">
        <f>IFERROR(_xll.ciqfunctions.udf.CIQ(mh_ticker, "IQ_TOTAL_DEBT_EXCL_OPER_LEASES", , B612), "")</f>
        <v/>
      </c>
      <c r="H612" s="11">
        <f>IFERROR(_xll.ciqfunctions.udf.CIQ(mh_ticker, "IQ_PREF_EQUITY", , B612), "")</f>
        <v/>
      </c>
      <c r="I612" s="11">
        <f>IFERROR(_xll.ciqfunctions.udf.CIQ(mh_ticker, "IQ_MINORITY_INTEREST", , B612), "")</f>
        <v/>
      </c>
      <c r="J612" s="11">
        <f>IFERROR(_xll.ciqfunctions.udf.CIQ(mh_ticker, "IQ_EQUITY_METHOD", , B612), "")</f>
        <v/>
      </c>
      <c r="K612" s="11">
        <f>IFERROR(_xll.ciqfunctions.udf.CIQ(mh_ticker, "IQ_LT_Mark_Securities", , B612), "")</f>
        <v/>
      </c>
      <c r="L612" s="12">
        <f>IFERROR(C612*D612, "")</f>
        <v/>
      </c>
      <c r="M612" s="12">
        <f>IFERROR(L612-E612-F612+G612+H612+I612-J612-K612, "")</f>
        <v/>
      </c>
      <c r="N612" s="11">
        <f>IFERROR(_xll.ciqfunctions.udf.CIQ(mh_ticker, "IQ_EBITDA_EST", IQ_NTM, B612, , , "USD"), "")</f>
        <v/>
      </c>
      <c r="O612" s="13">
        <f>IFERROR(M612/N612, "")</f>
        <v/>
      </c>
    </row>
    <row r="613">
      <c r="B613" s="8" t="n"/>
      <c r="C613" s="9">
        <f>IFERROR(_xll.ciqfunctions.udf.CIQ(mh_ticker, "IQ_LASTSALEPRICE", B613), "")</f>
        <v/>
      </c>
      <c r="D613" s="10">
        <f>IFERROR(_xll.ciqfunctions.udf.CIQ(mh_ticker, "IQ_SHARESOUTSTANDING_OUT", B613), "")</f>
        <v/>
      </c>
      <c r="E613" s="11">
        <f>IFERROR(_xll.ciqfunctions.udf.CIQ(mh_ticker, "IQ_CASH_EQUIV", , B613), "")</f>
        <v/>
      </c>
      <c r="F613" s="11">
        <f>IFERROR(_xll.ciqfunctions.udf.CIQ(mh_ticker, "IQ_ST_INVEST", , B613), "")</f>
        <v/>
      </c>
      <c r="G613" s="11">
        <f>IFERROR(_xll.ciqfunctions.udf.CIQ(mh_ticker, "IQ_TOTAL_DEBT_EXCL_OPER_LEASES", , B613), "")</f>
        <v/>
      </c>
      <c r="H613" s="11">
        <f>IFERROR(_xll.ciqfunctions.udf.CIQ(mh_ticker, "IQ_PREF_EQUITY", , B613), "")</f>
        <v/>
      </c>
      <c r="I613" s="11">
        <f>IFERROR(_xll.ciqfunctions.udf.CIQ(mh_ticker, "IQ_MINORITY_INTEREST", , B613), "")</f>
        <v/>
      </c>
      <c r="J613" s="11">
        <f>IFERROR(_xll.ciqfunctions.udf.CIQ(mh_ticker, "IQ_EQUITY_METHOD", , B613), "")</f>
        <v/>
      </c>
      <c r="K613" s="11">
        <f>IFERROR(_xll.ciqfunctions.udf.CIQ(mh_ticker, "IQ_LT_Mark_Securities", , B613), "")</f>
        <v/>
      </c>
      <c r="L613" s="12">
        <f>IFERROR(C613*D613, "")</f>
        <v/>
      </c>
      <c r="M613" s="12">
        <f>IFERROR(L613-E613-F613+G613+H613+I613-J613-K613, "")</f>
        <v/>
      </c>
      <c r="N613" s="11">
        <f>IFERROR(_xll.ciqfunctions.udf.CIQ(mh_ticker, "IQ_EBITDA_EST", IQ_NTM, B613, , , "USD"), "")</f>
        <v/>
      </c>
      <c r="O613" s="13">
        <f>IFERROR(M613/N613, "")</f>
        <v/>
      </c>
    </row>
    <row r="614">
      <c r="B614" s="8" t="n"/>
      <c r="C614" s="9">
        <f>IFERROR(_xll.ciqfunctions.udf.CIQ(mh_ticker, "IQ_LASTSALEPRICE", B614), "")</f>
        <v/>
      </c>
      <c r="D614" s="10">
        <f>IFERROR(_xll.ciqfunctions.udf.CIQ(mh_ticker, "IQ_SHARESOUTSTANDING_OUT", B614), "")</f>
        <v/>
      </c>
      <c r="E614" s="11">
        <f>IFERROR(_xll.ciqfunctions.udf.CIQ(mh_ticker, "IQ_CASH_EQUIV", , B614), "")</f>
        <v/>
      </c>
      <c r="F614" s="11">
        <f>IFERROR(_xll.ciqfunctions.udf.CIQ(mh_ticker, "IQ_ST_INVEST", , B614), "")</f>
        <v/>
      </c>
      <c r="G614" s="11">
        <f>IFERROR(_xll.ciqfunctions.udf.CIQ(mh_ticker, "IQ_TOTAL_DEBT_EXCL_OPER_LEASES", , B614), "")</f>
        <v/>
      </c>
      <c r="H614" s="11">
        <f>IFERROR(_xll.ciqfunctions.udf.CIQ(mh_ticker, "IQ_PREF_EQUITY", , B614), "")</f>
        <v/>
      </c>
      <c r="I614" s="11">
        <f>IFERROR(_xll.ciqfunctions.udf.CIQ(mh_ticker, "IQ_MINORITY_INTEREST", , B614), "")</f>
        <v/>
      </c>
      <c r="J614" s="11">
        <f>IFERROR(_xll.ciqfunctions.udf.CIQ(mh_ticker, "IQ_EQUITY_METHOD", , B614), "")</f>
        <v/>
      </c>
      <c r="K614" s="11">
        <f>IFERROR(_xll.ciqfunctions.udf.CIQ(mh_ticker, "IQ_LT_Mark_Securities", , B614), "")</f>
        <v/>
      </c>
      <c r="L614" s="12">
        <f>IFERROR(C614*D614, "")</f>
        <v/>
      </c>
      <c r="M614" s="12">
        <f>IFERROR(L614-E614-F614+G614+H614+I614-J614-K614, "")</f>
        <v/>
      </c>
      <c r="N614" s="11">
        <f>IFERROR(_xll.ciqfunctions.udf.CIQ(mh_ticker, "IQ_EBITDA_EST", IQ_NTM, B614, , , "USD"), "")</f>
        <v/>
      </c>
      <c r="O614" s="13">
        <f>IFERROR(M614/N614, "")</f>
        <v/>
      </c>
    </row>
    <row r="615">
      <c r="B615" s="8" t="n"/>
      <c r="C615" s="9">
        <f>IFERROR(_xll.ciqfunctions.udf.CIQ(mh_ticker, "IQ_LASTSALEPRICE", B615), "")</f>
        <v/>
      </c>
      <c r="D615" s="10">
        <f>IFERROR(_xll.ciqfunctions.udf.CIQ(mh_ticker, "IQ_SHARESOUTSTANDING_OUT", B615), "")</f>
        <v/>
      </c>
      <c r="E615" s="11">
        <f>IFERROR(_xll.ciqfunctions.udf.CIQ(mh_ticker, "IQ_CASH_EQUIV", , B615), "")</f>
        <v/>
      </c>
      <c r="F615" s="11">
        <f>IFERROR(_xll.ciqfunctions.udf.CIQ(mh_ticker, "IQ_ST_INVEST", , B615), "")</f>
        <v/>
      </c>
      <c r="G615" s="11">
        <f>IFERROR(_xll.ciqfunctions.udf.CIQ(mh_ticker, "IQ_TOTAL_DEBT_EXCL_OPER_LEASES", , B615), "")</f>
        <v/>
      </c>
      <c r="H615" s="11">
        <f>IFERROR(_xll.ciqfunctions.udf.CIQ(mh_ticker, "IQ_PREF_EQUITY", , B615), "")</f>
        <v/>
      </c>
      <c r="I615" s="11">
        <f>IFERROR(_xll.ciqfunctions.udf.CIQ(mh_ticker, "IQ_MINORITY_INTEREST", , B615), "")</f>
        <v/>
      </c>
      <c r="J615" s="11">
        <f>IFERROR(_xll.ciqfunctions.udf.CIQ(mh_ticker, "IQ_EQUITY_METHOD", , B615), "")</f>
        <v/>
      </c>
      <c r="K615" s="11">
        <f>IFERROR(_xll.ciqfunctions.udf.CIQ(mh_ticker, "IQ_LT_Mark_Securities", , B615), "")</f>
        <v/>
      </c>
      <c r="L615" s="12">
        <f>IFERROR(C615*D615, "")</f>
        <v/>
      </c>
      <c r="M615" s="12">
        <f>IFERROR(L615-E615-F615+G615+H615+I615-J615-K615, "")</f>
        <v/>
      </c>
      <c r="N615" s="11">
        <f>IFERROR(_xll.ciqfunctions.udf.CIQ(mh_ticker, "IQ_EBITDA_EST", IQ_NTM, B615, , , "USD"), "")</f>
        <v/>
      </c>
      <c r="O615" s="13">
        <f>IFERROR(M615/N615, "")</f>
        <v/>
      </c>
    </row>
    <row r="616">
      <c r="B616" s="8" t="n"/>
      <c r="C616" s="9">
        <f>IFERROR(_xll.ciqfunctions.udf.CIQ(mh_ticker, "IQ_LASTSALEPRICE", B616), "")</f>
        <v/>
      </c>
      <c r="D616" s="10">
        <f>IFERROR(_xll.ciqfunctions.udf.CIQ(mh_ticker, "IQ_SHARESOUTSTANDING_OUT", B616), "")</f>
        <v/>
      </c>
      <c r="E616" s="11">
        <f>IFERROR(_xll.ciqfunctions.udf.CIQ(mh_ticker, "IQ_CASH_EQUIV", , B616), "")</f>
        <v/>
      </c>
      <c r="F616" s="11">
        <f>IFERROR(_xll.ciqfunctions.udf.CIQ(mh_ticker, "IQ_ST_INVEST", , B616), "")</f>
        <v/>
      </c>
      <c r="G616" s="11">
        <f>IFERROR(_xll.ciqfunctions.udf.CIQ(mh_ticker, "IQ_TOTAL_DEBT_EXCL_OPER_LEASES", , B616), "")</f>
        <v/>
      </c>
      <c r="H616" s="11">
        <f>IFERROR(_xll.ciqfunctions.udf.CIQ(mh_ticker, "IQ_PREF_EQUITY", , B616), "")</f>
        <v/>
      </c>
      <c r="I616" s="11">
        <f>IFERROR(_xll.ciqfunctions.udf.CIQ(mh_ticker, "IQ_MINORITY_INTEREST", , B616), "")</f>
        <v/>
      </c>
      <c r="J616" s="11">
        <f>IFERROR(_xll.ciqfunctions.udf.CIQ(mh_ticker, "IQ_EQUITY_METHOD", , B616), "")</f>
        <v/>
      </c>
      <c r="K616" s="11">
        <f>IFERROR(_xll.ciqfunctions.udf.CIQ(mh_ticker, "IQ_LT_Mark_Securities", , B616), "")</f>
        <v/>
      </c>
      <c r="L616" s="12">
        <f>IFERROR(C616*D616, "")</f>
        <v/>
      </c>
      <c r="M616" s="12">
        <f>IFERROR(L616-E616-F616+G616+H616+I616-J616-K616, "")</f>
        <v/>
      </c>
      <c r="N616" s="11">
        <f>IFERROR(_xll.ciqfunctions.udf.CIQ(mh_ticker, "IQ_EBITDA_EST", IQ_NTM, B616, , , "USD"), "")</f>
        <v/>
      </c>
      <c r="O616" s="13">
        <f>IFERROR(M616/N616, "")</f>
        <v/>
      </c>
    </row>
    <row r="617">
      <c r="B617" s="8" t="n"/>
      <c r="C617" s="9">
        <f>IFERROR(_xll.ciqfunctions.udf.CIQ(mh_ticker, "IQ_LASTSALEPRICE", B617), "")</f>
        <v/>
      </c>
      <c r="D617" s="10">
        <f>IFERROR(_xll.ciqfunctions.udf.CIQ(mh_ticker, "IQ_SHARESOUTSTANDING_OUT", B617), "")</f>
        <v/>
      </c>
      <c r="E617" s="11">
        <f>IFERROR(_xll.ciqfunctions.udf.CIQ(mh_ticker, "IQ_CASH_EQUIV", , B617), "")</f>
        <v/>
      </c>
      <c r="F617" s="11">
        <f>IFERROR(_xll.ciqfunctions.udf.CIQ(mh_ticker, "IQ_ST_INVEST", , B617), "")</f>
        <v/>
      </c>
      <c r="G617" s="11">
        <f>IFERROR(_xll.ciqfunctions.udf.CIQ(mh_ticker, "IQ_TOTAL_DEBT_EXCL_OPER_LEASES", , B617), "")</f>
        <v/>
      </c>
      <c r="H617" s="11">
        <f>IFERROR(_xll.ciqfunctions.udf.CIQ(mh_ticker, "IQ_PREF_EQUITY", , B617), "")</f>
        <v/>
      </c>
      <c r="I617" s="11">
        <f>IFERROR(_xll.ciqfunctions.udf.CIQ(mh_ticker, "IQ_MINORITY_INTEREST", , B617), "")</f>
        <v/>
      </c>
      <c r="J617" s="11">
        <f>IFERROR(_xll.ciqfunctions.udf.CIQ(mh_ticker, "IQ_EQUITY_METHOD", , B617), "")</f>
        <v/>
      </c>
      <c r="K617" s="11">
        <f>IFERROR(_xll.ciqfunctions.udf.CIQ(mh_ticker, "IQ_LT_Mark_Securities", , B617), "")</f>
        <v/>
      </c>
      <c r="L617" s="12">
        <f>IFERROR(C617*D617, "")</f>
        <v/>
      </c>
      <c r="M617" s="12">
        <f>IFERROR(L617-E617-F617+G617+H617+I617-J617-K617, "")</f>
        <v/>
      </c>
      <c r="N617" s="11">
        <f>IFERROR(_xll.ciqfunctions.udf.CIQ(mh_ticker, "IQ_EBITDA_EST", IQ_NTM, B617, , , "USD"), "")</f>
        <v/>
      </c>
      <c r="O617" s="13">
        <f>IFERROR(M617/N617, "")</f>
        <v/>
      </c>
    </row>
    <row r="618">
      <c r="B618" s="8" t="n"/>
      <c r="C618" s="9">
        <f>IFERROR(_xll.ciqfunctions.udf.CIQ(mh_ticker, "IQ_LASTSALEPRICE", B618), "")</f>
        <v/>
      </c>
      <c r="D618" s="10">
        <f>IFERROR(_xll.ciqfunctions.udf.CIQ(mh_ticker, "IQ_SHARESOUTSTANDING_OUT", B618), "")</f>
        <v/>
      </c>
      <c r="E618" s="11">
        <f>IFERROR(_xll.ciqfunctions.udf.CIQ(mh_ticker, "IQ_CASH_EQUIV", , B618), "")</f>
        <v/>
      </c>
      <c r="F618" s="11">
        <f>IFERROR(_xll.ciqfunctions.udf.CIQ(mh_ticker, "IQ_ST_INVEST", , B618), "")</f>
        <v/>
      </c>
      <c r="G618" s="11">
        <f>IFERROR(_xll.ciqfunctions.udf.CIQ(mh_ticker, "IQ_TOTAL_DEBT_EXCL_OPER_LEASES", , B618), "")</f>
        <v/>
      </c>
      <c r="H618" s="11">
        <f>IFERROR(_xll.ciqfunctions.udf.CIQ(mh_ticker, "IQ_PREF_EQUITY", , B618), "")</f>
        <v/>
      </c>
      <c r="I618" s="11">
        <f>IFERROR(_xll.ciqfunctions.udf.CIQ(mh_ticker, "IQ_MINORITY_INTEREST", , B618), "")</f>
        <v/>
      </c>
      <c r="J618" s="11">
        <f>IFERROR(_xll.ciqfunctions.udf.CIQ(mh_ticker, "IQ_EQUITY_METHOD", , B618), "")</f>
        <v/>
      </c>
      <c r="K618" s="11">
        <f>IFERROR(_xll.ciqfunctions.udf.CIQ(mh_ticker, "IQ_LT_Mark_Securities", , B618), "")</f>
        <v/>
      </c>
      <c r="L618" s="12">
        <f>IFERROR(C618*D618, "")</f>
        <v/>
      </c>
      <c r="M618" s="12">
        <f>IFERROR(L618-E618-F618+G618+H618+I618-J618-K618, "")</f>
        <v/>
      </c>
      <c r="N618" s="11">
        <f>IFERROR(_xll.ciqfunctions.udf.CIQ(mh_ticker, "IQ_EBITDA_EST", IQ_NTM, B618, , , "USD"), "")</f>
        <v/>
      </c>
      <c r="O618" s="13">
        <f>IFERROR(M618/N618, "")</f>
        <v/>
      </c>
    </row>
    <row r="619">
      <c r="B619" s="8" t="n"/>
      <c r="C619" s="9">
        <f>IFERROR(_xll.ciqfunctions.udf.CIQ(mh_ticker, "IQ_LASTSALEPRICE", B619), "")</f>
        <v/>
      </c>
      <c r="D619" s="10">
        <f>IFERROR(_xll.ciqfunctions.udf.CIQ(mh_ticker, "IQ_SHARESOUTSTANDING_OUT", B619), "")</f>
        <v/>
      </c>
      <c r="E619" s="11">
        <f>IFERROR(_xll.ciqfunctions.udf.CIQ(mh_ticker, "IQ_CASH_EQUIV", , B619), "")</f>
        <v/>
      </c>
      <c r="F619" s="11">
        <f>IFERROR(_xll.ciqfunctions.udf.CIQ(mh_ticker, "IQ_ST_INVEST", , B619), "")</f>
        <v/>
      </c>
      <c r="G619" s="11">
        <f>IFERROR(_xll.ciqfunctions.udf.CIQ(mh_ticker, "IQ_TOTAL_DEBT_EXCL_OPER_LEASES", , B619), "")</f>
        <v/>
      </c>
      <c r="H619" s="11">
        <f>IFERROR(_xll.ciqfunctions.udf.CIQ(mh_ticker, "IQ_PREF_EQUITY", , B619), "")</f>
        <v/>
      </c>
      <c r="I619" s="11">
        <f>IFERROR(_xll.ciqfunctions.udf.CIQ(mh_ticker, "IQ_MINORITY_INTEREST", , B619), "")</f>
        <v/>
      </c>
      <c r="J619" s="11">
        <f>IFERROR(_xll.ciqfunctions.udf.CIQ(mh_ticker, "IQ_EQUITY_METHOD", , B619), "")</f>
        <v/>
      </c>
      <c r="K619" s="11">
        <f>IFERROR(_xll.ciqfunctions.udf.CIQ(mh_ticker, "IQ_LT_Mark_Securities", , B619), "")</f>
        <v/>
      </c>
      <c r="L619" s="12">
        <f>IFERROR(C619*D619, "")</f>
        <v/>
      </c>
      <c r="M619" s="12">
        <f>IFERROR(L619-E619-F619+G619+H619+I619-J619-K619, "")</f>
        <v/>
      </c>
      <c r="N619" s="11">
        <f>IFERROR(_xll.ciqfunctions.udf.CIQ(mh_ticker, "IQ_EBITDA_EST", IQ_NTM, B619, , , "USD"), "")</f>
        <v/>
      </c>
      <c r="O619" s="13">
        <f>IFERROR(M619/N619, "")</f>
        <v/>
      </c>
    </row>
    <row r="620">
      <c r="B620" s="8" t="n"/>
      <c r="C620" s="9">
        <f>IFERROR(_xll.ciqfunctions.udf.CIQ(mh_ticker, "IQ_LASTSALEPRICE", B620), "")</f>
        <v/>
      </c>
      <c r="D620" s="10">
        <f>IFERROR(_xll.ciqfunctions.udf.CIQ(mh_ticker, "IQ_SHARESOUTSTANDING_OUT", B620), "")</f>
        <v/>
      </c>
      <c r="E620" s="11">
        <f>IFERROR(_xll.ciqfunctions.udf.CIQ(mh_ticker, "IQ_CASH_EQUIV", , B620), "")</f>
        <v/>
      </c>
      <c r="F620" s="11">
        <f>IFERROR(_xll.ciqfunctions.udf.CIQ(mh_ticker, "IQ_ST_INVEST", , B620), "")</f>
        <v/>
      </c>
      <c r="G620" s="11">
        <f>IFERROR(_xll.ciqfunctions.udf.CIQ(mh_ticker, "IQ_TOTAL_DEBT_EXCL_OPER_LEASES", , B620), "")</f>
        <v/>
      </c>
      <c r="H620" s="11">
        <f>IFERROR(_xll.ciqfunctions.udf.CIQ(mh_ticker, "IQ_PREF_EQUITY", , B620), "")</f>
        <v/>
      </c>
      <c r="I620" s="11">
        <f>IFERROR(_xll.ciqfunctions.udf.CIQ(mh_ticker, "IQ_MINORITY_INTEREST", , B620), "")</f>
        <v/>
      </c>
      <c r="J620" s="11">
        <f>IFERROR(_xll.ciqfunctions.udf.CIQ(mh_ticker, "IQ_EQUITY_METHOD", , B620), "")</f>
        <v/>
      </c>
      <c r="K620" s="11">
        <f>IFERROR(_xll.ciqfunctions.udf.CIQ(mh_ticker, "IQ_LT_Mark_Securities", , B620), "")</f>
        <v/>
      </c>
      <c r="L620" s="12">
        <f>IFERROR(C620*D620, "")</f>
        <v/>
      </c>
      <c r="M620" s="12">
        <f>IFERROR(L620-E620-F620+G620+H620+I620-J620-K620, "")</f>
        <v/>
      </c>
      <c r="N620" s="11">
        <f>IFERROR(_xll.ciqfunctions.udf.CIQ(mh_ticker, "IQ_EBITDA_EST", IQ_NTM, B620, , , "USD"), "")</f>
        <v/>
      </c>
      <c r="O620" s="13">
        <f>IFERROR(M620/N620, "")</f>
        <v/>
      </c>
    </row>
    <row r="621">
      <c r="B621" s="8" t="n"/>
      <c r="C621" s="9">
        <f>IFERROR(_xll.ciqfunctions.udf.CIQ(mh_ticker, "IQ_LASTSALEPRICE", B621), "")</f>
        <v/>
      </c>
      <c r="D621" s="10">
        <f>IFERROR(_xll.ciqfunctions.udf.CIQ(mh_ticker, "IQ_SHARESOUTSTANDING_OUT", B621), "")</f>
        <v/>
      </c>
      <c r="E621" s="11">
        <f>IFERROR(_xll.ciqfunctions.udf.CIQ(mh_ticker, "IQ_CASH_EQUIV", , B621), "")</f>
        <v/>
      </c>
      <c r="F621" s="11">
        <f>IFERROR(_xll.ciqfunctions.udf.CIQ(mh_ticker, "IQ_ST_INVEST", , B621), "")</f>
        <v/>
      </c>
      <c r="G621" s="11">
        <f>IFERROR(_xll.ciqfunctions.udf.CIQ(mh_ticker, "IQ_TOTAL_DEBT_EXCL_OPER_LEASES", , B621), "")</f>
        <v/>
      </c>
      <c r="H621" s="11">
        <f>IFERROR(_xll.ciqfunctions.udf.CIQ(mh_ticker, "IQ_PREF_EQUITY", , B621), "")</f>
        <v/>
      </c>
      <c r="I621" s="11">
        <f>IFERROR(_xll.ciqfunctions.udf.CIQ(mh_ticker, "IQ_MINORITY_INTEREST", , B621), "")</f>
        <v/>
      </c>
      <c r="J621" s="11">
        <f>IFERROR(_xll.ciqfunctions.udf.CIQ(mh_ticker, "IQ_EQUITY_METHOD", , B621), "")</f>
        <v/>
      </c>
      <c r="K621" s="11">
        <f>IFERROR(_xll.ciqfunctions.udf.CIQ(mh_ticker, "IQ_LT_Mark_Securities", , B621), "")</f>
        <v/>
      </c>
      <c r="L621" s="12">
        <f>IFERROR(C621*D621, "")</f>
        <v/>
      </c>
      <c r="M621" s="12">
        <f>IFERROR(L621-E621-F621+G621+H621+I621-J621-K621, "")</f>
        <v/>
      </c>
      <c r="N621" s="11">
        <f>IFERROR(_xll.ciqfunctions.udf.CIQ(mh_ticker, "IQ_EBITDA_EST", IQ_NTM, B621, , , "USD"), "")</f>
        <v/>
      </c>
      <c r="O621" s="13">
        <f>IFERROR(M621/N621, "")</f>
        <v/>
      </c>
    </row>
    <row r="622">
      <c r="B622" s="8" t="n"/>
      <c r="C622" s="9">
        <f>IFERROR(_xll.ciqfunctions.udf.CIQ(mh_ticker, "IQ_LASTSALEPRICE", B622), "")</f>
        <v/>
      </c>
      <c r="D622" s="10">
        <f>IFERROR(_xll.ciqfunctions.udf.CIQ(mh_ticker, "IQ_SHARESOUTSTANDING_OUT", B622), "")</f>
        <v/>
      </c>
      <c r="E622" s="11">
        <f>IFERROR(_xll.ciqfunctions.udf.CIQ(mh_ticker, "IQ_CASH_EQUIV", , B622), "")</f>
        <v/>
      </c>
      <c r="F622" s="11">
        <f>IFERROR(_xll.ciqfunctions.udf.CIQ(mh_ticker, "IQ_ST_INVEST", , B622), "")</f>
        <v/>
      </c>
      <c r="G622" s="11">
        <f>IFERROR(_xll.ciqfunctions.udf.CIQ(mh_ticker, "IQ_TOTAL_DEBT_EXCL_OPER_LEASES", , B622), "")</f>
        <v/>
      </c>
      <c r="H622" s="11">
        <f>IFERROR(_xll.ciqfunctions.udf.CIQ(mh_ticker, "IQ_PREF_EQUITY", , B622), "")</f>
        <v/>
      </c>
      <c r="I622" s="11">
        <f>IFERROR(_xll.ciqfunctions.udf.CIQ(mh_ticker, "IQ_MINORITY_INTEREST", , B622), "")</f>
        <v/>
      </c>
      <c r="J622" s="11">
        <f>IFERROR(_xll.ciqfunctions.udf.CIQ(mh_ticker, "IQ_EQUITY_METHOD", , B622), "")</f>
        <v/>
      </c>
      <c r="K622" s="11">
        <f>IFERROR(_xll.ciqfunctions.udf.CIQ(mh_ticker, "IQ_LT_Mark_Securities", , B622), "")</f>
        <v/>
      </c>
      <c r="L622" s="12">
        <f>IFERROR(C622*D622, "")</f>
        <v/>
      </c>
      <c r="M622" s="12">
        <f>IFERROR(L622-E622-F622+G622+H622+I622-J622-K622, "")</f>
        <v/>
      </c>
      <c r="N622" s="11">
        <f>IFERROR(_xll.ciqfunctions.udf.CIQ(mh_ticker, "IQ_EBITDA_EST", IQ_NTM, B622, , , "USD"), "")</f>
        <v/>
      </c>
      <c r="O622" s="13">
        <f>IFERROR(M622/N622, "")</f>
        <v/>
      </c>
    </row>
    <row r="623">
      <c r="B623" s="8" t="n"/>
      <c r="C623" s="9">
        <f>IFERROR(_xll.ciqfunctions.udf.CIQ(mh_ticker, "IQ_LASTSALEPRICE", B623), "")</f>
        <v/>
      </c>
      <c r="D623" s="10">
        <f>IFERROR(_xll.ciqfunctions.udf.CIQ(mh_ticker, "IQ_SHARESOUTSTANDING_OUT", B623), "")</f>
        <v/>
      </c>
      <c r="E623" s="11">
        <f>IFERROR(_xll.ciqfunctions.udf.CIQ(mh_ticker, "IQ_CASH_EQUIV", , B623), "")</f>
        <v/>
      </c>
      <c r="F623" s="11">
        <f>IFERROR(_xll.ciqfunctions.udf.CIQ(mh_ticker, "IQ_ST_INVEST", , B623), "")</f>
        <v/>
      </c>
      <c r="G623" s="11">
        <f>IFERROR(_xll.ciqfunctions.udf.CIQ(mh_ticker, "IQ_TOTAL_DEBT_EXCL_OPER_LEASES", , B623), "")</f>
        <v/>
      </c>
      <c r="H623" s="11">
        <f>IFERROR(_xll.ciqfunctions.udf.CIQ(mh_ticker, "IQ_PREF_EQUITY", , B623), "")</f>
        <v/>
      </c>
      <c r="I623" s="11">
        <f>IFERROR(_xll.ciqfunctions.udf.CIQ(mh_ticker, "IQ_MINORITY_INTEREST", , B623), "")</f>
        <v/>
      </c>
      <c r="J623" s="11">
        <f>IFERROR(_xll.ciqfunctions.udf.CIQ(mh_ticker, "IQ_EQUITY_METHOD", , B623), "")</f>
        <v/>
      </c>
      <c r="K623" s="11">
        <f>IFERROR(_xll.ciqfunctions.udf.CIQ(mh_ticker, "IQ_LT_Mark_Securities", , B623), "")</f>
        <v/>
      </c>
      <c r="L623" s="12">
        <f>IFERROR(C623*D623, "")</f>
        <v/>
      </c>
      <c r="M623" s="12">
        <f>IFERROR(L623-E623-F623+G623+H623+I623-J623-K623, "")</f>
        <v/>
      </c>
      <c r="N623" s="11">
        <f>IFERROR(_xll.ciqfunctions.udf.CIQ(mh_ticker, "IQ_EBITDA_EST", IQ_NTM, B623, , , "USD"), "")</f>
        <v/>
      </c>
      <c r="O623" s="13">
        <f>IFERROR(M623/N623, "")</f>
        <v/>
      </c>
    </row>
    <row r="624">
      <c r="B624" s="8" t="n"/>
      <c r="C624" s="9">
        <f>IFERROR(_xll.ciqfunctions.udf.CIQ(mh_ticker, "IQ_LASTSALEPRICE", B624), "")</f>
        <v/>
      </c>
      <c r="D624" s="10">
        <f>IFERROR(_xll.ciqfunctions.udf.CIQ(mh_ticker, "IQ_SHARESOUTSTANDING_OUT", B624), "")</f>
        <v/>
      </c>
      <c r="E624" s="11">
        <f>IFERROR(_xll.ciqfunctions.udf.CIQ(mh_ticker, "IQ_CASH_EQUIV", , B624), "")</f>
        <v/>
      </c>
      <c r="F624" s="11">
        <f>IFERROR(_xll.ciqfunctions.udf.CIQ(mh_ticker, "IQ_ST_INVEST", , B624), "")</f>
        <v/>
      </c>
      <c r="G624" s="11">
        <f>IFERROR(_xll.ciqfunctions.udf.CIQ(mh_ticker, "IQ_TOTAL_DEBT_EXCL_OPER_LEASES", , B624), "")</f>
        <v/>
      </c>
      <c r="H624" s="11">
        <f>IFERROR(_xll.ciqfunctions.udf.CIQ(mh_ticker, "IQ_PREF_EQUITY", , B624), "")</f>
        <v/>
      </c>
      <c r="I624" s="11">
        <f>IFERROR(_xll.ciqfunctions.udf.CIQ(mh_ticker, "IQ_MINORITY_INTEREST", , B624), "")</f>
        <v/>
      </c>
      <c r="J624" s="11">
        <f>IFERROR(_xll.ciqfunctions.udf.CIQ(mh_ticker, "IQ_EQUITY_METHOD", , B624), "")</f>
        <v/>
      </c>
      <c r="K624" s="11">
        <f>IFERROR(_xll.ciqfunctions.udf.CIQ(mh_ticker, "IQ_LT_Mark_Securities", , B624), "")</f>
        <v/>
      </c>
      <c r="L624" s="12">
        <f>IFERROR(C624*D624, "")</f>
        <v/>
      </c>
      <c r="M624" s="12">
        <f>IFERROR(L624-E624-F624+G624+H624+I624-J624-K624, "")</f>
        <v/>
      </c>
      <c r="N624" s="11">
        <f>IFERROR(_xll.ciqfunctions.udf.CIQ(mh_ticker, "IQ_EBITDA_EST", IQ_NTM, B624, , , "USD"), "")</f>
        <v/>
      </c>
      <c r="O624" s="13">
        <f>IFERROR(M624/N624, "")</f>
        <v/>
      </c>
    </row>
    <row r="625">
      <c r="B625" s="8" t="n"/>
      <c r="C625" s="9">
        <f>IFERROR(_xll.ciqfunctions.udf.CIQ(mh_ticker, "IQ_LASTSALEPRICE", B625), "")</f>
        <v/>
      </c>
      <c r="D625" s="10">
        <f>IFERROR(_xll.ciqfunctions.udf.CIQ(mh_ticker, "IQ_SHARESOUTSTANDING_OUT", B625), "")</f>
        <v/>
      </c>
      <c r="E625" s="11">
        <f>IFERROR(_xll.ciqfunctions.udf.CIQ(mh_ticker, "IQ_CASH_EQUIV", , B625), "")</f>
        <v/>
      </c>
      <c r="F625" s="11">
        <f>IFERROR(_xll.ciqfunctions.udf.CIQ(mh_ticker, "IQ_ST_INVEST", , B625), "")</f>
        <v/>
      </c>
      <c r="G625" s="11">
        <f>IFERROR(_xll.ciqfunctions.udf.CIQ(mh_ticker, "IQ_TOTAL_DEBT_EXCL_OPER_LEASES", , B625), "")</f>
        <v/>
      </c>
      <c r="H625" s="11">
        <f>IFERROR(_xll.ciqfunctions.udf.CIQ(mh_ticker, "IQ_PREF_EQUITY", , B625), "")</f>
        <v/>
      </c>
      <c r="I625" s="11">
        <f>IFERROR(_xll.ciqfunctions.udf.CIQ(mh_ticker, "IQ_MINORITY_INTEREST", , B625), "")</f>
        <v/>
      </c>
      <c r="J625" s="11">
        <f>IFERROR(_xll.ciqfunctions.udf.CIQ(mh_ticker, "IQ_EQUITY_METHOD", , B625), "")</f>
        <v/>
      </c>
      <c r="K625" s="11">
        <f>IFERROR(_xll.ciqfunctions.udf.CIQ(mh_ticker, "IQ_LT_Mark_Securities", , B625), "")</f>
        <v/>
      </c>
      <c r="L625" s="12">
        <f>IFERROR(C625*D625, "")</f>
        <v/>
      </c>
      <c r="M625" s="12">
        <f>IFERROR(L625-E625-F625+G625+H625+I625-J625-K625, "")</f>
        <v/>
      </c>
      <c r="N625" s="11">
        <f>IFERROR(_xll.ciqfunctions.udf.CIQ(mh_ticker, "IQ_EBITDA_EST", IQ_NTM, B625, , , "USD"), "")</f>
        <v/>
      </c>
      <c r="O625" s="13">
        <f>IFERROR(M625/N625, "")</f>
        <v/>
      </c>
    </row>
    <row r="626">
      <c r="B626" s="8" t="n"/>
      <c r="C626" s="9">
        <f>IFERROR(_xll.ciqfunctions.udf.CIQ(mh_ticker, "IQ_LASTSALEPRICE", B626), "")</f>
        <v/>
      </c>
      <c r="D626" s="10">
        <f>IFERROR(_xll.ciqfunctions.udf.CIQ(mh_ticker, "IQ_SHARESOUTSTANDING_OUT", B626), "")</f>
        <v/>
      </c>
      <c r="E626" s="11">
        <f>IFERROR(_xll.ciqfunctions.udf.CIQ(mh_ticker, "IQ_CASH_EQUIV", , B626), "")</f>
        <v/>
      </c>
      <c r="F626" s="11">
        <f>IFERROR(_xll.ciqfunctions.udf.CIQ(mh_ticker, "IQ_ST_INVEST", , B626), "")</f>
        <v/>
      </c>
      <c r="G626" s="11">
        <f>IFERROR(_xll.ciqfunctions.udf.CIQ(mh_ticker, "IQ_TOTAL_DEBT_EXCL_OPER_LEASES", , B626), "")</f>
        <v/>
      </c>
      <c r="H626" s="11">
        <f>IFERROR(_xll.ciqfunctions.udf.CIQ(mh_ticker, "IQ_PREF_EQUITY", , B626), "")</f>
        <v/>
      </c>
      <c r="I626" s="11">
        <f>IFERROR(_xll.ciqfunctions.udf.CIQ(mh_ticker, "IQ_MINORITY_INTEREST", , B626), "")</f>
        <v/>
      </c>
      <c r="J626" s="11">
        <f>IFERROR(_xll.ciqfunctions.udf.CIQ(mh_ticker, "IQ_EQUITY_METHOD", , B626), "")</f>
        <v/>
      </c>
      <c r="K626" s="11">
        <f>IFERROR(_xll.ciqfunctions.udf.CIQ(mh_ticker, "IQ_LT_Mark_Securities", , B626), "")</f>
        <v/>
      </c>
      <c r="L626" s="12">
        <f>IFERROR(C626*D626, "")</f>
        <v/>
      </c>
      <c r="M626" s="12">
        <f>IFERROR(L626-E626-F626+G626+H626+I626-J626-K626, "")</f>
        <v/>
      </c>
      <c r="N626" s="11">
        <f>IFERROR(_xll.ciqfunctions.udf.CIQ(mh_ticker, "IQ_EBITDA_EST", IQ_NTM, B626, , , "USD"), "")</f>
        <v/>
      </c>
      <c r="O626" s="13">
        <f>IFERROR(M626/N626, "")</f>
        <v/>
      </c>
    </row>
    <row r="627">
      <c r="B627" s="8" t="n"/>
      <c r="C627" s="9">
        <f>IFERROR(_xll.ciqfunctions.udf.CIQ(mh_ticker, "IQ_LASTSALEPRICE", B627), "")</f>
        <v/>
      </c>
      <c r="D627" s="10">
        <f>IFERROR(_xll.ciqfunctions.udf.CIQ(mh_ticker, "IQ_SHARESOUTSTANDING_OUT", B627), "")</f>
        <v/>
      </c>
      <c r="E627" s="11">
        <f>IFERROR(_xll.ciqfunctions.udf.CIQ(mh_ticker, "IQ_CASH_EQUIV", , B627), "")</f>
        <v/>
      </c>
      <c r="F627" s="11">
        <f>IFERROR(_xll.ciqfunctions.udf.CIQ(mh_ticker, "IQ_ST_INVEST", , B627), "")</f>
        <v/>
      </c>
      <c r="G627" s="11">
        <f>IFERROR(_xll.ciqfunctions.udf.CIQ(mh_ticker, "IQ_TOTAL_DEBT_EXCL_OPER_LEASES", , B627), "")</f>
        <v/>
      </c>
      <c r="H627" s="11">
        <f>IFERROR(_xll.ciqfunctions.udf.CIQ(mh_ticker, "IQ_PREF_EQUITY", , B627), "")</f>
        <v/>
      </c>
      <c r="I627" s="11">
        <f>IFERROR(_xll.ciqfunctions.udf.CIQ(mh_ticker, "IQ_MINORITY_INTEREST", , B627), "")</f>
        <v/>
      </c>
      <c r="J627" s="11">
        <f>IFERROR(_xll.ciqfunctions.udf.CIQ(mh_ticker, "IQ_EQUITY_METHOD", , B627), "")</f>
        <v/>
      </c>
      <c r="K627" s="11">
        <f>IFERROR(_xll.ciqfunctions.udf.CIQ(mh_ticker, "IQ_LT_Mark_Securities", , B627), "")</f>
        <v/>
      </c>
      <c r="L627" s="12">
        <f>IFERROR(C627*D627, "")</f>
        <v/>
      </c>
      <c r="M627" s="12">
        <f>IFERROR(L627-E627-F627+G627+H627+I627-J627-K627, "")</f>
        <v/>
      </c>
      <c r="N627" s="11">
        <f>IFERROR(_xll.ciqfunctions.udf.CIQ(mh_ticker, "IQ_EBITDA_EST", IQ_NTM, B627, , , "USD"), "")</f>
        <v/>
      </c>
      <c r="O627" s="13">
        <f>IFERROR(M627/N627, "")</f>
        <v/>
      </c>
    </row>
    <row r="628">
      <c r="B628" s="8" t="n"/>
      <c r="C628" s="9">
        <f>IFERROR(_xll.ciqfunctions.udf.CIQ(mh_ticker, "IQ_LASTSALEPRICE", B628), "")</f>
        <v/>
      </c>
      <c r="D628" s="10">
        <f>IFERROR(_xll.ciqfunctions.udf.CIQ(mh_ticker, "IQ_SHARESOUTSTANDING_OUT", B628), "")</f>
        <v/>
      </c>
      <c r="E628" s="11">
        <f>IFERROR(_xll.ciqfunctions.udf.CIQ(mh_ticker, "IQ_CASH_EQUIV", , B628), "")</f>
        <v/>
      </c>
      <c r="F628" s="11">
        <f>IFERROR(_xll.ciqfunctions.udf.CIQ(mh_ticker, "IQ_ST_INVEST", , B628), "")</f>
        <v/>
      </c>
      <c r="G628" s="11">
        <f>IFERROR(_xll.ciqfunctions.udf.CIQ(mh_ticker, "IQ_TOTAL_DEBT_EXCL_OPER_LEASES", , B628), "")</f>
        <v/>
      </c>
      <c r="H628" s="11">
        <f>IFERROR(_xll.ciqfunctions.udf.CIQ(mh_ticker, "IQ_PREF_EQUITY", , B628), "")</f>
        <v/>
      </c>
      <c r="I628" s="11">
        <f>IFERROR(_xll.ciqfunctions.udf.CIQ(mh_ticker, "IQ_MINORITY_INTEREST", , B628), "")</f>
        <v/>
      </c>
      <c r="J628" s="11">
        <f>IFERROR(_xll.ciqfunctions.udf.CIQ(mh_ticker, "IQ_EQUITY_METHOD", , B628), "")</f>
        <v/>
      </c>
      <c r="K628" s="11">
        <f>IFERROR(_xll.ciqfunctions.udf.CIQ(mh_ticker, "IQ_LT_Mark_Securities", , B628), "")</f>
        <v/>
      </c>
      <c r="L628" s="12">
        <f>IFERROR(C628*D628, "")</f>
        <v/>
      </c>
      <c r="M628" s="12">
        <f>IFERROR(L628-E628-F628+G628+H628+I628-J628-K628, "")</f>
        <v/>
      </c>
      <c r="N628" s="11">
        <f>IFERROR(_xll.ciqfunctions.udf.CIQ(mh_ticker, "IQ_EBITDA_EST", IQ_NTM, B628, , , "USD"), "")</f>
        <v/>
      </c>
      <c r="O628" s="13">
        <f>IFERROR(M628/N628, "")</f>
        <v/>
      </c>
    </row>
    <row r="629">
      <c r="B629" s="8" t="n"/>
      <c r="C629" s="9">
        <f>IFERROR(_xll.ciqfunctions.udf.CIQ(mh_ticker, "IQ_LASTSALEPRICE", B629), "")</f>
        <v/>
      </c>
      <c r="D629" s="10">
        <f>IFERROR(_xll.ciqfunctions.udf.CIQ(mh_ticker, "IQ_SHARESOUTSTANDING_OUT", B629), "")</f>
        <v/>
      </c>
      <c r="E629" s="11">
        <f>IFERROR(_xll.ciqfunctions.udf.CIQ(mh_ticker, "IQ_CASH_EQUIV", , B629), "")</f>
        <v/>
      </c>
      <c r="F629" s="11">
        <f>IFERROR(_xll.ciqfunctions.udf.CIQ(mh_ticker, "IQ_ST_INVEST", , B629), "")</f>
        <v/>
      </c>
      <c r="G629" s="11">
        <f>IFERROR(_xll.ciqfunctions.udf.CIQ(mh_ticker, "IQ_TOTAL_DEBT_EXCL_OPER_LEASES", , B629), "")</f>
        <v/>
      </c>
      <c r="H629" s="11">
        <f>IFERROR(_xll.ciqfunctions.udf.CIQ(mh_ticker, "IQ_PREF_EQUITY", , B629), "")</f>
        <v/>
      </c>
      <c r="I629" s="11">
        <f>IFERROR(_xll.ciqfunctions.udf.CIQ(mh_ticker, "IQ_MINORITY_INTEREST", , B629), "")</f>
        <v/>
      </c>
      <c r="J629" s="11">
        <f>IFERROR(_xll.ciqfunctions.udf.CIQ(mh_ticker, "IQ_EQUITY_METHOD", , B629), "")</f>
        <v/>
      </c>
      <c r="K629" s="11">
        <f>IFERROR(_xll.ciqfunctions.udf.CIQ(mh_ticker, "IQ_LT_Mark_Securities", , B629), "")</f>
        <v/>
      </c>
      <c r="L629" s="12">
        <f>IFERROR(C629*D629, "")</f>
        <v/>
      </c>
      <c r="M629" s="12">
        <f>IFERROR(L629-E629-F629+G629+H629+I629-J629-K629, "")</f>
        <v/>
      </c>
      <c r="N629" s="11">
        <f>IFERROR(_xll.ciqfunctions.udf.CIQ(mh_ticker, "IQ_EBITDA_EST", IQ_NTM, B629, , , "USD"), "")</f>
        <v/>
      </c>
      <c r="O629" s="13">
        <f>IFERROR(M629/N629, "")</f>
        <v/>
      </c>
    </row>
    <row r="630">
      <c r="B630" s="8" t="n"/>
      <c r="C630" s="9">
        <f>IFERROR(_xll.ciqfunctions.udf.CIQ(mh_ticker, "IQ_LASTSALEPRICE", B630), "")</f>
        <v/>
      </c>
      <c r="D630" s="10">
        <f>IFERROR(_xll.ciqfunctions.udf.CIQ(mh_ticker, "IQ_SHARESOUTSTANDING_OUT", B630), "")</f>
        <v/>
      </c>
      <c r="E630" s="11">
        <f>IFERROR(_xll.ciqfunctions.udf.CIQ(mh_ticker, "IQ_CASH_EQUIV", , B630), "")</f>
        <v/>
      </c>
      <c r="F630" s="11">
        <f>IFERROR(_xll.ciqfunctions.udf.CIQ(mh_ticker, "IQ_ST_INVEST", , B630), "")</f>
        <v/>
      </c>
      <c r="G630" s="11">
        <f>IFERROR(_xll.ciqfunctions.udf.CIQ(mh_ticker, "IQ_TOTAL_DEBT_EXCL_OPER_LEASES", , B630), "")</f>
        <v/>
      </c>
      <c r="H630" s="11">
        <f>IFERROR(_xll.ciqfunctions.udf.CIQ(mh_ticker, "IQ_PREF_EQUITY", , B630), "")</f>
        <v/>
      </c>
      <c r="I630" s="11">
        <f>IFERROR(_xll.ciqfunctions.udf.CIQ(mh_ticker, "IQ_MINORITY_INTEREST", , B630), "")</f>
        <v/>
      </c>
      <c r="J630" s="11">
        <f>IFERROR(_xll.ciqfunctions.udf.CIQ(mh_ticker, "IQ_EQUITY_METHOD", , B630), "")</f>
        <v/>
      </c>
      <c r="K630" s="11">
        <f>IFERROR(_xll.ciqfunctions.udf.CIQ(mh_ticker, "IQ_LT_Mark_Securities", , B630), "")</f>
        <v/>
      </c>
      <c r="L630" s="12">
        <f>IFERROR(C630*D630, "")</f>
        <v/>
      </c>
      <c r="M630" s="12">
        <f>IFERROR(L630-E630-F630+G630+H630+I630-J630-K630, "")</f>
        <v/>
      </c>
      <c r="N630" s="11">
        <f>IFERROR(_xll.ciqfunctions.udf.CIQ(mh_ticker, "IQ_EBITDA_EST", IQ_NTM, B630, , , "USD"), "")</f>
        <v/>
      </c>
      <c r="O630" s="13">
        <f>IFERROR(M630/N630, "")</f>
        <v/>
      </c>
    </row>
    <row r="631">
      <c r="B631" s="8" t="n"/>
      <c r="C631" s="9">
        <f>IFERROR(_xll.ciqfunctions.udf.CIQ(mh_ticker, "IQ_LASTSALEPRICE", B631), "")</f>
        <v/>
      </c>
      <c r="D631" s="10">
        <f>IFERROR(_xll.ciqfunctions.udf.CIQ(mh_ticker, "IQ_SHARESOUTSTANDING_OUT", B631), "")</f>
        <v/>
      </c>
      <c r="E631" s="11">
        <f>IFERROR(_xll.ciqfunctions.udf.CIQ(mh_ticker, "IQ_CASH_EQUIV", , B631), "")</f>
        <v/>
      </c>
      <c r="F631" s="11">
        <f>IFERROR(_xll.ciqfunctions.udf.CIQ(mh_ticker, "IQ_ST_INVEST", , B631), "")</f>
        <v/>
      </c>
      <c r="G631" s="11">
        <f>IFERROR(_xll.ciqfunctions.udf.CIQ(mh_ticker, "IQ_TOTAL_DEBT_EXCL_OPER_LEASES", , B631), "")</f>
        <v/>
      </c>
      <c r="H631" s="11">
        <f>IFERROR(_xll.ciqfunctions.udf.CIQ(mh_ticker, "IQ_PREF_EQUITY", , B631), "")</f>
        <v/>
      </c>
      <c r="I631" s="11">
        <f>IFERROR(_xll.ciqfunctions.udf.CIQ(mh_ticker, "IQ_MINORITY_INTEREST", , B631), "")</f>
        <v/>
      </c>
      <c r="J631" s="11">
        <f>IFERROR(_xll.ciqfunctions.udf.CIQ(mh_ticker, "IQ_EQUITY_METHOD", , B631), "")</f>
        <v/>
      </c>
      <c r="K631" s="11">
        <f>IFERROR(_xll.ciqfunctions.udf.CIQ(mh_ticker, "IQ_LT_Mark_Securities", , B631), "")</f>
        <v/>
      </c>
      <c r="L631" s="12">
        <f>IFERROR(C631*D631, "")</f>
        <v/>
      </c>
      <c r="M631" s="12">
        <f>IFERROR(L631-E631-F631+G631+H631+I631-J631-K631, "")</f>
        <v/>
      </c>
      <c r="N631" s="11">
        <f>IFERROR(_xll.ciqfunctions.udf.CIQ(mh_ticker, "IQ_EBITDA_EST", IQ_NTM, B631, , , "USD"), "")</f>
        <v/>
      </c>
      <c r="O631" s="13">
        <f>IFERROR(M631/N631, "")</f>
        <v/>
      </c>
    </row>
    <row r="632">
      <c r="B632" s="8" t="n"/>
      <c r="C632" s="9">
        <f>IFERROR(_xll.ciqfunctions.udf.CIQ(mh_ticker, "IQ_LASTSALEPRICE", B632), "")</f>
        <v/>
      </c>
      <c r="D632" s="10">
        <f>IFERROR(_xll.ciqfunctions.udf.CIQ(mh_ticker, "IQ_SHARESOUTSTANDING_OUT", B632), "")</f>
        <v/>
      </c>
      <c r="E632" s="11">
        <f>IFERROR(_xll.ciqfunctions.udf.CIQ(mh_ticker, "IQ_CASH_EQUIV", , B632), "")</f>
        <v/>
      </c>
      <c r="F632" s="11">
        <f>IFERROR(_xll.ciqfunctions.udf.CIQ(mh_ticker, "IQ_ST_INVEST", , B632), "")</f>
        <v/>
      </c>
      <c r="G632" s="11">
        <f>IFERROR(_xll.ciqfunctions.udf.CIQ(mh_ticker, "IQ_TOTAL_DEBT_EXCL_OPER_LEASES", , B632), "")</f>
        <v/>
      </c>
      <c r="H632" s="11">
        <f>IFERROR(_xll.ciqfunctions.udf.CIQ(mh_ticker, "IQ_PREF_EQUITY", , B632), "")</f>
        <v/>
      </c>
      <c r="I632" s="11">
        <f>IFERROR(_xll.ciqfunctions.udf.CIQ(mh_ticker, "IQ_MINORITY_INTEREST", , B632), "")</f>
        <v/>
      </c>
      <c r="J632" s="11">
        <f>IFERROR(_xll.ciqfunctions.udf.CIQ(mh_ticker, "IQ_EQUITY_METHOD", , B632), "")</f>
        <v/>
      </c>
      <c r="K632" s="11">
        <f>IFERROR(_xll.ciqfunctions.udf.CIQ(mh_ticker, "IQ_LT_Mark_Securities", , B632), "")</f>
        <v/>
      </c>
      <c r="L632" s="12">
        <f>IFERROR(C632*D632, "")</f>
        <v/>
      </c>
      <c r="M632" s="12">
        <f>IFERROR(L632-E632-F632+G632+H632+I632-J632-K632, "")</f>
        <v/>
      </c>
      <c r="N632" s="11">
        <f>IFERROR(_xll.ciqfunctions.udf.CIQ(mh_ticker, "IQ_EBITDA_EST", IQ_NTM, B632, , , "USD"), "")</f>
        <v/>
      </c>
      <c r="O632" s="13">
        <f>IFERROR(M632/N632, "")</f>
        <v/>
      </c>
    </row>
    <row r="633">
      <c r="B633" s="8" t="n"/>
      <c r="C633" s="9">
        <f>IFERROR(_xll.ciqfunctions.udf.CIQ(mh_ticker, "IQ_LASTSALEPRICE", B633), "")</f>
        <v/>
      </c>
      <c r="D633" s="10">
        <f>IFERROR(_xll.ciqfunctions.udf.CIQ(mh_ticker, "IQ_SHARESOUTSTANDING_OUT", B633), "")</f>
        <v/>
      </c>
      <c r="E633" s="11">
        <f>IFERROR(_xll.ciqfunctions.udf.CIQ(mh_ticker, "IQ_CASH_EQUIV", , B633), "")</f>
        <v/>
      </c>
      <c r="F633" s="11">
        <f>IFERROR(_xll.ciqfunctions.udf.CIQ(mh_ticker, "IQ_ST_INVEST", , B633), "")</f>
        <v/>
      </c>
      <c r="G633" s="11">
        <f>IFERROR(_xll.ciqfunctions.udf.CIQ(mh_ticker, "IQ_TOTAL_DEBT_EXCL_OPER_LEASES", , B633), "")</f>
        <v/>
      </c>
      <c r="H633" s="11">
        <f>IFERROR(_xll.ciqfunctions.udf.CIQ(mh_ticker, "IQ_PREF_EQUITY", , B633), "")</f>
        <v/>
      </c>
      <c r="I633" s="11">
        <f>IFERROR(_xll.ciqfunctions.udf.CIQ(mh_ticker, "IQ_MINORITY_INTEREST", , B633), "")</f>
        <v/>
      </c>
      <c r="J633" s="11">
        <f>IFERROR(_xll.ciqfunctions.udf.CIQ(mh_ticker, "IQ_EQUITY_METHOD", , B633), "")</f>
        <v/>
      </c>
      <c r="K633" s="11">
        <f>IFERROR(_xll.ciqfunctions.udf.CIQ(mh_ticker, "IQ_LT_Mark_Securities", , B633), "")</f>
        <v/>
      </c>
      <c r="L633" s="12">
        <f>IFERROR(C633*D633, "")</f>
        <v/>
      </c>
      <c r="M633" s="12">
        <f>IFERROR(L633-E633-F633+G633+H633+I633-J633-K633, "")</f>
        <v/>
      </c>
      <c r="N633" s="11">
        <f>IFERROR(_xll.ciqfunctions.udf.CIQ(mh_ticker, "IQ_EBITDA_EST", IQ_NTM, B633, , , "USD"), "")</f>
        <v/>
      </c>
      <c r="O633" s="13">
        <f>IFERROR(M633/N633, "")</f>
        <v/>
      </c>
    </row>
    <row r="634">
      <c r="B634" s="8" t="n"/>
      <c r="C634" s="9">
        <f>IFERROR(_xll.ciqfunctions.udf.CIQ(mh_ticker, "IQ_LASTSALEPRICE", B634), "")</f>
        <v/>
      </c>
      <c r="D634" s="10">
        <f>IFERROR(_xll.ciqfunctions.udf.CIQ(mh_ticker, "IQ_SHARESOUTSTANDING_OUT", B634), "")</f>
        <v/>
      </c>
      <c r="E634" s="11">
        <f>IFERROR(_xll.ciqfunctions.udf.CIQ(mh_ticker, "IQ_CASH_EQUIV", , B634), "")</f>
        <v/>
      </c>
      <c r="F634" s="11">
        <f>IFERROR(_xll.ciqfunctions.udf.CIQ(mh_ticker, "IQ_ST_INVEST", , B634), "")</f>
        <v/>
      </c>
      <c r="G634" s="11">
        <f>IFERROR(_xll.ciqfunctions.udf.CIQ(mh_ticker, "IQ_TOTAL_DEBT_EXCL_OPER_LEASES", , B634), "")</f>
        <v/>
      </c>
      <c r="H634" s="11">
        <f>IFERROR(_xll.ciqfunctions.udf.CIQ(mh_ticker, "IQ_PREF_EQUITY", , B634), "")</f>
        <v/>
      </c>
      <c r="I634" s="11">
        <f>IFERROR(_xll.ciqfunctions.udf.CIQ(mh_ticker, "IQ_MINORITY_INTEREST", , B634), "")</f>
        <v/>
      </c>
      <c r="J634" s="11">
        <f>IFERROR(_xll.ciqfunctions.udf.CIQ(mh_ticker, "IQ_EQUITY_METHOD", , B634), "")</f>
        <v/>
      </c>
      <c r="K634" s="11">
        <f>IFERROR(_xll.ciqfunctions.udf.CIQ(mh_ticker, "IQ_LT_Mark_Securities", , B634), "")</f>
        <v/>
      </c>
      <c r="L634" s="12">
        <f>IFERROR(C634*D634, "")</f>
        <v/>
      </c>
      <c r="M634" s="12">
        <f>IFERROR(L634-E634-F634+G634+H634+I634-J634-K634, "")</f>
        <v/>
      </c>
      <c r="N634" s="11">
        <f>IFERROR(_xll.ciqfunctions.udf.CIQ(mh_ticker, "IQ_EBITDA_EST", IQ_NTM, B634, , , "USD"), "")</f>
        <v/>
      </c>
      <c r="O634" s="13">
        <f>IFERROR(M634/N634, "")</f>
        <v/>
      </c>
    </row>
    <row r="635">
      <c r="B635" s="8" t="n"/>
      <c r="C635" s="9">
        <f>IFERROR(_xll.ciqfunctions.udf.CIQ(mh_ticker, "IQ_LASTSALEPRICE", B635), "")</f>
        <v/>
      </c>
      <c r="D635" s="10">
        <f>IFERROR(_xll.ciqfunctions.udf.CIQ(mh_ticker, "IQ_SHARESOUTSTANDING_OUT", B635), "")</f>
        <v/>
      </c>
      <c r="E635" s="11">
        <f>IFERROR(_xll.ciqfunctions.udf.CIQ(mh_ticker, "IQ_CASH_EQUIV", , B635), "")</f>
        <v/>
      </c>
      <c r="F635" s="11">
        <f>IFERROR(_xll.ciqfunctions.udf.CIQ(mh_ticker, "IQ_ST_INVEST", , B635), "")</f>
        <v/>
      </c>
      <c r="G635" s="11">
        <f>IFERROR(_xll.ciqfunctions.udf.CIQ(mh_ticker, "IQ_TOTAL_DEBT_EXCL_OPER_LEASES", , B635), "")</f>
        <v/>
      </c>
      <c r="H635" s="11">
        <f>IFERROR(_xll.ciqfunctions.udf.CIQ(mh_ticker, "IQ_PREF_EQUITY", , B635), "")</f>
        <v/>
      </c>
      <c r="I635" s="11">
        <f>IFERROR(_xll.ciqfunctions.udf.CIQ(mh_ticker, "IQ_MINORITY_INTEREST", , B635), "")</f>
        <v/>
      </c>
      <c r="J635" s="11">
        <f>IFERROR(_xll.ciqfunctions.udf.CIQ(mh_ticker, "IQ_EQUITY_METHOD", , B635), "")</f>
        <v/>
      </c>
      <c r="K635" s="11">
        <f>IFERROR(_xll.ciqfunctions.udf.CIQ(mh_ticker, "IQ_LT_Mark_Securities", , B635), "")</f>
        <v/>
      </c>
      <c r="L635" s="12">
        <f>IFERROR(C635*D635, "")</f>
        <v/>
      </c>
      <c r="M635" s="12">
        <f>IFERROR(L635-E635-F635+G635+H635+I635-J635-K635, "")</f>
        <v/>
      </c>
      <c r="N635" s="11">
        <f>IFERROR(_xll.ciqfunctions.udf.CIQ(mh_ticker, "IQ_EBITDA_EST", IQ_NTM, B635, , , "USD"), "")</f>
        <v/>
      </c>
      <c r="O635" s="13">
        <f>IFERROR(M635/N635, "")</f>
        <v/>
      </c>
    </row>
    <row r="636">
      <c r="B636" s="8" t="n"/>
      <c r="C636" s="9">
        <f>IFERROR(_xll.ciqfunctions.udf.CIQ(mh_ticker, "IQ_LASTSALEPRICE", B636), "")</f>
        <v/>
      </c>
      <c r="D636" s="10">
        <f>IFERROR(_xll.ciqfunctions.udf.CIQ(mh_ticker, "IQ_SHARESOUTSTANDING_OUT", B636), "")</f>
        <v/>
      </c>
      <c r="E636" s="11">
        <f>IFERROR(_xll.ciqfunctions.udf.CIQ(mh_ticker, "IQ_CASH_EQUIV", , B636), "")</f>
        <v/>
      </c>
      <c r="F636" s="11">
        <f>IFERROR(_xll.ciqfunctions.udf.CIQ(mh_ticker, "IQ_ST_INVEST", , B636), "")</f>
        <v/>
      </c>
      <c r="G636" s="11">
        <f>IFERROR(_xll.ciqfunctions.udf.CIQ(mh_ticker, "IQ_TOTAL_DEBT_EXCL_OPER_LEASES", , B636), "")</f>
        <v/>
      </c>
      <c r="H636" s="11">
        <f>IFERROR(_xll.ciqfunctions.udf.CIQ(mh_ticker, "IQ_PREF_EQUITY", , B636), "")</f>
        <v/>
      </c>
      <c r="I636" s="11">
        <f>IFERROR(_xll.ciqfunctions.udf.CIQ(mh_ticker, "IQ_MINORITY_INTEREST", , B636), "")</f>
        <v/>
      </c>
      <c r="J636" s="11">
        <f>IFERROR(_xll.ciqfunctions.udf.CIQ(mh_ticker, "IQ_EQUITY_METHOD", , B636), "")</f>
        <v/>
      </c>
      <c r="K636" s="11">
        <f>IFERROR(_xll.ciqfunctions.udf.CIQ(mh_ticker, "IQ_LT_Mark_Securities", , B636), "")</f>
        <v/>
      </c>
      <c r="L636" s="12">
        <f>IFERROR(C636*D636, "")</f>
        <v/>
      </c>
      <c r="M636" s="12">
        <f>IFERROR(L636-E636-F636+G636+H636+I636-J636-K636, "")</f>
        <v/>
      </c>
      <c r="N636" s="11">
        <f>IFERROR(_xll.ciqfunctions.udf.CIQ(mh_ticker, "IQ_EBITDA_EST", IQ_NTM, B636, , , "USD"), "")</f>
        <v/>
      </c>
      <c r="O636" s="13">
        <f>IFERROR(M636/N636, "")</f>
        <v/>
      </c>
    </row>
    <row r="637">
      <c r="B637" s="8" t="n"/>
      <c r="C637" s="9">
        <f>IFERROR(_xll.ciqfunctions.udf.CIQ(mh_ticker, "IQ_LASTSALEPRICE", B637), "")</f>
        <v/>
      </c>
      <c r="D637" s="10">
        <f>IFERROR(_xll.ciqfunctions.udf.CIQ(mh_ticker, "IQ_SHARESOUTSTANDING_OUT", B637), "")</f>
        <v/>
      </c>
      <c r="E637" s="11">
        <f>IFERROR(_xll.ciqfunctions.udf.CIQ(mh_ticker, "IQ_CASH_EQUIV", , B637), "")</f>
        <v/>
      </c>
      <c r="F637" s="11">
        <f>IFERROR(_xll.ciqfunctions.udf.CIQ(mh_ticker, "IQ_ST_INVEST", , B637), "")</f>
        <v/>
      </c>
      <c r="G637" s="11">
        <f>IFERROR(_xll.ciqfunctions.udf.CIQ(mh_ticker, "IQ_TOTAL_DEBT_EXCL_OPER_LEASES", , B637), "")</f>
        <v/>
      </c>
      <c r="H637" s="11">
        <f>IFERROR(_xll.ciqfunctions.udf.CIQ(mh_ticker, "IQ_PREF_EQUITY", , B637), "")</f>
        <v/>
      </c>
      <c r="I637" s="11">
        <f>IFERROR(_xll.ciqfunctions.udf.CIQ(mh_ticker, "IQ_MINORITY_INTEREST", , B637), "")</f>
        <v/>
      </c>
      <c r="J637" s="11">
        <f>IFERROR(_xll.ciqfunctions.udf.CIQ(mh_ticker, "IQ_EQUITY_METHOD", , B637), "")</f>
        <v/>
      </c>
      <c r="K637" s="11">
        <f>IFERROR(_xll.ciqfunctions.udf.CIQ(mh_ticker, "IQ_LT_Mark_Securities", , B637), "")</f>
        <v/>
      </c>
      <c r="L637" s="12">
        <f>IFERROR(C637*D637, "")</f>
        <v/>
      </c>
      <c r="M637" s="12">
        <f>IFERROR(L637-E637-F637+G637+H637+I637-J637-K637, "")</f>
        <v/>
      </c>
      <c r="N637" s="11">
        <f>IFERROR(_xll.ciqfunctions.udf.CIQ(mh_ticker, "IQ_EBITDA_EST", IQ_NTM, B637, , , "USD"), "")</f>
        <v/>
      </c>
      <c r="O637" s="13">
        <f>IFERROR(M637/N637, "")</f>
        <v/>
      </c>
    </row>
    <row r="638">
      <c r="B638" s="8" t="n"/>
      <c r="C638" s="9">
        <f>IFERROR(_xll.ciqfunctions.udf.CIQ(mh_ticker, "IQ_LASTSALEPRICE", B638), "")</f>
        <v/>
      </c>
      <c r="D638" s="10">
        <f>IFERROR(_xll.ciqfunctions.udf.CIQ(mh_ticker, "IQ_SHARESOUTSTANDING_OUT", B638), "")</f>
        <v/>
      </c>
      <c r="E638" s="11">
        <f>IFERROR(_xll.ciqfunctions.udf.CIQ(mh_ticker, "IQ_CASH_EQUIV", , B638), "")</f>
        <v/>
      </c>
      <c r="F638" s="11">
        <f>IFERROR(_xll.ciqfunctions.udf.CIQ(mh_ticker, "IQ_ST_INVEST", , B638), "")</f>
        <v/>
      </c>
      <c r="G638" s="11">
        <f>IFERROR(_xll.ciqfunctions.udf.CIQ(mh_ticker, "IQ_TOTAL_DEBT_EXCL_OPER_LEASES", , B638), "")</f>
        <v/>
      </c>
      <c r="H638" s="11">
        <f>IFERROR(_xll.ciqfunctions.udf.CIQ(mh_ticker, "IQ_PREF_EQUITY", , B638), "")</f>
        <v/>
      </c>
      <c r="I638" s="11">
        <f>IFERROR(_xll.ciqfunctions.udf.CIQ(mh_ticker, "IQ_MINORITY_INTEREST", , B638), "")</f>
        <v/>
      </c>
      <c r="J638" s="11">
        <f>IFERROR(_xll.ciqfunctions.udf.CIQ(mh_ticker, "IQ_EQUITY_METHOD", , B638), "")</f>
        <v/>
      </c>
      <c r="K638" s="11">
        <f>IFERROR(_xll.ciqfunctions.udf.CIQ(mh_ticker, "IQ_LT_Mark_Securities", , B638), "")</f>
        <v/>
      </c>
      <c r="L638" s="12">
        <f>IFERROR(C638*D638, "")</f>
        <v/>
      </c>
      <c r="M638" s="12">
        <f>IFERROR(L638-E638-F638+G638+H638+I638-J638-K638, "")</f>
        <v/>
      </c>
      <c r="N638" s="11">
        <f>IFERROR(_xll.ciqfunctions.udf.CIQ(mh_ticker, "IQ_EBITDA_EST", IQ_NTM, B638, , , "USD"), "")</f>
        <v/>
      </c>
      <c r="O638" s="13">
        <f>IFERROR(M638/N638, "")</f>
        <v/>
      </c>
    </row>
    <row r="639">
      <c r="B639" s="8" t="n"/>
      <c r="C639" s="9">
        <f>IFERROR(_xll.ciqfunctions.udf.CIQ(mh_ticker, "IQ_LASTSALEPRICE", B639), "")</f>
        <v/>
      </c>
      <c r="D639" s="10">
        <f>IFERROR(_xll.ciqfunctions.udf.CIQ(mh_ticker, "IQ_SHARESOUTSTANDING_OUT", B639), "")</f>
        <v/>
      </c>
      <c r="E639" s="11">
        <f>IFERROR(_xll.ciqfunctions.udf.CIQ(mh_ticker, "IQ_CASH_EQUIV", , B639), "")</f>
        <v/>
      </c>
      <c r="F639" s="11">
        <f>IFERROR(_xll.ciqfunctions.udf.CIQ(mh_ticker, "IQ_ST_INVEST", , B639), "")</f>
        <v/>
      </c>
      <c r="G639" s="11">
        <f>IFERROR(_xll.ciqfunctions.udf.CIQ(mh_ticker, "IQ_TOTAL_DEBT_EXCL_OPER_LEASES", , B639), "")</f>
        <v/>
      </c>
      <c r="H639" s="11">
        <f>IFERROR(_xll.ciqfunctions.udf.CIQ(mh_ticker, "IQ_PREF_EQUITY", , B639), "")</f>
        <v/>
      </c>
      <c r="I639" s="11">
        <f>IFERROR(_xll.ciqfunctions.udf.CIQ(mh_ticker, "IQ_MINORITY_INTEREST", , B639), "")</f>
        <v/>
      </c>
      <c r="J639" s="11">
        <f>IFERROR(_xll.ciqfunctions.udf.CIQ(mh_ticker, "IQ_EQUITY_METHOD", , B639), "")</f>
        <v/>
      </c>
      <c r="K639" s="11">
        <f>IFERROR(_xll.ciqfunctions.udf.CIQ(mh_ticker, "IQ_LT_Mark_Securities", , B639), "")</f>
        <v/>
      </c>
      <c r="L639" s="12">
        <f>IFERROR(C639*D639, "")</f>
        <v/>
      </c>
      <c r="M639" s="12">
        <f>IFERROR(L639-E639-F639+G639+H639+I639-J639-K639, "")</f>
        <v/>
      </c>
      <c r="N639" s="11">
        <f>IFERROR(_xll.ciqfunctions.udf.CIQ(mh_ticker, "IQ_EBITDA_EST", IQ_NTM, B639, , , "USD"), "")</f>
        <v/>
      </c>
      <c r="O639" s="13">
        <f>IFERROR(M639/N639, "")</f>
        <v/>
      </c>
    </row>
    <row r="640">
      <c r="B640" s="8" t="n"/>
      <c r="C640" s="9">
        <f>IFERROR(_xll.ciqfunctions.udf.CIQ(mh_ticker, "IQ_LASTSALEPRICE", B640), "")</f>
        <v/>
      </c>
      <c r="D640" s="10">
        <f>IFERROR(_xll.ciqfunctions.udf.CIQ(mh_ticker, "IQ_SHARESOUTSTANDING_OUT", B640), "")</f>
        <v/>
      </c>
      <c r="E640" s="11">
        <f>IFERROR(_xll.ciqfunctions.udf.CIQ(mh_ticker, "IQ_CASH_EQUIV", , B640), "")</f>
        <v/>
      </c>
      <c r="F640" s="11">
        <f>IFERROR(_xll.ciqfunctions.udf.CIQ(mh_ticker, "IQ_ST_INVEST", , B640), "")</f>
        <v/>
      </c>
      <c r="G640" s="11">
        <f>IFERROR(_xll.ciqfunctions.udf.CIQ(mh_ticker, "IQ_TOTAL_DEBT_EXCL_OPER_LEASES", , B640), "")</f>
        <v/>
      </c>
      <c r="H640" s="11">
        <f>IFERROR(_xll.ciqfunctions.udf.CIQ(mh_ticker, "IQ_PREF_EQUITY", , B640), "")</f>
        <v/>
      </c>
      <c r="I640" s="11">
        <f>IFERROR(_xll.ciqfunctions.udf.CIQ(mh_ticker, "IQ_MINORITY_INTEREST", , B640), "")</f>
        <v/>
      </c>
      <c r="J640" s="11">
        <f>IFERROR(_xll.ciqfunctions.udf.CIQ(mh_ticker, "IQ_EQUITY_METHOD", , B640), "")</f>
        <v/>
      </c>
      <c r="K640" s="11">
        <f>IFERROR(_xll.ciqfunctions.udf.CIQ(mh_ticker, "IQ_LT_Mark_Securities", , B640), "")</f>
        <v/>
      </c>
      <c r="L640" s="12">
        <f>IFERROR(C640*D640, "")</f>
        <v/>
      </c>
      <c r="M640" s="12">
        <f>IFERROR(L640-E640-F640+G640+H640+I640-J640-K640, "")</f>
        <v/>
      </c>
      <c r="N640" s="11">
        <f>IFERROR(_xll.ciqfunctions.udf.CIQ(mh_ticker, "IQ_EBITDA_EST", IQ_NTM, B640, , , "USD"), "")</f>
        <v/>
      </c>
      <c r="O640" s="13">
        <f>IFERROR(M640/N640, "")</f>
        <v/>
      </c>
    </row>
    <row r="641">
      <c r="B641" s="8" t="n"/>
      <c r="C641" s="9">
        <f>IFERROR(_xll.ciqfunctions.udf.CIQ(mh_ticker, "IQ_LASTSALEPRICE", B641), "")</f>
        <v/>
      </c>
      <c r="D641" s="10">
        <f>IFERROR(_xll.ciqfunctions.udf.CIQ(mh_ticker, "IQ_SHARESOUTSTANDING_OUT", B641), "")</f>
        <v/>
      </c>
      <c r="E641" s="11">
        <f>IFERROR(_xll.ciqfunctions.udf.CIQ(mh_ticker, "IQ_CASH_EQUIV", , B641), "")</f>
        <v/>
      </c>
      <c r="F641" s="11">
        <f>IFERROR(_xll.ciqfunctions.udf.CIQ(mh_ticker, "IQ_ST_INVEST", , B641), "")</f>
        <v/>
      </c>
      <c r="G641" s="11">
        <f>IFERROR(_xll.ciqfunctions.udf.CIQ(mh_ticker, "IQ_TOTAL_DEBT_EXCL_OPER_LEASES", , B641), "")</f>
        <v/>
      </c>
      <c r="H641" s="11">
        <f>IFERROR(_xll.ciqfunctions.udf.CIQ(mh_ticker, "IQ_PREF_EQUITY", , B641), "")</f>
        <v/>
      </c>
      <c r="I641" s="11">
        <f>IFERROR(_xll.ciqfunctions.udf.CIQ(mh_ticker, "IQ_MINORITY_INTEREST", , B641), "")</f>
        <v/>
      </c>
      <c r="J641" s="11">
        <f>IFERROR(_xll.ciqfunctions.udf.CIQ(mh_ticker, "IQ_EQUITY_METHOD", , B641), "")</f>
        <v/>
      </c>
      <c r="K641" s="11">
        <f>IFERROR(_xll.ciqfunctions.udf.CIQ(mh_ticker, "IQ_LT_Mark_Securities", , B641), "")</f>
        <v/>
      </c>
      <c r="L641" s="12">
        <f>IFERROR(C641*D641, "")</f>
        <v/>
      </c>
      <c r="M641" s="12">
        <f>IFERROR(L641-E641-F641+G641+H641+I641-J641-K641, "")</f>
        <v/>
      </c>
      <c r="N641" s="11">
        <f>IFERROR(_xll.ciqfunctions.udf.CIQ(mh_ticker, "IQ_EBITDA_EST", IQ_NTM, B641, , , "USD"), "")</f>
        <v/>
      </c>
      <c r="O641" s="13">
        <f>IFERROR(M641/N641, "")</f>
        <v/>
      </c>
    </row>
    <row r="642">
      <c r="B642" s="8" t="n"/>
      <c r="C642" s="9">
        <f>IFERROR(_xll.ciqfunctions.udf.CIQ(mh_ticker, "IQ_LASTSALEPRICE", B642), "")</f>
        <v/>
      </c>
      <c r="D642" s="10">
        <f>IFERROR(_xll.ciqfunctions.udf.CIQ(mh_ticker, "IQ_SHARESOUTSTANDING_OUT", B642), "")</f>
        <v/>
      </c>
      <c r="E642" s="11">
        <f>IFERROR(_xll.ciqfunctions.udf.CIQ(mh_ticker, "IQ_CASH_EQUIV", , B642), "")</f>
        <v/>
      </c>
      <c r="F642" s="11">
        <f>IFERROR(_xll.ciqfunctions.udf.CIQ(mh_ticker, "IQ_ST_INVEST", , B642), "")</f>
        <v/>
      </c>
      <c r="G642" s="11">
        <f>IFERROR(_xll.ciqfunctions.udf.CIQ(mh_ticker, "IQ_TOTAL_DEBT_EXCL_OPER_LEASES", , B642), "")</f>
        <v/>
      </c>
      <c r="H642" s="11">
        <f>IFERROR(_xll.ciqfunctions.udf.CIQ(mh_ticker, "IQ_PREF_EQUITY", , B642), "")</f>
        <v/>
      </c>
      <c r="I642" s="11">
        <f>IFERROR(_xll.ciqfunctions.udf.CIQ(mh_ticker, "IQ_MINORITY_INTEREST", , B642), "")</f>
        <v/>
      </c>
      <c r="J642" s="11">
        <f>IFERROR(_xll.ciqfunctions.udf.CIQ(mh_ticker, "IQ_EQUITY_METHOD", , B642), "")</f>
        <v/>
      </c>
      <c r="K642" s="11">
        <f>IFERROR(_xll.ciqfunctions.udf.CIQ(mh_ticker, "IQ_LT_Mark_Securities", , B642), "")</f>
        <v/>
      </c>
      <c r="L642" s="12">
        <f>IFERROR(C642*D642, "")</f>
        <v/>
      </c>
      <c r="M642" s="12">
        <f>IFERROR(L642-E642-F642+G642+H642+I642-J642-K642, "")</f>
        <v/>
      </c>
      <c r="N642" s="11">
        <f>IFERROR(_xll.ciqfunctions.udf.CIQ(mh_ticker, "IQ_EBITDA_EST", IQ_NTM, B642, , , "USD"), "")</f>
        <v/>
      </c>
      <c r="O642" s="13">
        <f>IFERROR(M642/N642, "")</f>
        <v/>
      </c>
    </row>
    <row r="643">
      <c r="B643" s="8" t="n"/>
      <c r="C643" s="9">
        <f>IFERROR(_xll.ciqfunctions.udf.CIQ(mh_ticker, "IQ_LASTSALEPRICE", B643), "")</f>
        <v/>
      </c>
      <c r="D643" s="10">
        <f>IFERROR(_xll.ciqfunctions.udf.CIQ(mh_ticker, "IQ_SHARESOUTSTANDING_OUT", B643), "")</f>
        <v/>
      </c>
      <c r="E643" s="11">
        <f>IFERROR(_xll.ciqfunctions.udf.CIQ(mh_ticker, "IQ_CASH_EQUIV", , B643), "")</f>
        <v/>
      </c>
      <c r="F643" s="11">
        <f>IFERROR(_xll.ciqfunctions.udf.CIQ(mh_ticker, "IQ_ST_INVEST", , B643), "")</f>
        <v/>
      </c>
      <c r="G643" s="11">
        <f>IFERROR(_xll.ciqfunctions.udf.CIQ(mh_ticker, "IQ_TOTAL_DEBT_EXCL_OPER_LEASES", , B643), "")</f>
        <v/>
      </c>
      <c r="H643" s="11">
        <f>IFERROR(_xll.ciqfunctions.udf.CIQ(mh_ticker, "IQ_PREF_EQUITY", , B643), "")</f>
        <v/>
      </c>
      <c r="I643" s="11">
        <f>IFERROR(_xll.ciqfunctions.udf.CIQ(mh_ticker, "IQ_MINORITY_INTEREST", , B643), "")</f>
        <v/>
      </c>
      <c r="J643" s="11">
        <f>IFERROR(_xll.ciqfunctions.udf.CIQ(mh_ticker, "IQ_EQUITY_METHOD", , B643), "")</f>
        <v/>
      </c>
      <c r="K643" s="11">
        <f>IFERROR(_xll.ciqfunctions.udf.CIQ(mh_ticker, "IQ_LT_Mark_Securities", , B643), "")</f>
        <v/>
      </c>
      <c r="L643" s="12">
        <f>IFERROR(C643*D643, "")</f>
        <v/>
      </c>
      <c r="M643" s="12">
        <f>IFERROR(L643-E643-F643+G643+H643+I643-J643-K643, "")</f>
        <v/>
      </c>
      <c r="N643" s="11">
        <f>IFERROR(_xll.ciqfunctions.udf.CIQ(mh_ticker, "IQ_EBITDA_EST", IQ_NTM, B643, , , "USD"), "")</f>
        <v/>
      </c>
      <c r="O643" s="13">
        <f>IFERROR(M643/N643, "")</f>
        <v/>
      </c>
    </row>
    <row r="644">
      <c r="B644" s="8" t="n"/>
      <c r="C644" s="9">
        <f>IFERROR(_xll.ciqfunctions.udf.CIQ(mh_ticker, "IQ_LASTSALEPRICE", B644), "")</f>
        <v/>
      </c>
      <c r="D644" s="10">
        <f>IFERROR(_xll.ciqfunctions.udf.CIQ(mh_ticker, "IQ_SHARESOUTSTANDING_OUT", B644), "")</f>
        <v/>
      </c>
      <c r="E644" s="11">
        <f>IFERROR(_xll.ciqfunctions.udf.CIQ(mh_ticker, "IQ_CASH_EQUIV", , B644), "")</f>
        <v/>
      </c>
      <c r="F644" s="11">
        <f>IFERROR(_xll.ciqfunctions.udf.CIQ(mh_ticker, "IQ_ST_INVEST", , B644), "")</f>
        <v/>
      </c>
      <c r="G644" s="11">
        <f>IFERROR(_xll.ciqfunctions.udf.CIQ(mh_ticker, "IQ_TOTAL_DEBT_EXCL_OPER_LEASES", , B644), "")</f>
        <v/>
      </c>
      <c r="H644" s="11">
        <f>IFERROR(_xll.ciqfunctions.udf.CIQ(mh_ticker, "IQ_PREF_EQUITY", , B644), "")</f>
        <v/>
      </c>
      <c r="I644" s="11">
        <f>IFERROR(_xll.ciqfunctions.udf.CIQ(mh_ticker, "IQ_MINORITY_INTEREST", , B644), "")</f>
        <v/>
      </c>
      <c r="J644" s="11">
        <f>IFERROR(_xll.ciqfunctions.udf.CIQ(mh_ticker, "IQ_EQUITY_METHOD", , B644), "")</f>
        <v/>
      </c>
      <c r="K644" s="11">
        <f>IFERROR(_xll.ciqfunctions.udf.CIQ(mh_ticker, "IQ_LT_Mark_Securities", , B644), "")</f>
        <v/>
      </c>
      <c r="L644" s="12">
        <f>IFERROR(C644*D644, "")</f>
        <v/>
      </c>
      <c r="M644" s="12">
        <f>IFERROR(L644-E644-F644+G644+H644+I644-J644-K644, "")</f>
        <v/>
      </c>
      <c r="N644" s="11">
        <f>IFERROR(_xll.ciqfunctions.udf.CIQ(mh_ticker, "IQ_EBITDA_EST", IQ_NTM, B644, , , "USD"), "")</f>
        <v/>
      </c>
      <c r="O644" s="13">
        <f>IFERROR(M644/N644, "")</f>
        <v/>
      </c>
    </row>
    <row r="645">
      <c r="B645" s="8" t="n"/>
      <c r="C645" s="9">
        <f>IFERROR(_xll.ciqfunctions.udf.CIQ(mh_ticker, "IQ_LASTSALEPRICE", B645), "")</f>
        <v/>
      </c>
      <c r="D645" s="10">
        <f>IFERROR(_xll.ciqfunctions.udf.CIQ(mh_ticker, "IQ_SHARESOUTSTANDING_OUT", B645), "")</f>
        <v/>
      </c>
      <c r="E645" s="11">
        <f>IFERROR(_xll.ciqfunctions.udf.CIQ(mh_ticker, "IQ_CASH_EQUIV", , B645), "")</f>
        <v/>
      </c>
      <c r="F645" s="11">
        <f>IFERROR(_xll.ciqfunctions.udf.CIQ(mh_ticker, "IQ_ST_INVEST", , B645), "")</f>
        <v/>
      </c>
      <c r="G645" s="11">
        <f>IFERROR(_xll.ciqfunctions.udf.CIQ(mh_ticker, "IQ_TOTAL_DEBT_EXCL_OPER_LEASES", , B645), "")</f>
        <v/>
      </c>
      <c r="H645" s="11">
        <f>IFERROR(_xll.ciqfunctions.udf.CIQ(mh_ticker, "IQ_PREF_EQUITY", , B645), "")</f>
        <v/>
      </c>
      <c r="I645" s="11">
        <f>IFERROR(_xll.ciqfunctions.udf.CIQ(mh_ticker, "IQ_MINORITY_INTEREST", , B645), "")</f>
        <v/>
      </c>
      <c r="J645" s="11">
        <f>IFERROR(_xll.ciqfunctions.udf.CIQ(mh_ticker, "IQ_EQUITY_METHOD", , B645), "")</f>
        <v/>
      </c>
      <c r="K645" s="11">
        <f>IFERROR(_xll.ciqfunctions.udf.CIQ(mh_ticker, "IQ_LT_Mark_Securities", , B645), "")</f>
        <v/>
      </c>
      <c r="L645" s="12">
        <f>IFERROR(C645*D645, "")</f>
        <v/>
      </c>
      <c r="M645" s="12">
        <f>IFERROR(L645-E645-F645+G645+H645+I645-J645-K645, "")</f>
        <v/>
      </c>
      <c r="N645" s="11">
        <f>IFERROR(_xll.ciqfunctions.udf.CIQ(mh_ticker, "IQ_EBITDA_EST", IQ_NTM, B645, , , "USD"), "")</f>
        <v/>
      </c>
      <c r="O645" s="13">
        <f>IFERROR(M645/N645, "")</f>
        <v/>
      </c>
    </row>
    <row r="646">
      <c r="B646" s="8" t="n"/>
      <c r="C646" s="9">
        <f>IFERROR(_xll.ciqfunctions.udf.CIQ(mh_ticker, "IQ_LASTSALEPRICE", B646), "")</f>
        <v/>
      </c>
      <c r="D646" s="10">
        <f>IFERROR(_xll.ciqfunctions.udf.CIQ(mh_ticker, "IQ_SHARESOUTSTANDING_OUT", B646), "")</f>
        <v/>
      </c>
      <c r="E646" s="11">
        <f>IFERROR(_xll.ciqfunctions.udf.CIQ(mh_ticker, "IQ_CASH_EQUIV", , B646), "")</f>
        <v/>
      </c>
      <c r="F646" s="11">
        <f>IFERROR(_xll.ciqfunctions.udf.CIQ(mh_ticker, "IQ_ST_INVEST", , B646), "")</f>
        <v/>
      </c>
      <c r="G646" s="11">
        <f>IFERROR(_xll.ciqfunctions.udf.CIQ(mh_ticker, "IQ_TOTAL_DEBT_EXCL_OPER_LEASES", , B646), "")</f>
        <v/>
      </c>
      <c r="H646" s="11">
        <f>IFERROR(_xll.ciqfunctions.udf.CIQ(mh_ticker, "IQ_PREF_EQUITY", , B646), "")</f>
        <v/>
      </c>
      <c r="I646" s="11">
        <f>IFERROR(_xll.ciqfunctions.udf.CIQ(mh_ticker, "IQ_MINORITY_INTEREST", , B646), "")</f>
        <v/>
      </c>
      <c r="J646" s="11">
        <f>IFERROR(_xll.ciqfunctions.udf.CIQ(mh_ticker, "IQ_EQUITY_METHOD", , B646), "")</f>
        <v/>
      </c>
      <c r="K646" s="11">
        <f>IFERROR(_xll.ciqfunctions.udf.CIQ(mh_ticker, "IQ_LT_Mark_Securities", , B646), "")</f>
        <v/>
      </c>
      <c r="L646" s="12">
        <f>IFERROR(C646*D646, "")</f>
        <v/>
      </c>
      <c r="M646" s="12">
        <f>IFERROR(L646-E646-F646+G646+H646+I646-J646-K646, "")</f>
        <v/>
      </c>
      <c r="N646" s="11">
        <f>IFERROR(_xll.ciqfunctions.udf.CIQ(mh_ticker, "IQ_EBITDA_EST", IQ_NTM, B646, , , "USD"), "")</f>
        <v/>
      </c>
      <c r="O646" s="13">
        <f>IFERROR(M646/N646, "")</f>
        <v/>
      </c>
    </row>
    <row r="647">
      <c r="B647" s="8" t="n"/>
      <c r="C647" s="9">
        <f>IFERROR(_xll.ciqfunctions.udf.CIQ(mh_ticker, "IQ_LASTSALEPRICE", B647), "")</f>
        <v/>
      </c>
      <c r="D647" s="10">
        <f>IFERROR(_xll.ciqfunctions.udf.CIQ(mh_ticker, "IQ_SHARESOUTSTANDING_OUT", B647), "")</f>
        <v/>
      </c>
      <c r="E647" s="11">
        <f>IFERROR(_xll.ciqfunctions.udf.CIQ(mh_ticker, "IQ_CASH_EQUIV", , B647), "")</f>
        <v/>
      </c>
      <c r="F647" s="11">
        <f>IFERROR(_xll.ciqfunctions.udf.CIQ(mh_ticker, "IQ_ST_INVEST", , B647), "")</f>
        <v/>
      </c>
      <c r="G647" s="11">
        <f>IFERROR(_xll.ciqfunctions.udf.CIQ(mh_ticker, "IQ_TOTAL_DEBT_EXCL_OPER_LEASES", , B647), "")</f>
        <v/>
      </c>
      <c r="H647" s="11">
        <f>IFERROR(_xll.ciqfunctions.udf.CIQ(mh_ticker, "IQ_PREF_EQUITY", , B647), "")</f>
        <v/>
      </c>
      <c r="I647" s="11">
        <f>IFERROR(_xll.ciqfunctions.udf.CIQ(mh_ticker, "IQ_MINORITY_INTEREST", , B647), "")</f>
        <v/>
      </c>
      <c r="J647" s="11">
        <f>IFERROR(_xll.ciqfunctions.udf.CIQ(mh_ticker, "IQ_EQUITY_METHOD", , B647), "")</f>
        <v/>
      </c>
      <c r="K647" s="11">
        <f>IFERROR(_xll.ciqfunctions.udf.CIQ(mh_ticker, "IQ_LT_Mark_Securities", , B647), "")</f>
        <v/>
      </c>
      <c r="L647" s="12">
        <f>IFERROR(C647*D647, "")</f>
        <v/>
      </c>
      <c r="M647" s="12">
        <f>IFERROR(L647-E647-F647+G647+H647+I647-J647-K647, "")</f>
        <v/>
      </c>
      <c r="N647" s="11">
        <f>IFERROR(_xll.ciqfunctions.udf.CIQ(mh_ticker, "IQ_EBITDA_EST", IQ_NTM, B647, , , "USD"), "")</f>
        <v/>
      </c>
      <c r="O647" s="13">
        <f>IFERROR(M647/N647, "")</f>
        <v/>
      </c>
    </row>
    <row r="648">
      <c r="B648" s="8" t="n"/>
      <c r="C648" s="9">
        <f>IFERROR(_xll.ciqfunctions.udf.CIQ(mh_ticker, "IQ_LASTSALEPRICE", B648), "")</f>
        <v/>
      </c>
      <c r="D648" s="10">
        <f>IFERROR(_xll.ciqfunctions.udf.CIQ(mh_ticker, "IQ_SHARESOUTSTANDING_OUT", B648), "")</f>
        <v/>
      </c>
      <c r="E648" s="11">
        <f>IFERROR(_xll.ciqfunctions.udf.CIQ(mh_ticker, "IQ_CASH_EQUIV", , B648), "")</f>
        <v/>
      </c>
      <c r="F648" s="11">
        <f>IFERROR(_xll.ciqfunctions.udf.CIQ(mh_ticker, "IQ_ST_INVEST", , B648), "")</f>
        <v/>
      </c>
      <c r="G648" s="11">
        <f>IFERROR(_xll.ciqfunctions.udf.CIQ(mh_ticker, "IQ_TOTAL_DEBT_EXCL_OPER_LEASES", , B648), "")</f>
        <v/>
      </c>
      <c r="H648" s="11">
        <f>IFERROR(_xll.ciqfunctions.udf.CIQ(mh_ticker, "IQ_PREF_EQUITY", , B648), "")</f>
        <v/>
      </c>
      <c r="I648" s="11">
        <f>IFERROR(_xll.ciqfunctions.udf.CIQ(mh_ticker, "IQ_MINORITY_INTEREST", , B648), "")</f>
        <v/>
      </c>
      <c r="J648" s="11">
        <f>IFERROR(_xll.ciqfunctions.udf.CIQ(mh_ticker, "IQ_EQUITY_METHOD", , B648), "")</f>
        <v/>
      </c>
      <c r="K648" s="11">
        <f>IFERROR(_xll.ciqfunctions.udf.CIQ(mh_ticker, "IQ_LT_Mark_Securities", , B648), "")</f>
        <v/>
      </c>
      <c r="L648" s="12">
        <f>IFERROR(C648*D648, "")</f>
        <v/>
      </c>
      <c r="M648" s="12">
        <f>IFERROR(L648-E648-F648+G648+H648+I648-J648-K648, "")</f>
        <v/>
      </c>
      <c r="N648" s="11">
        <f>IFERROR(_xll.ciqfunctions.udf.CIQ(mh_ticker, "IQ_EBITDA_EST", IQ_NTM, B648, , , "USD"), "")</f>
        <v/>
      </c>
      <c r="O648" s="13">
        <f>IFERROR(M648/N648, "")</f>
        <v/>
      </c>
    </row>
    <row r="649">
      <c r="B649" s="8" t="n"/>
      <c r="C649" s="9">
        <f>IFERROR(_xll.ciqfunctions.udf.CIQ(mh_ticker, "IQ_LASTSALEPRICE", B649), "")</f>
        <v/>
      </c>
      <c r="D649" s="10">
        <f>IFERROR(_xll.ciqfunctions.udf.CIQ(mh_ticker, "IQ_SHARESOUTSTANDING_OUT", B649), "")</f>
        <v/>
      </c>
      <c r="E649" s="11">
        <f>IFERROR(_xll.ciqfunctions.udf.CIQ(mh_ticker, "IQ_CASH_EQUIV", , B649), "")</f>
        <v/>
      </c>
      <c r="F649" s="11">
        <f>IFERROR(_xll.ciqfunctions.udf.CIQ(mh_ticker, "IQ_ST_INVEST", , B649), "")</f>
        <v/>
      </c>
      <c r="G649" s="11">
        <f>IFERROR(_xll.ciqfunctions.udf.CIQ(mh_ticker, "IQ_TOTAL_DEBT_EXCL_OPER_LEASES", , B649), "")</f>
        <v/>
      </c>
      <c r="H649" s="11">
        <f>IFERROR(_xll.ciqfunctions.udf.CIQ(mh_ticker, "IQ_PREF_EQUITY", , B649), "")</f>
        <v/>
      </c>
      <c r="I649" s="11">
        <f>IFERROR(_xll.ciqfunctions.udf.CIQ(mh_ticker, "IQ_MINORITY_INTEREST", , B649), "")</f>
        <v/>
      </c>
      <c r="J649" s="11">
        <f>IFERROR(_xll.ciqfunctions.udf.CIQ(mh_ticker, "IQ_EQUITY_METHOD", , B649), "")</f>
        <v/>
      </c>
      <c r="K649" s="11">
        <f>IFERROR(_xll.ciqfunctions.udf.CIQ(mh_ticker, "IQ_LT_Mark_Securities", , B649), "")</f>
        <v/>
      </c>
      <c r="L649" s="12">
        <f>IFERROR(C649*D649, "")</f>
        <v/>
      </c>
      <c r="M649" s="12">
        <f>IFERROR(L649-E649-F649+G649+H649+I649-J649-K649, "")</f>
        <v/>
      </c>
      <c r="N649" s="11">
        <f>IFERROR(_xll.ciqfunctions.udf.CIQ(mh_ticker, "IQ_EBITDA_EST", IQ_NTM, B649, , , "USD"), "")</f>
        <v/>
      </c>
      <c r="O649" s="13">
        <f>IFERROR(M649/N649, "")</f>
        <v/>
      </c>
    </row>
    <row r="650">
      <c r="B650" s="8" t="n"/>
      <c r="C650" s="9">
        <f>IFERROR(_xll.ciqfunctions.udf.CIQ(mh_ticker, "IQ_LASTSALEPRICE", B650), "")</f>
        <v/>
      </c>
      <c r="D650" s="10">
        <f>IFERROR(_xll.ciqfunctions.udf.CIQ(mh_ticker, "IQ_SHARESOUTSTANDING_OUT", B650), "")</f>
        <v/>
      </c>
      <c r="E650" s="11">
        <f>IFERROR(_xll.ciqfunctions.udf.CIQ(mh_ticker, "IQ_CASH_EQUIV", , B650), "")</f>
        <v/>
      </c>
      <c r="F650" s="11">
        <f>IFERROR(_xll.ciqfunctions.udf.CIQ(mh_ticker, "IQ_ST_INVEST", , B650), "")</f>
        <v/>
      </c>
      <c r="G650" s="11">
        <f>IFERROR(_xll.ciqfunctions.udf.CIQ(mh_ticker, "IQ_TOTAL_DEBT_EXCL_OPER_LEASES", , B650), "")</f>
        <v/>
      </c>
      <c r="H650" s="11">
        <f>IFERROR(_xll.ciqfunctions.udf.CIQ(mh_ticker, "IQ_PREF_EQUITY", , B650), "")</f>
        <v/>
      </c>
      <c r="I650" s="11">
        <f>IFERROR(_xll.ciqfunctions.udf.CIQ(mh_ticker, "IQ_MINORITY_INTEREST", , B650), "")</f>
        <v/>
      </c>
      <c r="J650" s="11">
        <f>IFERROR(_xll.ciqfunctions.udf.CIQ(mh_ticker, "IQ_EQUITY_METHOD", , B650), "")</f>
        <v/>
      </c>
      <c r="K650" s="11">
        <f>IFERROR(_xll.ciqfunctions.udf.CIQ(mh_ticker, "IQ_LT_Mark_Securities", , B650), "")</f>
        <v/>
      </c>
      <c r="L650" s="12">
        <f>IFERROR(C650*D650, "")</f>
        <v/>
      </c>
      <c r="M650" s="12">
        <f>IFERROR(L650-E650-F650+G650+H650+I650-J650-K650, "")</f>
        <v/>
      </c>
      <c r="N650" s="11">
        <f>IFERROR(_xll.ciqfunctions.udf.CIQ(mh_ticker, "IQ_EBITDA_EST", IQ_NTM, B650, , , "USD"), "")</f>
        <v/>
      </c>
      <c r="O650" s="13">
        <f>IFERROR(M650/N650, "")</f>
        <v/>
      </c>
    </row>
    <row r="651">
      <c r="B651" s="8" t="n"/>
      <c r="C651" s="9">
        <f>IFERROR(_xll.ciqfunctions.udf.CIQ(mh_ticker, "IQ_LASTSALEPRICE", B651), "")</f>
        <v/>
      </c>
      <c r="D651" s="10">
        <f>IFERROR(_xll.ciqfunctions.udf.CIQ(mh_ticker, "IQ_SHARESOUTSTANDING_OUT", B651), "")</f>
        <v/>
      </c>
      <c r="E651" s="11">
        <f>IFERROR(_xll.ciqfunctions.udf.CIQ(mh_ticker, "IQ_CASH_EQUIV", , B651), "")</f>
        <v/>
      </c>
      <c r="F651" s="11">
        <f>IFERROR(_xll.ciqfunctions.udf.CIQ(mh_ticker, "IQ_ST_INVEST", , B651), "")</f>
        <v/>
      </c>
      <c r="G651" s="11">
        <f>IFERROR(_xll.ciqfunctions.udf.CIQ(mh_ticker, "IQ_TOTAL_DEBT_EXCL_OPER_LEASES", , B651), "")</f>
        <v/>
      </c>
      <c r="H651" s="11">
        <f>IFERROR(_xll.ciqfunctions.udf.CIQ(mh_ticker, "IQ_PREF_EQUITY", , B651), "")</f>
        <v/>
      </c>
      <c r="I651" s="11">
        <f>IFERROR(_xll.ciqfunctions.udf.CIQ(mh_ticker, "IQ_MINORITY_INTEREST", , B651), "")</f>
        <v/>
      </c>
      <c r="J651" s="11">
        <f>IFERROR(_xll.ciqfunctions.udf.CIQ(mh_ticker, "IQ_EQUITY_METHOD", , B651), "")</f>
        <v/>
      </c>
      <c r="K651" s="11">
        <f>IFERROR(_xll.ciqfunctions.udf.CIQ(mh_ticker, "IQ_LT_Mark_Securities", , B651), "")</f>
        <v/>
      </c>
      <c r="L651" s="12">
        <f>IFERROR(C651*D651, "")</f>
        <v/>
      </c>
      <c r="M651" s="12">
        <f>IFERROR(L651-E651-F651+G651+H651+I651-J651-K651, "")</f>
        <v/>
      </c>
      <c r="N651" s="11">
        <f>IFERROR(_xll.ciqfunctions.udf.CIQ(mh_ticker, "IQ_EBITDA_EST", IQ_NTM, B651, , , "USD"), "")</f>
        <v/>
      </c>
      <c r="O651" s="13">
        <f>IFERROR(M651/N651, "")</f>
        <v/>
      </c>
    </row>
    <row r="652">
      <c r="B652" s="8" t="n"/>
      <c r="C652" s="9">
        <f>IFERROR(_xll.ciqfunctions.udf.CIQ(mh_ticker, "IQ_LASTSALEPRICE", B652), "")</f>
        <v/>
      </c>
      <c r="D652" s="10">
        <f>IFERROR(_xll.ciqfunctions.udf.CIQ(mh_ticker, "IQ_SHARESOUTSTANDING_OUT", B652), "")</f>
        <v/>
      </c>
      <c r="E652" s="11">
        <f>IFERROR(_xll.ciqfunctions.udf.CIQ(mh_ticker, "IQ_CASH_EQUIV", , B652), "")</f>
        <v/>
      </c>
      <c r="F652" s="11">
        <f>IFERROR(_xll.ciqfunctions.udf.CIQ(mh_ticker, "IQ_ST_INVEST", , B652), "")</f>
        <v/>
      </c>
      <c r="G652" s="11">
        <f>IFERROR(_xll.ciqfunctions.udf.CIQ(mh_ticker, "IQ_TOTAL_DEBT_EXCL_OPER_LEASES", , B652), "")</f>
        <v/>
      </c>
      <c r="H652" s="11">
        <f>IFERROR(_xll.ciqfunctions.udf.CIQ(mh_ticker, "IQ_PREF_EQUITY", , B652), "")</f>
        <v/>
      </c>
      <c r="I652" s="11">
        <f>IFERROR(_xll.ciqfunctions.udf.CIQ(mh_ticker, "IQ_MINORITY_INTEREST", , B652), "")</f>
        <v/>
      </c>
      <c r="J652" s="11">
        <f>IFERROR(_xll.ciqfunctions.udf.CIQ(mh_ticker, "IQ_EQUITY_METHOD", , B652), "")</f>
        <v/>
      </c>
      <c r="K652" s="11">
        <f>IFERROR(_xll.ciqfunctions.udf.CIQ(mh_ticker, "IQ_LT_Mark_Securities", , B652), "")</f>
        <v/>
      </c>
      <c r="L652" s="12">
        <f>IFERROR(C652*D652, "")</f>
        <v/>
      </c>
      <c r="M652" s="12">
        <f>IFERROR(L652-E652-F652+G652+H652+I652-J652-K652, "")</f>
        <v/>
      </c>
      <c r="N652" s="11">
        <f>IFERROR(_xll.ciqfunctions.udf.CIQ(mh_ticker, "IQ_EBITDA_EST", IQ_NTM, B652, , , "USD"), "")</f>
        <v/>
      </c>
      <c r="O652" s="13">
        <f>IFERROR(M652/N652, "")</f>
        <v/>
      </c>
    </row>
    <row r="653">
      <c r="B653" s="8" t="n"/>
      <c r="C653" s="9">
        <f>IFERROR(_xll.ciqfunctions.udf.CIQ(mh_ticker, "IQ_LASTSALEPRICE", B653), "")</f>
        <v/>
      </c>
      <c r="D653" s="10">
        <f>IFERROR(_xll.ciqfunctions.udf.CIQ(mh_ticker, "IQ_SHARESOUTSTANDING_OUT", B653), "")</f>
        <v/>
      </c>
      <c r="E653" s="11">
        <f>IFERROR(_xll.ciqfunctions.udf.CIQ(mh_ticker, "IQ_CASH_EQUIV", , B653), "")</f>
        <v/>
      </c>
      <c r="F653" s="11">
        <f>IFERROR(_xll.ciqfunctions.udf.CIQ(mh_ticker, "IQ_ST_INVEST", , B653), "")</f>
        <v/>
      </c>
      <c r="G653" s="11">
        <f>IFERROR(_xll.ciqfunctions.udf.CIQ(mh_ticker, "IQ_TOTAL_DEBT_EXCL_OPER_LEASES", , B653), "")</f>
        <v/>
      </c>
      <c r="H653" s="11">
        <f>IFERROR(_xll.ciqfunctions.udf.CIQ(mh_ticker, "IQ_PREF_EQUITY", , B653), "")</f>
        <v/>
      </c>
      <c r="I653" s="11">
        <f>IFERROR(_xll.ciqfunctions.udf.CIQ(mh_ticker, "IQ_MINORITY_INTEREST", , B653), "")</f>
        <v/>
      </c>
      <c r="J653" s="11">
        <f>IFERROR(_xll.ciqfunctions.udf.CIQ(mh_ticker, "IQ_EQUITY_METHOD", , B653), "")</f>
        <v/>
      </c>
      <c r="K653" s="11">
        <f>IFERROR(_xll.ciqfunctions.udf.CIQ(mh_ticker, "IQ_LT_Mark_Securities", , B653), "")</f>
        <v/>
      </c>
      <c r="L653" s="12">
        <f>IFERROR(C653*D653, "")</f>
        <v/>
      </c>
      <c r="M653" s="12">
        <f>IFERROR(L653-E653-F653+G653+H653+I653-J653-K653, "")</f>
        <v/>
      </c>
      <c r="N653" s="11">
        <f>IFERROR(_xll.ciqfunctions.udf.CIQ(mh_ticker, "IQ_EBITDA_EST", IQ_NTM, B653, , , "USD"), "")</f>
        <v/>
      </c>
      <c r="O653" s="13">
        <f>IFERROR(M653/N653, "")</f>
        <v/>
      </c>
    </row>
    <row r="654">
      <c r="B654" s="8" t="n"/>
      <c r="C654" s="9">
        <f>IFERROR(_xll.ciqfunctions.udf.CIQ(mh_ticker, "IQ_LASTSALEPRICE", B654), "")</f>
        <v/>
      </c>
      <c r="D654" s="10">
        <f>IFERROR(_xll.ciqfunctions.udf.CIQ(mh_ticker, "IQ_SHARESOUTSTANDING_OUT", B654), "")</f>
        <v/>
      </c>
      <c r="E654" s="11">
        <f>IFERROR(_xll.ciqfunctions.udf.CIQ(mh_ticker, "IQ_CASH_EQUIV", , B654), "")</f>
        <v/>
      </c>
      <c r="F654" s="11">
        <f>IFERROR(_xll.ciqfunctions.udf.CIQ(mh_ticker, "IQ_ST_INVEST", , B654), "")</f>
        <v/>
      </c>
      <c r="G654" s="11">
        <f>IFERROR(_xll.ciqfunctions.udf.CIQ(mh_ticker, "IQ_TOTAL_DEBT_EXCL_OPER_LEASES", , B654), "")</f>
        <v/>
      </c>
      <c r="H654" s="11">
        <f>IFERROR(_xll.ciqfunctions.udf.CIQ(mh_ticker, "IQ_PREF_EQUITY", , B654), "")</f>
        <v/>
      </c>
      <c r="I654" s="11">
        <f>IFERROR(_xll.ciqfunctions.udf.CIQ(mh_ticker, "IQ_MINORITY_INTEREST", , B654), "")</f>
        <v/>
      </c>
      <c r="J654" s="11">
        <f>IFERROR(_xll.ciqfunctions.udf.CIQ(mh_ticker, "IQ_EQUITY_METHOD", , B654), "")</f>
        <v/>
      </c>
      <c r="K654" s="11">
        <f>IFERROR(_xll.ciqfunctions.udf.CIQ(mh_ticker, "IQ_LT_Mark_Securities", , B654), "")</f>
        <v/>
      </c>
      <c r="L654" s="12">
        <f>IFERROR(C654*D654, "")</f>
        <v/>
      </c>
      <c r="M654" s="12">
        <f>IFERROR(L654-E654-F654+G654+H654+I654-J654-K654, "")</f>
        <v/>
      </c>
      <c r="N654" s="11">
        <f>IFERROR(_xll.ciqfunctions.udf.CIQ(mh_ticker, "IQ_EBITDA_EST", IQ_NTM, B654, , , "USD"), "")</f>
        <v/>
      </c>
      <c r="O654" s="13">
        <f>IFERROR(M654/N654, "")</f>
        <v/>
      </c>
    </row>
    <row r="655">
      <c r="B655" s="8" t="n"/>
      <c r="C655" s="9">
        <f>IFERROR(_xll.ciqfunctions.udf.CIQ(mh_ticker, "IQ_LASTSALEPRICE", B655), "")</f>
        <v/>
      </c>
      <c r="D655" s="10">
        <f>IFERROR(_xll.ciqfunctions.udf.CIQ(mh_ticker, "IQ_SHARESOUTSTANDING_OUT", B655), "")</f>
        <v/>
      </c>
      <c r="E655" s="11">
        <f>IFERROR(_xll.ciqfunctions.udf.CIQ(mh_ticker, "IQ_CASH_EQUIV", , B655), "")</f>
        <v/>
      </c>
      <c r="F655" s="11">
        <f>IFERROR(_xll.ciqfunctions.udf.CIQ(mh_ticker, "IQ_ST_INVEST", , B655), "")</f>
        <v/>
      </c>
      <c r="G655" s="11">
        <f>IFERROR(_xll.ciqfunctions.udf.CIQ(mh_ticker, "IQ_TOTAL_DEBT_EXCL_OPER_LEASES", , B655), "")</f>
        <v/>
      </c>
      <c r="H655" s="11">
        <f>IFERROR(_xll.ciqfunctions.udf.CIQ(mh_ticker, "IQ_PREF_EQUITY", , B655), "")</f>
        <v/>
      </c>
      <c r="I655" s="11">
        <f>IFERROR(_xll.ciqfunctions.udf.CIQ(mh_ticker, "IQ_MINORITY_INTEREST", , B655), "")</f>
        <v/>
      </c>
      <c r="J655" s="11">
        <f>IFERROR(_xll.ciqfunctions.udf.CIQ(mh_ticker, "IQ_EQUITY_METHOD", , B655), "")</f>
        <v/>
      </c>
      <c r="K655" s="11">
        <f>IFERROR(_xll.ciqfunctions.udf.CIQ(mh_ticker, "IQ_LT_Mark_Securities", , B655), "")</f>
        <v/>
      </c>
      <c r="L655" s="12">
        <f>IFERROR(C655*D655, "")</f>
        <v/>
      </c>
      <c r="M655" s="12">
        <f>IFERROR(L655-E655-F655+G655+H655+I655-J655-K655, "")</f>
        <v/>
      </c>
      <c r="N655" s="11">
        <f>IFERROR(_xll.ciqfunctions.udf.CIQ(mh_ticker, "IQ_EBITDA_EST", IQ_NTM, B655, , , "USD"), "")</f>
        <v/>
      </c>
      <c r="O655" s="13">
        <f>IFERROR(M655/N655, "")</f>
        <v/>
      </c>
    </row>
    <row r="656">
      <c r="B656" s="8" t="n"/>
      <c r="C656" s="9">
        <f>IFERROR(_xll.ciqfunctions.udf.CIQ(mh_ticker, "IQ_LASTSALEPRICE", B656), "")</f>
        <v/>
      </c>
      <c r="D656" s="10">
        <f>IFERROR(_xll.ciqfunctions.udf.CIQ(mh_ticker, "IQ_SHARESOUTSTANDING_OUT", B656), "")</f>
        <v/>
      </c>
      <c r="E656" s="11">
        <f>IFERROR(_xll.ciqfunctions.udf.CIQ(mh_ticker, "IQ_CASH_EQUIV", , B656), "")</f>
        <v/>
      </c>
      <c r="F656" s="11">
        <f>IFERROR(_xll.ciqfunctions.udf.CIQ(mh_ticker, "IQ_ST_INVEST", , B656), "")</f>
        <v/>
      </c>
      <c r="G656" s="11">
        <f>IFERROR(_xll.ciqfunctions.udf.CIQ(mh_ticker, "IQ_TOTAL_DEBT_EXCL_OPER_LEASES", , B656), "")</f>
        <v/>
      </c>
      <c r="H656" s="11">
        <f>IFERROR(_xll.ciqfunctions.udf.CIQ(mh_ticker, "IQ_PREF_EQUITY", , B656), "")</f>
        <v/>
      </c>
      <c r="I656" s="11">
        <f>IFERROR(_xll.ciqfunctions.udf.CIQ(mh_ticker, "IQ_MINORITY_INTEREST", , B656), "")</f>
        <v/>
      </c>
      <c r="J656" s="11">
        <f>IFERROR(_xll.ciqfunctions.udf.CIQ(mh_ticker, "IQ_EQUITY_METHOD", , B656), "")</f>
        <v/>
      </c>
      <c r="K656" s="11">
        <f>IFERROR(_xll.ciqfunctions.udf.CIQ(mh_ticker, "IQ_LT_Mark_Securities", , B656), "")</f>
        <v/>
      </c>
      <c r="L656" s="12">
        <f>IFERROR(C656*D656, "")</f>
        <v/>
      </c>
      <c r="M656" s="12">
        <f>IFERROR(L656-E656-F656+G656+H656+I656-J656-K656, "")</f>
        <v/>
      </c>
      <c r="N656" s="11">
        <f>IFERROR(_xll.ciqfunctions.udf.CIQ(mh_ticker, "IQ_EBITDA_EST", IQ_NTM, B656, , , "USD"), "")</f>
        <v/>
      </c>
      <c r="O656" s="13">
        <f>IFERROR(M656/N656, "")</f>
        <v/>
      </c>
    </row>
    <row r="657">
      <c r="B657" s="8" t="n"/>
      <c r="C657" s="9">
        <f>IFERROR(_xll.ciqfunctions.udf.CIQ(mh_ticker, "IQ_LASTSALEPRICE", B657), "")</f>
        <v/>
      </c>
      <c r="D657" s="10">
        <f>IFERROR(_xll.ciqfunctions.udf.CIQ(mh_ticker, "IQ_SHARESOUTSTANDING_OUT", B657), "")</f>
        <v/>
      </c>
      <c r="E657" s="11">
        <f>IFERROR(_xll.ciqfunctions.udf.CIQ(mh_ticker, "IQ_CASH_EQUIV", , B657), "")</f>
        <v/>
      </c>
      <c r="F657" s="11">
        <f>IFERROR(_xll.ciqfunctions.udf.CIQ(mh_ticker, "IQ_ST_INVEST", , B657), "")</f>
        <v/>
      </c>
      <c r="G657" s="11">
        <f>IFERROR(_xll.ciqfunctions.udf.CIQ(mh_ticker, "IQ_TOTAL_DEBT_EXCL_OPER_LEASES", , B657), "")</f>
        <v/>
      </c>
      <c r="H657" s="11">
        <f>IFERROR(_xll.ciqfunctions.udf.CIQ(mh_ticker, "IQ_PREF_EQUITY", , B657), "")</f>
        <v/>
      </c>
      <c r="I657" s="11">
        <f>IFERROR(_xll.ciqfunctions.udf.CIQ(mh_ticker, "IQ_MINORITY_INTEREST", , B657), "")</f>
        <v/>
      </c>
      <c r="J657" s="11">
        <f>IFERROR(_xll.ciqfunctions.udf.CIQ(mh_ticker, "IQ_EQUITY_METHOD", , B657), "")</f>
        <v/>
      </c>
      <c r="K657" s="11">
        <f>IFERROR(_xll.ciqfunctions.udf.CIQ(mh_ticker, "IQ_LT_Mark_Securities", , B657), "")</f>
        <v/>
      </c>
      <c r="L657" s="12">
        <f>IFERROR(C657*D657, "")</f>
        <v/>
      </c>
      <c r="M657" s="12">
        <f>IFERROR(L657-E657-F657+G657+H657+I657-J657-K657, "")</f>
        <v/>
      </c>
      <c r="N657" s="11">
        <f>IFERROR(_xll.ciqfunctions.udf.CIQ(mh_ticker, "IQ_EBITDA_EST", IQ_NTM, B657, , , "USD"), "")</f>
        <v/>
      </c>
      <c r="O657" s="13">
        <f>IFERROR(M657/N657, "")</f>
        <v/>
      </c>
    </row>
    <row r="658">
      <c r="B658" s="8" t="n"/>
      <c r="C658" s="9">
        <f>IFERROR(_xll.ciqfunctions.udf.CIQ(mh_ticker, "IQ_LASTSALEPRICE", B658), "")</f>
        <v/>
      </c>
      <c r="D658" s="10">
        <f>IFERROR(_xll.ciqfunctions.udf.CIQ(mh_ticker, "IQ_SHARESOUTSTANDING_OUT", B658), "")</f>
        <v/>
      </c>
      <c r="E658" s="11">
        <f>IFERROR(_xll.ciqfunctions.udf.CIQ(mh_ticker, "IQ_CASH_EQUIV", , B658), "")</f>
        <v/>
      </c>
      <c r="F658" s="11">
        <f>IFERROR(_xll.ciqfunctions.udf.CIQ(mh_ticker, "IQ_ST_INVEST", , B658), "")</f>
        <v/>
      </c>
      <c r="G658" s="11">
        <f>IFERROR(_xll.ciqfunctions.udf.CIQ(mh_ticker, "IQ_TOTAL_DEBT_EXCL_OPER_LEASES", , B658), "")</f>
        <v/>
      </c>
      <c r="H658" s="11">
        <f>IFERROR(_xll.ciqfunctions.udf.CIQ(mh_ticker, "IQ_PREF_EQUITY", , B658), "")</f>
        <v/>
      </c>
      <c r="I658" s="11">
        <f>IFERROR(_xll.ciqfunctions.udf.CIQ(mh_ticker, "IQ_MINORITY_INTEREST", , B658), "")</f>
        <v/>
      </c>
      <c r="J658" s="11">
        <f>IFERROR(_xll.ciqfunctions.udf.CIQ(mh_ticker, "IQ_EQUITY_METHOD", , B658), "")</f>
        <v/>
      </c>
      <c r="K658" s="11">
        <f>IFERROR(_xll.ciqfunctions.udf.CIQ(mh_ticker, "IQ_LT_Mark_Securities", , B658), "")</f>
        <v/>
      </c>
      <c r="L658" s="12">
        <f>IFERROR(C658*D658, "")</f>
        <v/>
      </c>
      <c r="M658" s="12">
        <f>IFERROR(L658-E658-F658+G658+H658+I658-J658-K658, "")</f>
        <v/>
      </c>
      <c r="N658" s="11">
        <f>IFERROR(_xll.ciqfunctions.udf.CIQ(mh_ticker, "IQ_EBITDA_EST", IQ_NTM, B658, , , "USD"), "")</f>
        <v/>
      </c>
      <c r="O658" s="13">
        <f>IFERROR(M658/N658, "")</f>
        <v/>
      </c>
    </row>
    <row r="659">
      <c r="B659" s="8" t="n"/>
      <c r="C659" s="9">
        <f>IFERROR(_xll.ciqfunctions.udf.CIQ(mh_ticker, "IQ_LASTSALEPRICE", B659), "")</f>
        <v/>
      </c>
      <c r="D659" s="10">
        <f>IFERROR(_xll.ciqfunctions.udf.CIQ(mh_ticker, "IQ_SHARESOUTSTANDING_OUT", B659), "")</f>
        <v/>
      </c>
      <c r="E659" s="11">
        <f>IFERROR(_xll.ciqfunctions.udf.CIQ(mh_ticker, "IQ_CASH_EQUIV", , B659), "")</f>
        <v/>
      </c>
      <c r="F659" s="11">
        <f>IFERROR(_xll.ciqfunctions.udf.CIQ(mh_ticker, "IQ_ST_INVEST", , B659), "")</f>
        <v/>
      </c>
      <c r="G659" s="11">
        <f>IFERROR(_xll.ciqfunctions.udf.CIQ(mh_ticker, "IQ_TOTAL_DEBT_EXCL_OPER_LEASES", , B659), "")</f>
        <v/>
      </c>
      <c r="H659" s="11">
        <f>IFERROR(_xll.ciqfunctions.udf.CIQ(mh_ticker, "IQ_PREF_EQUITY", , B659), "")</f>
        <v/>
      </c>
      <c r="I659" s="11">
        <f>IFERROR(_xll.ciqfunctions.udf.CIQ(mh_ticker, "IQ_MINORITY_INTEREST", , B659), "")</f>
        <v/>
      </c>
      <c r="J659" s="11">
        <f>IFERROR(_xll.ciqfunctions.udf.CIQ(mh_ticker, "IQ_EQUITY_METHOD", , B659), "")</f>
        <v/>
      </c>
      <c r="K659" s="11">
        <f>IFERROR(_xll.ciqfunctions.udf.CIQ(mh_ticker, "IQ_LT_Mark_Securities", , B659), "")</f>
        <v/>
      </c>
      <c r="L659" s="12">
        <f>IFERROR(C659*D659, "")</f>
        <v/>
      </c>
      <c r="M659" s="12">
        <f>IFERROR(L659-E659-F659+G659+H659+I659-J659-K659, "")</f>
        <v/>
      </c>
      <c r="N659" s="11">
        <f>IFERROR(_xll.ciqfunctions.udf.CIQ(mh_ticker, "IQ_EBITDA_EST", IQ_NTM, B659, , , "USD"), "")</f>
        <v/>
      </c>
      <c r="O659" s="13">
        <f>IFERROR(M659/N659, "")</f>
        <v/>
      </c>
    </row>
    <row r="660">
      <c r="B660" s="8" t="n"/>
      <c r="C660" s="9">
        <f>IFERROR(_xll.ciqfunctions.udf.CIQ(mh_ticker, "IQ_LASTSALEPRICE", B660), "")</f>
        <v/>
      </c>
      <c r="D660" s="10">
        <f>IFERROR(_xll.ciqfunctions.udf.CIQ(mh_ticker, "IQ_SHARESOUTSTANDING_OUT", B660), "")</f>
        <v/>
      </c>
      <c r="E660" s="11">
        <f>IFERROR(_xll.ciqfunctions.udf.CIQ(mh_ticker, "IQ_CASH_EQUIV", , B660), "")</f>
        <v/>
      </c>
      <c r="F660" s="11">
        <f>IFERROR(_xll.ciqfunctions.udf.CIQ(mh_ticker, "IQ_ST_INVEST", , B660), "")</f>
        <v/>
      </c>
      <c r="G660" s="11">
        <f>IFERROR(_xll.ciqfunctions.udf.CIQ(mh_ticker, "IQ_TOTAL_DEBT_EXCL_OPER_LEASES", , B660), "")</f>
        <v/>
      </c>
      <c r="H660" s="11">
        <f>IFERROR(_xll.ciqfunctions.udf.CIQ(mh_ticker, "IQ_PREF_EQUITY", , B660), "")</f>
        <v/>
      </c>
      <c r="I660" s="11">
        <f>IFERROR(_xll.ciqfunctions.udf.CIQ(mh_ticker, "IQ_MINORITY_INTEREST", , B660), "")</f>
        <v/>
      </c>
      <c r="J660" s="11">
        <f>IFERROR(_xll.ciqfunctions.udf.CIQ(mh_ticker, "IQ_EQUITY_METHOD", , B660), "")</f>
        <v/>
      </c>
      <c r="K660" s="11">
        <f>IFERROR(_xll.ciqfunctions.udf.CIQ(mh_ticker, "IQ_LT_Mark_Securities", , B660), "")</f>
        <v/>
      </c>
      <c r="L660" s="12">
        <f>IFERROR(C660*D660, "")</f>
        <v/>
      </c>
      <c r="M660" s="12">
        <f>IFERROR(L660-E660-F660+G660+H660+I660-J660-K660, "")</f>
        <v/>
      </c>
      <c r="N660" s="11">
        <f>IFERROR(_xll.ciqfunctions.udf.CIQ(mh_ticker, "IQ_EBITDA_EST", IQ_NTM, B660, , , "USD"), "")</f>
        <v/>
      </c>
      <c r="O660" s="13">
        <f>IFERROR(M660/N660, "")</f>
        <v/>
      </c>
    </row>
    <row r="661">
      <c r="B661" s="8" t="n"/>
      <c r="C661" s="9">
        <f>IFERROR(_xll.ciqfunctions.udf.CIQ(mh_ticker, "IQ_LASTSALEPRICE", B661), "")</f>
        <v/>
      </c>
      <c r="D661" s="10">
        <f>IFERROR(_xll.ciqfunctions.udf.CIQ(mh_ticker, "IQ_SHARESOUTSTANDING_OUT", B661), "")</f>
        <v/>
      </c>
      <c r="E661" s="11">
        <f>IFERROR(_xll.ciqfunctions.udf.CIQ(mh_ticker, "IQ_CASH_EQUIV", , B661), "")</f>
        <v/>
      </c>
      <c r="F661" s="11">
        <f>IFERROR(_xll.ciqfunctions.udf.CIQ(mh_ticker, "IQ_ST_INVEST", , B661), "")</f>
        <v/>
      </c>
      <c r="G661" s="11">
        <f>IFERROR(_xll.ciqfunctions.udf.CIQ(mh_ticker, "IQ_TOTAL_DEBT_EXCL_OPER_LEASES", , B661), "")</f>
        <v/>
      </c>
      <c r="H661" s="11">
        <f>IFERROR(_xll.ciqfunctions.udf.CIQ(mh_ticker, "IQ_PREF_EQUITY", , B661), "")</f>
        <v/>
      </c>
      <c r="I661" s="11">
        <f>IFERROR(_xll.ciqfunctions.udf.CIQ(mh_ticker, "IQ_MINORITY_INTEREST", , B661), "")</f>
        <v/>
      </c>
      <c r="J661" s="11">
        <f>IFERROR(_xll.ciqfunctions.udf.CIQ(mh_ticker, "IQ_EQUITY_METHOD", , B661), "")</f>
        <v/>
      </c>
      <c r="K661" s="11">
        <f>IFERROR(_xll.ciqfunctions.udf.CIQ(mh_ticker, "IQ_LT_Mark_Securities", , B661), "")</f>
        <v/>
      </c>
      <c r="L661" s="12">
        <f>IFERROR(C661*D661, "")</f>
        <v/>
      </c>
      <c r="M661" s="12">
        <f>IFERROR(L661-E661-F661+G661+H661+I661-J661-K661, "")</f>
        <v/>
      </c>
      <c r="N661" s="11">
        <f>IFERROR(_xll.ciqfunctions.udf.CIQ(mh_ticker, "IQ_EBITDA_EST", IQ_NTM, B661, , , "USD"), "")</f>
        <v/>
      </c>
      <c r="O661" s="13">
        <f>IFERROR(M661/N661, "")</f>
        <v/>
      </c>
    </row>
    <row r="662">
      <c r="B662" s="8" t="n"/>
      <c r="C662" s="9">
        <f>IFERROR(_xll.ciqfunctions.udf.CIQ(mh_ticker, "IQ_LASTSALEPRICE", B662), "")</f>
        <v/>
      </c>
      <c r="D662" s="10">
        <f>IFERROR(_xll.ciqfunctions.udf.CIQ(mh_ticker, "IQ_SHARESOUTSTANDING_OUT", B662), "")</f>
        <v/>
      </c>
      <c r="E662" s="11">
        <f>IFERROR(_xll.ciqfunctions.udf.CIQ(mh_ticker, "IQ_CASH_EQUIV", , B662), "")</f>
        <v/>
      </c>
      <c r="F662" s="11">
        <f>IFERROR(_xll.ciqfunctions.udf.CIQ(mh_ticker, "IQ_ST_INVEST", , B662), "")</f>
        <v/>
      </c>
      <c r="G662" s="11">
        <f>IFERROR(_xll.ciqfunctions.udf.CIQ(mh_ticker, "IQ_TOTAL_DEBT_EXCL_OPER_LEASES", , B662), "")</f>
        <v/>
      </c>
      <c r="H662" s="11">
        <f>IFERROR(_xll.ciqfunctions.udf.CIQ(mh_ticker, "IQ_PREF_EQUITY", , B662), "")</f>
        <v/>
      </c>
      <c r="I662" s="11">
        <f>IFERROR(_xll.ciqfunctions.udf.CIQ(mh_ticker, "IQ_MINORITY_INTEREST", , B662), "")</f>
        <v/>
      </c>
      <c r="J662" s="11">
        <f>IFERROR(_xll.ciqfunctions.udf.CIQ(mh_ticker, "IQ_EQUITY_METHOD", , B662), "")</f>
        <v/>
      </c>
      <c r="K662" s="11">
        <f>IFERROR(_xll.ciqfunctions.udf.CIQ(mh_ticker, "IQ_LT_Mark_Securities", , B662), "")</f>
        <v/>
      </c>
      <c r="L662" s="12">
        <f>IFERROR(C662*D662, "")</f>
        <v/>
      </c>
      <c r="M662" s="12">
        <f>IFERROR(L662-E662-F662+G662+H662+I662-J662-K662, "")</f>
        <v/>
      </c>
      <c r="N662" s="11">
        <f>IFERROR(_xll.ciqfunctions.udf.CIQ(mh_ticker, "IQ_EBITDA_EST", IQ_NTM, B662, , , "USD"), "")</f>
        <v/>
      </c>
      <c r="O662" s="13">
        <f>IFERROR(M662/N662, "")</f>
        <v/>
      </c>
    </row>
    <row r="663">
      <c r="B663" s="8" t="n"/>
      <c r="C663" s="9">
        <f>IFERROR(_xll.ciqfunctions.udf.CIQ(mh_ticker, "IQ_LASTSALEPRICE", B663), "")</f>
        <v/>
      </c>
      <c r="D663" s="10">
        <f>IFERROR(_xll.ciqfunctions.udf.CIQ(mh_ticker, "IQ_SHARESOUTSTANDING_OUT", B663), "")</f>
        <v/>
      </c>
      <c r="E663" s="11">
        <f>IFERROR(_xll.ciqfunctions.udf.CIQ(mh_ticker, "IQ_CASH_EQUIV", , B663), "")</f>
        <v/>
      </c>
      <c r="F663" s="11">
        <f>IFERROR(_xll.ciqfunctions.udf.CIQ(mh_ticker, "IQ_ST_INVEST", , B663), "")</f>
        <v/>
      </c>
      <c r="G663" s="11">
        <f>IFERROR(_xll.ciqfunctions.udf.CIQ(mh_ticker, "IQ_TOTAL_DEBT_EXCL_OPER_LEASES", , B663), "")</f>
        <v/>
      </c>
      <c r="H663" s="11">
        <f>IFERROR(_xll.ciqfunctions.udf.CIQ(mh_ticker, "IQ_PREF_EQUITY", , B663), "")</f>
        <v/>
      </c>
      <c r="I663" s="11">
        <f>IFERROR(_xll.ciqfunctions.udf.CIQ(mh_ticker, "IQ_MINORITY_INTEREST", , B663), "")</f>
        <v/>
      </c>
      <c r="J663" s="11">
        <f>IFERROR(_xll.ciqfunctions.udf.CIQ(mh_ticker, "IQ_EQUITY_METHOD", , B663), "")</f>
        <v/>
      </c>
      <c r="K663" s="11">
        <f>IFERROR(_xll.ciqfunctions.udf.CIQ(mh_ticker, "IQ_LT_Mark_Securities", , B663), "")</f>
        <v/>
      </c>
      <c r="L663" s="12">
        <f>IFERROR(C663*D663, "")</f>
        <v/>
      </c>
      <c r="M663" s="12">
        <f>IFERROR(L663-E663-F663+G663+H663+I663-J663-K663, "")</f>
        <v/>
      </c>
      <c r="N663" s="11">
        <f>IFERROR(_xll.ciqfunctions.udf.CIQ(mh_ticker, "IQ_EBITDA_EST", IQ_NTM, B663, , , "USD"), "")</f>
        <v/>
      </c>
      <c r="O663" s="13">
        <f>IFERROR(M663/N663, "")</f>
        <v/>
      </c>
    </row>
    <row r="664">
      <c r="B664" s="8" t="n"/>
      <c r="C664" s="9">
        <f>IFERROR(_xll.ciqfunctions.udf.CIQ(mh_ticker, "IQ_LASTSALEPRICE", B664), "")</f>
        <v/>
      </c>
      <c r="D664" s="10">
        <f>IFERROR(_xll.ciqfunctions.udf.CIQ(mh_ticker, "IQ_SHARESOUTSTANDING_OUT", B664), "")</f>
        <v/>
      </c>
      <c r="E664" s="11">
        <f>IFERROR(_xll.ciqfunctions.udf.CIQ(mh_ticker, "IQ_CASH_EQUIV", , B664), "")</f>
        <v/>
      </c>
      <c r="F664" s="11">
        <f>IFERROR(_xll.ciqfunctions.udf.CIQ(mh_ticker, "IQ_ST_INVEST", , B664), "")</f>
        <v/>
      </c>
      <c r="G664" s="11">
        <f>IFERROR(_xll.ciqfunctions.udf.CIQ(mh_ticker, "IQ_TOTAL_DEBT_EXCL_OPER_LEASES", , B664), "")</f>
        <v/>
      </c>
      <c r="H664" s="11">
        <f>IFERROR(_xll.ciqfunctions.udf.CIQ(mh_ticker, "IQ_PREF_EQUITY", , B664), "")</f>
        <v/>
      </c>
      <c r="I664" s="11">
        <f>IFERROR(_xll.ciqfunctions.udf.CIQ(mh_ticker, "IQ_MINORITY_INTEREST", , B664), "")</f>
        <v/>
      </c>
      <c r="J664" s="11">
        <f>IFERROR(_xll.ciqfunctions.udf.CIQ(mh_ticker, "IQ_EQUITY_METHOD", , B664), "")</f>
        <v/>
      </c>
      <c r="K664" s="11">
        <f>IFERROR(_xll.ciqfunctions.udf.CIQ(mh_ticker, "IQ_LT_Mark_Securities", , B664), "")</f>
        <v/>
      </c>
      <c r="L664" s="12">
        <f>IFERROR(C664*D664, "")</f>
        <v/>
      </c>
      <c r="M664" s="12">
        <f>IFERROR(L664-E664-F664+G664+H664+I664-J664-K664, "")</f>
        <v/>
      </c>
      <c r="N664" s="11">
        <f>IFERROR(_xll.ciqfunctions.udf.CIQ(mh_ticker, "IQ_EBITDA_EST", IQ_NTM, B664, , , "USD"), "")</f>
        <v/>
      </c>
      <c r="O664" s="13">
        <f>IFERROR(M664/N664, "")</f>
        <v/>
      </c>
    </row>
    <row r="665">
      <c r="B665" s="8" t="n"/>
      <c r="C665" s="9">
        <f>IFERROR(_xll.ciqfunctions.udf.CIQ(mh_ticker, "IQ_LASTSALEPRICE", B665), "")</f>
        <v/>
      </c>
      <c r="D665" s="10">
        <f>IFERROR(_xll.ciqfunctions.udf.CIQ(mh_ticker, "IQ_SHARESOUTSTANDING_OUT", B665), "")</f>
        <v/>
      </c>
      <c r="E665" s="11">
        <f>IFERROR(_xll.ciqfunctions.udf.CIQ(mh_ticker, "IQ_CASH_EQUIV", , B665), "")</f>
        <v/>
      </c>
      <c r="F665" s="11">
        <f>IFERROR(_xll.ciqfunctions.udf.CIQ(mh_ticker, "IQ_ST_INVEST", , B665), "")</f>
        <v/>
      </c>
      <c r="G665" s="11">
        <f>IFERROR(_xll.ciqfunctions.udf.CIQ(mh_ticker, "IQ_TOTAL_DEBT_EXCL_OPER_LEASES", , B665), "")</f>
        <v/>
      </c>
      <c r="H665" s="11">
        <f>IFERROR(_xll.ciqfunctions.udf.CIQ(mh_ticker, "IQ_PREF_EQUITY", , B665), "")</f>
        <v/>
      </c>
      <c r="I665" s="11">
        <f>IFERROR(_xll.ciqfunctions.udf.CIQ(mh_ticker, "IQ_MINORITY_INTEREST", , B665), "")</f>
        <v/>
      </c>
      <c r="J665" s="11">
        <f>IFERROR(_xll.ciqfunctions.udf.CIQ(mh_ticker, "IQ_EQUITY_METHOD", , B665), "")</f>
        <v/>
      </c>
      <c r="K665" s="11">
        <f>IFERROR(_xll.ciqfunctions.udf.CIQ(mh_ticker, "IQ_LT_Mark_Securities", , B665), "")</f>
        <v/>
      </c>
      <c r="L665" s="12">
        <f>IFERROR(C665*D665, "")</f>
        <v/>
      </c>
      <c r="M665" s="12">
        <f>IFERROR(L665-E665-F665+G665+H665+I665-J665-K665, "")</f>
        <v/>
      </c>
      <c r="N665" s="11">
        <f>IFERROR(_xll.ciqfunctions.udf.CIQ(mh_ticker, "IQ_EBITDA_EST", IQ_NTM, B665, , , "USD"), "")</f>
        <v/>
      </c>
      <c r="O665" s="13">
        <f>IFERROR(M665/N665, "")</f>
        <v/>
      </c>
    </row>
    <row r="666">
      <c r="B666" s="8" t="n"/>
      <c r="C666" s="9">
        <f>IFERROR(_xll.ciqfunctions.udf.CIQ(mh_ticker, "IQ_LASTSALEPRICE", B666), "")</f>
        <v/>
      </c>
      <c r="D666" s="10">
        <f>IFERROR(_xll.ciqfunctions.udf.CIQ(mh_ticker, "IQ_SHARESOUTSTANDING_OUT", B666), "")</f>
        <v/>
      </c>
      <c r="E666" s="11">
        <f>IFERROR(_xll.ciqfunctions.udf.CIQ(mh_ticker, "IQ_CASH_EQUIV", , B666), "")</f>
        <v/>
      </c>
      <c r="F666" s="11">
        <f>IFERROR(_xll.ciqfunctions.udf.CIQ(mh_ticker, "IQ_ST_INVEST", , B666), "")</f>
        <v/>
      </c>
      <c r="G666" s="11">
        <f>IFERROR(_xll.ciqfunctions.udf.CIQ(mh_ticker, "IQ_TOTAL_DEBT_EXCL_OPER_LEASES", , B666), "")</f>
        <v/>
      </c>
      <c r="H666" s="11">
        <f>IFERROR(_xll.ciqfunctions.udf.CIQ(mh_ticker, "IQ_PREF_EQUITY", , B666), "")</f>
        <v/>
      </c>
      <c r="I666" s="11">
        <f>IFERROR(_xll.ciqfunctions.udf.CIQ(mh_ticker, "IQ_MINORITY_INTEREST", , B666), "")</f>
        <v/>
      </c>
      <c r="J666" s="11">
        <f>IFERROR(_xll.ciqfunctions.udf.CIQ(mh_ticker, "IQ_EQUITY_METHOD", , B666), "")</f>
        <v/>
      </c>
      <c r="K666" s="11">
        <f>IFERROR(_xll.ciqfunctions.udf.CIQ(mh_ticker, "IQ_LT_Mark_Securities", , B666), "")</f>
        <v/>
      </c>
      <c r="L666" s="12">
        <f>IFERROR(C666*D666, "")</f>
        <v/>
      </c>
      <c r="M666" s="12">
        <f>IFERROR(L666-E666-F666+G666+H666+I666-J666-K666, "")</f>
        <v/>
      </c>
      <c r="N666" s="11">
        <f>IFERROR(_xll.ciqfunctions.udf.CIQ(mh_ticker, "IQ_EBITDA_EST", IQ_NTM, B666, , , "USD"), "")</f>
        <v/>
      </c>
      <c r="O666" s="13">
        <f>IFERROR(M666/N666, "")</f>
        <v/>
      </c>
    </row>
    <row r="667">
      <c r="B667" s="8" t="n"/>
      <c r="C667" s="9">
        <f>IFERROR(_xll.ciqfunctions.udf.CIQ(mh_ticker, "IQ_LASTSALEPRICE", B667), "")</f>
        <v/>
      </c>
      <c r="D667" s="10">
        <f>IFERROR(_xll.ciqfunctions.udf.CIQ(mh_ticker, "IQ_SHARESOUTSTANDING_OUT", B667), "")</f>
        <v/>
      </c>
      <c r="E667" s="11">
        <f>IFERROR(_xll.ciqfunctions.udf.CIQ(mh_ticker, "IQ_CASH_EQUIV", , B667), "")</f>
        <v/>
      </c>
      <c r="F667" s="11">
        <f>IFERROR(_xll.ciqfunctions.udf.CIQ(mh_ticker, "IQ_ST_INVEST", , B667), "")</f>
        <v/>
      </c>
      <c r="G667" s="11">
        <f>IFERROR(_xll.ciqfunctions.udf.CIQ(mh_ticker, "IQ_TOTAL_DEBT_EXCL_OPER_LEASES", , B667), "")</f>
        <v/>
      </c>
      <c r="H667" s="11">
        <f>IFERROR(_xll.ciqfunctions.udf.CIQ(mh_ticker, "IQ_PREF_EQUITY", , B667), "")</f>
        <v/>
      </c>
      <c r="I667" s="11">
        <f>IFERROR(_xll.ciqfunctions.udf.CIQ(mh_ticker, "IQ_MINORITY_INTEREST", , B667), "")</f>
        <v/>
      </c>
      <c r="J667" s="11">
        <f>IFERROR(_xll.ciqfunctions.udf.CIQ(mh_ticker, "IQ_EQUITY_METHOD", , B667), "")</f>
        <v/>
      </c>
      <c r="K667" s="11">
        <f>IFERROR(_xll.ciqfunctions.udf.CIQ(mh_ticker, "IQ_LT_Mark_Securities", , B667), "")</f>
        <v/>
      </c>
      <c r="L667" s="12">
        <f>IFERROR(C667*D667, "")</f>
        <v/>
      </c>
      <c r="M667" s="12">
        <f>IFERROR(L667-E667-F667+G667+H667+I667-J667-K667, "")</f>
        <v/>
      </c>
      <c r="N667" s="11">
        <f>IFERROR(_xll.ciqfunctions.udf.CIQ(mh_ticker, "IQ_EBITDA_EST", IQ_NTM, B667, , , "USD"), "")</f>
        <v/>
      </c>
      <c r="O667" s="13">
        <f>IFERROR(M667/N667, "")</f>
        <v/>
      </c>
    </row>
    <row r="668">
      <c r="B668" s="8" t="n"/>
      <c r="C668" s="9">
        <f>IFERROR(_xll.ciqfunctions.udf.CIQ(mh_ticker, "IQ_LASTSALEPRICE", B668), "")</f>
        <v/>
      </c>
      <c r="D668" s="10">
        <f>IFERROR(_xll.ciqfunctions.udf.CIQ(mh_ticker, "IQ_SHARESOUTSTANDING_OUT", B668), "")</f>
        <v/>
      </c>
      <c r="E668" s="11">
        <f>IFERROR(_xll.ciqfunctions.udf.CIQ(mh_ticker, "IQ_CASH_EQUIV", , B668), "")</f>
        <v/>
      </c>
      <c r="F668" s="11">
        <f>IFERROR(_xll.ciqfunctions.udf.CIQ(mh_ticker, "IQ_ST_INVEST", , B668), "")</f>
        <v/>
      </c>
      <c r="G668" s="11">
        <f>IFERROR(_xll.ciqfunctions.udf.CIQ(mh_ticker, "IQ_TOTAL_DEBT_EXCL_OPER_LEASES", , B668), "")</f>
        <v/>
      </c>
      <c r="H668" s="11">
        <f>IFERROR(_xll.ciqfunctions.udf.CIQ(mh_ticker, "IQ_PREF_EQUITY", , B668), "")</f>
        <v/>
      </c>
      <c r="I668" s="11">
        <f>IFERROR(_xll.ciqfunctions.udf.CIQ(mh_ticker, "IQ_MINORITY_INTEREST", , B668), "")</f>
        <v/>
      </c>
      <c r="J668" s="11">
        <f>IFERROR(_xll.ciqfunctions.udf.CIQ(mh_ticker, "IQ_EQUITY_METHOD", , B668), "")</f>
        <v/>
      </c>
      <c r="K668" s="11">
        <f>IFERROR(_xll.ciqfunctions.udf.CIQ(mh_ticker, "IQ_LT_Mark_Securities", , B668), "")</f>
        <v/>
      </c>
      <c r="L668" s="12">
        <f>IFERROR(C668*D668, "")</f>
        <v/>
      </c>
      <c r="M668" s="12">
        <f>IFERROR(L668-E668-F668+G668+H668+I668-J668-K668, "")</f>
        <v/>
      </c>
      <c r="N668" s="11">
        <f>IFERROR(_xll.ciqfunctions.udf.CIQ(mh_ticker, "IQ_EBITDA_EST", IQ_NTM, B668, , , "USD"), "")</f>
        <v/>
      </c>
      <c r="O668" s="13">
        <f>IFERROR(M668/N668, "")</f>
        <v/>
      </c>
    </row>
    <row r="669">
      <c r="B669" s="8" t="n"/>
      <c r="C669" s="9">
        <f>IFERROR(_xll.ciqfunctions.udf.CIQ(mh_ticker, "IQ_LASTSALEPRICE", B669), "")</f>
        <v/>
      </c>
      <c r="D669" s="10">
        <f>IFERROR(_xll.ciqfunctions.udf.CIQ(mh_ticker, "IQ_SHARESOUTSTANDING_OUT", B669), "")</f>
        <v/>
      </c>
      <c r="E669" s="11">
        <f>IFERROR(_xll.ciqfunctions.udf.CIQ(mh_ticker, "IQ_CASH_EQUIV", , B669), "")</f>
        <v/>
      </c>
      <c r="F669" s="11">
        <f>IFERROR(_xll.ciqfunctions.udf.CIQ(mh_ticker, "IQ_ST_INVEST", , B669), "")</f>
        <v/>
      </c>
      <c r="G669" s="11">
        <f>IFERROR(_xll.ciqfunctions.udf.CIQ(mh_ticker, "IQ_TOTAL_DEBT_EXCL_OPER_LEASES", , B669), "")</f>
        <v/>
      </c>
      <c r="H669" s="11">
        <f>IFERROR(_xll.ciqfunctions.udf.CIQ(mh_ticker, "IQ_PREF_EQUITY", , B669), "")</f>
        <v/>
      </c>
      <c r="I669" s="11">
        <f>IFERROR(_xll.ciqfunctions.udf.CIQ(mh_ticker, "IQ_MINORITY_INTEREST", , B669), "")</f>
        <v/>
      </c>
      <c r="J669" s="11">
        <f>IFERROR(_xll.ciqfunctions.udf.CIQ(mh_ticker, "IQ_EQUITY_METHOD", , B669), "")</f>
        <v/>
      </c>
      <c r="K669" s="11">
        <f>IFERROR(_xll.ciqfunctions.udf.CIQ(mh_ticker, "IQ_LT_Mark_Securities", , B669), "")</f>
        <v/>
      </c>
      <c r="L669" s="12">
        <f>IFERROR(C669*D669, "")</f>
        <v/>
      </c>
      <c r="M669" s="12">
        <f>IFERROR(L669-E669-F669+G669+H669+I669-J669-K669, "")</f>
        <v/>
      </c>
      <c r="N669" s="11">
        <f>IFERROR(_xll.ciqfunctions.udf.CIQ(mh_ticker, "IQ_EBITDA_EST", IQ_NTM, B669, , , "USD"), "")</f>
        <v/>
      </c>
      <c r="O669" s="13">
        <f>IFERROR(M669/N669, "")</f>
        <v/>
      </c>
    </row>
    <row r="670">
      <c r="B670" s="8" t="n"/>
      <c r="C670" s="9">
        <f>IFERROR(_xll.ciqfunctions.udf.CIQ(mh_ticker, "IQ_LASTSALEPRICE", B670), "")</f>
        <v/>
      </c>
      <c r="D670" s="10">
        <f>IFERROR(_xll.ciqfunctions.udf.CIQ(mh_ticker, "IQ_SHARESOUTSTANDING_OUT", B670), "")</f>
        <v/>
      </c>
      <c r="E670" s="11">
        <f>IFERROR(_xll.ciqfunctions.udf.CIQ(mh_ticker, "IQ_CASH_EQUIV", , B670), "")</f>
        <v/>
      </c>
      <c r="F670" s="11">
        <f>IFERROR(_xll.ciqfunctions.udf.CIQ(mh_ticker, "IQ_ST_INVEST", , B670), "")</f>
        <v/>
      </c>
      <c r="G670" s="11">
        <f>IFERROR(_xll.ciqfunctions.udf.CIQ(mh_ticker, "IQ_TOTAL_DEBT_EXCL_OPER_LEASES", , B670), "")</f>
        <v/>
      </c>
      <c r="H670" s="11">
        <f>IFERROR(_xll.ciqfunctions.udf.CIQ(mh_ticker, "IQ_PREF_EQUITY", , B670), "")</f>
        <v/>
      </c>
      <c r="I670" s="11">
        <f>IFERROR(_xll.ciqfunctions.udf.CIQ(mh_ticker, "IQ_MINORITY_INTEREST", , B670), "")</f>
        <v/>
      </c>
      <c r="J670" s="11">
        <f>IFERROR(_xll.ciqfunctions.udf.CIQ(mh_ticker, "IQ_EQUITY_METHOD", , B670), "")</f>
        <v/>
      </c>
      <c r="K670" s="11">
        <f>IFERROR(_xll.ciqfunctions.udf.CIQ(mh_ticker, "IQ_LT_Mark_Securities", , B670), "")</f>
        <v/>
      </c>
      <c r="L670" s="12">
        <f>IFERROR(C670*D670, "")</f>
        <v/>
      </c>
      <c r="M670" s="12">
        <f>IFERROR(L670-E670-F670+G670+H670+I670-J670-K670, "")</f>
        <v/>
      </c>
      <c r="N670" s="11">
        <f>IFERROR(_xll.ciqfunctions.udf.CIQ(mh_ticker, "IQ_EBITDA_EST", IQ_NTM, B670, , , "USD"), "")</f>
        <v/>
      </c>
      <c r="O670" s="13">
        <f>IFERROR(M670/N670, "")</f>
        <v/>
      </c>
    </row>
    <row r="671">
      <c r="B671" s="8" t="n"/>
      <c r="C671" s="9">
        <f>IFERROR(_xll.ciqfunctions.udf.CIQ(mh_ticker, "IQ_LASTSALEPRICE", B671), "")</f>
        <v/>
      </c>
      <c r="D671" s="10">
        <f>IFERROR(_xll.ciqfunctions.udf.CIQ(mh_ticker, "IQ_SHARESOUTSTANDING_OUT", B671), "")</f>
        <v/>
      </c>
      <c r="E671" s="11">
        <f>IFERROR(_xll.ciqfunctions.udf.CIQ(mh_ticker, "IQ_CASH_EQUIV", , B671), "")</f>
        <v/>
      </c>
      <c r="F671" s="11">
        <f>IFERROR(_xll.ciqfunctions.udf.CIQ(mh_ticker, "IQ_ST_INVEST", , B671), "")</f>
        <v/>
      </c>
      <c r="G671" s="11">
        <f>IFERROR(_xll.ciqfunctions.udf.CIQ(mh_ticker, "IQ_TOTAL_DEBT_EXCL_OPER_LEASES", , B671), "")</f>
        <v/>
      </c>
      <c r="H671" s="11">
        <f>IFERROR(_xll.ciqfunctions.udf.CIQ(mh_ticker, "IQ_PREF_EQUITY", , B671), "")</f>
        <v/>
      </c>
      <c r="I671" s="11">
        <f>IFERROR(_xll.ciqfunctions.udf.CIQ(mh_ticker, "IQ_MINORITY_INTEREST", , B671), "")</f>
        <v/>
      </c>
      <c r="J671" s="11">
        <f>IFERROR(_xll.ciqfunctions.udf.CIQ(mh_ticker, "IQ_EQUITY_METHOD", , B671), "")</f>
        <v/>
      </c>
      <c r="K671" s="11">
        <f>IFERROR(_xll.ciqfunctions.udf.CIQ(mh_ticker, "IQ_LT_Mark_Securities", , B671), "")</f>
        <v/>
      </c>
      <c r="L671" s="12">
        <f>IFERROR(C671*D671, "")</f>
        <v/>
      </c>
      <c r="M671" s="12">
        <f>IFERROR(L671-E671-F671+G671+H671+I671-J671-K671, "")</f>
        <v/>
      </c>
      <c r="N671" s="11">
        <f>IFERROR(_xll.ciqfunctions.udf.CIQ(mh_ticker, "IQ_EBITDA_EST", IQ_NTM, B671, , , "USD"), "")</f>
        <v/>
      </c>
      <c r="O671" s="13">
        <f>IFERROR(M671/N671, "")</f>
        <v/>
      </c>
    </row>
    <row r="672">
      <c r="B672" s="8" t="n"/>
      <c r="C672" s="9">
        <f>IFERROR(_xll.ciqfunctions.udf.CIQ(mh_ticker, "IQ_LASTSALEPRICE", B672), "")</f>
        <v/>
      </c>
      <c r="D672" s="10">
        <f>IFERROR(_xll.ciqfunctions.udf.CIQ(mh_ticker, "IQ_SHARESOUTSTANDING_OUT", B672), "")</f>
        <v/>
      </c>
      <c r="E672" s="11">
        <f>IFERROR(_xll.ciqfunctions.udf.CIQ(mh_ticker, "IQ_CASH_EQUIV", , B672), "")</f>
        <v/>
      </c>
      <c r="F672" s="11">
        <f>IFERROR(_xll.ciqfunctions.udf.CIQ(mh_ticker, "IQ_ST_INVEST", , B672), "")</f>
        <v/>
      </c>
      <c r="G672" s="11">
        <f>IFERROR(_xll.ciqfunctions.udf.CIQ(mh_ticker, "IQ_TOTAL_DEBT_EXCL_OPER_LEASES", , B672), "")</f>
        <v/>
      </c>
      <c r="H672" s="11">
        <f>IFERROR(_xll.ciqfunctions.udf.CIQ(mh_ticker, "IQ_PREF_EQUITY", , B672), "")</f>
        <v/>
      </c>
      <c r="I672" s="11">
        <f>IFERROR(_xll.ciqfunctions.udf.CIQ(mh_ticker, "IQ_MINORITY_INTEREST", , B672), "")</f>
        <v/>
      </c>
      <c r="J672" s="11">
        <f>IFERROR(_xll.ciqfunctions.udf.CIQ(mh_ticker, "IQ_EQUITY_METHOD", , B672), "")</f>
        <v/>
      </c>
      <c r="K672" s="11">
        <f>IFERROR(_xll.ciqfunctions.udf.CIQ(mh_ticker, "IQ_LT_Mark_Securities", , B672), "")</f>
        <v/>
      </c>
      <c r="L672" s="12">
        <f>IFERROR(C672*D672, "")</f>
        <v/>
      </c>
      <c r="M672" s="12">
        <f>IFERROR(L672-E672-F672+G672+H672+I672-J672-K672, "")</f>
        <v/>
      </c>
      <c r="N672" s="11">
        <f>IFERROR(_xll.ciqfunctions.udf.CIQ(mh_ticker, "IQ_EBITDA_EST", IQ_NTM, B672, , , "USD"), "")</f>
        <v/>
      </c>
      <c r="O672" s="13">
        <f>IFERROR(M672/N672, "")</f>
        <v/>
      </c>
    </row>
    <row r="673">
      <c r="B673" s="8" t="n"/>
      <c r="C673" s="9">
        <f>IFERROR(_xll.ciqfunctions.udf.CIQ(mh_ticker, "IQ_LASTSALEPRICE", B673), "")</f>
        <v/>
      </c>
      <c r="D673" s="10">
        <f>IFERROR(_xll.ciqfunctions.udf.CIQ(mh_ticker, "IQ_SHARESOUTSTANDING_OUT", B673), "")</f>
        <v/>
      </c>
      <c r="E673" s="11">
        <f>IFERROR(_xll.ciqfunctions.udf.CIQ(mh_ticker, "IQ_CASH_EQUIV", , B673), "")</f>
        <v/>
      </c>
      <c r="F673" s="11">
        <f>IFERROR(_xll.ciqfunctions.udf.CIQ(mh_ticker, "IQ_ST_INVEST", , B673), "")</f>
        <v/>
      </c>
      <c r="G673" s="11">
        <f>IFERROR(_xll.ciqfunctions.udf.CIQ(mh_ticker, "IQ_TOTAL_DEBT_EXCL_OPER_LEASES", , B673), "")</f>
        <v/>
      </c>
      <c r="H673" s="11">
        <f>IFERROR(_xll.ciqfunctions.udf.CIQ(mh_ticker, "IQ_PREF_EQUITY", , B673), "")</f>
        <v/>
      </c>
      <c r="I673" s="11">
        <f>IFERROR(_xll.ciqfunctions.udf.CIQ(mh_ticker, "IQ_MINORITY_INTEREST", , B673), "")</f>
        <v/>
      </c>
      <c r="J673" s="11">
        <f>IFERROR(_xll.ciqfunctions.udf.CIQ(mh_ticker, "IQ_EQUITY_METHOD", , B673), "")</f>
        <v/>
      </c>
      <c r="K673" s="11">
        <f>IFERROR(_xll.ciqfunctions.udf.CIQ(mh_ticker, "IQ_LT_Mark_Securities", , B673), "")</f>
        <v/>
      </c>
      <c r="L673" s="12">
        <f>IFERROR(C673*D673, "")</f>
        <v/>
      </c>
      <c r="M673" s="12">
        <f>IFERROR(L673-E673-F673+G673+H673+I673-J673-K673, "")</f>
        <v/>
      </c>
      <c r="N673" s="11">
        <f>IFERROR(_xll.ciqfunctions.udf.CIQ(mh_ticker, "IQ_EBITDA_EST", IQ_NTM, B673, , , "USD"), "")</f>
        <v/>
      </c>
      <c r="O673" s="13">
        <f>IFERROR(M673/N673, "")</f>
        <v/>
      </c>
    </row>
    <row r="674">
      <c r="B674" s="8" t="n"/>
      <c r="C674" s="9">
        <f>IFERROR(_xll.ciqfunctions.udf.CIQ(mh_ticker, "IQ_LASTSALEPRICE", B674), "")</f>
        <v/>
      </c>
      <c r="D674" s="10">
        <f>IFERROR(_xll.ciqfunctions.udf.CIQ(mh_ticker, "IQ_SHARESOUTSTANDING_OUT", B674), "")</f>
        <v/>
      </c>
      <c r="E674" s="11">
        <f>IFERROR(_xll.ciqfunctions.udf.CIQ(mh_ticker, "IQ_CASH_EQUIV", , B674), "")</f>
        <v/>
      </c>
      <c r="F674" s="11">
        <f>IFERROR(_xll.ciqfunctions.udf.CIQ(mh_ticker, "IQ_ST_INVEST", , B674), "")</f>
        <v/>
      </c>
      <c r="G674" s="11">
        <f>IFERROR(_xll.ciqfunctions.udf.CIQ(mh_ticker, "IQ_TOTAL_DEBT_EXCL_OPER_LEASES", , B674), "")</f>
        <v/>
      </c>
      <c r="H674" s="11">
        <f>IFERROR(_xll.ciqfunctions.udf.CIQ(mh_ticker, "IQ_PREF_EQUITY", , B674), "")</f>
        <v/>
      </c>
      <c r="I674" s="11">
        <f>IFERROR(_xll.ciqfunctions.udf.CIQ(mh_ticker, "IQ_MINORITY_INTEREST", , B674), "")</f>
        <v/>
      </c>
      <c r="J674" s="11">
        <f>IFERROR(_xll.ciqfunctions.udf.CIQ(mh_ticker, "IQ_EQUITY_METHOD", , B674), "")</f>
        <v/>
      </c>
      <c r="K674" s="11">
        <f>IFERROR(_xll.ciqfunctions.udf.CIQ(mh_ticker, "IQ_LT_Mark_Securities", , B674), "")</f>
        <v/>
      </c>
      <c r="L674" s="12">
        <f>IFERROR(C674*D674, "")</f>
        <v/>
      </c>
      <c r="M674" s="12">
        <f>IFERROR(L674-E674-F674+G674+H674+I674-J674-K674, "")</f>
        <v/>
      </c>
      <c r="N674" s="11">
        <f>IFERROR(_xll.ciqfunctions.udf.CIQ(mh_ticker, "IQ_EBITDA_EST", IQ_NTM, B674, , , "USD"), "")</f>
        <v/>
      </c>
      <c r="O674" s="13">
        <f>IFERROR(M674/N674, "")</f>
        <v/>
      </c>
    </row>
    <row r="675">
      <c r="B675" s="8" t="n"/>
      <c r="C675" s="9">
        <f>IFERROR(_xll.ciqfunctions.udf.CIQ(mh_ticker, "IQ_LASTSALEPRICE", B675), "")</f>
        <v/>
      </c>
      <c r="D675" s="10">
        <f>IFERROR(_xll.ciqfunctions.udf.CIQ(mh_ticker, "IQ_SHARESOUTSTANDING_OUT", B675), "")</f>
        <v/>
      </c>
      <c r="E675" s="11">
        <f>IFERROR(_xll.ciqfunctions.udf.CIQ(mh_ticker, "IQ_CASH_EQUIV", , B675), "")</f>
        <v/>
      </c>
      <c r="F675" s="11">
        <f>IFERROR(_xll.ciqfunctions.udf.CIQ(mh_ticker, "IQ_ST_INVEST", , B675), "")</f>
        <v/>
      </c>
      <c r="G675" s="11">
        <f>IFERROR(_xll.ciqfunctions.udf.CIQ(mh_ticker, "IQ_TOTAL_DEBT_EXCL_OPER_LEASES", , B675), "")</f>
        <v/>
      </c>
      <c r="H675" s="11">
        <f>IFERROR(_xll.ciqfunctions.udf.CIQ(mh_ticker, "IQ_PREF_EQUITY", , B675), "")</f>
        <v/>
      </c>
      <c r="I675" s="11">
        <f>IFERROR(_xll.ciqfunctions.udf.CIQ(mh_ticker, "IQ_MINORITY_INTEREST", , B675), "")</f>
        <v/>
      </c>
      <c r="J675" s="11">
        <f>IFERROR(_xll.ciqfunctions.udf.CIQ(mh_ticker, "IQ_EQUITY_METHOD", , B675), "")</f>
        <v/>
      </c>
      <c r="K675" s="11">
        <f>IFERROR(_xll.ciqfunctions.udf.CIQ(mh_ticker, "IQ_LT_Mark_Securities", , B675), "")</f>
        <v/>
      </c>
      <c r="L675" s="12">
        <f>IFERROR(C675*D675, "")</f>
        <v/>
      </c>
      <c r="M675" s="12">
        <f>IFERROR(L675-E675-F675+G675+H675+I675-J675-K675, "")</f>
        <v/>
      </c>
      <c r="N675" s="11">
        <f>IFERROR(_xll.ciqfunctions.udf.CIQ(mh_ticker, "IQ_EBITDA_EST", IQ_NTM, B675, , , "USD"), "")</f>
        <v/>
      </c>
      <c r="O675" s="13">
        <f>IFERROR(M675/N675, "")</f>
        <v/>
      </c>
    </row>
    <row r="676">
      <c r="B676" s="8" t="n"/>
      <c r="C676" s="9">
        <f>IFERROR(_xll.ciqfunctions.udf.CIQ(mh_ticker, "IQ_LASTSALEPRICE", B676), "")</f>
        <v/>
      </c>
      <c r="D676" s="10">
        <f>IFERROR(_xll.ciqfunctions.udf.CIQ(mh_ticker, "IQ_SHARESOUTSTANDING_OUT", B676), "")</f>
        <v/>
      </c>
      <c r="E676" s="11">
        <f>IFERROR(_xll.ciqfunctions.udf.CIQ(mh_ticker, "IQ_CASH_EQUIV", , B676), "")</f>
        <v/>
      </c>
      <c r="F676" s="11">
        <f>IFERROR(_xll.ciqfunctions.udf.CIQ(mh_ticker, "IQ_ST_INVEST", , B676), "")</f>
        <v/>
      </c>
      <c r="G676" s="11">
        <f>IFERROR(_xll.ciqfunctions.udf.CIQ(mh_ticker, "IQ_TOTAL_DEBT_EXCL_OPER_LEASES", , B676), "")</f>
        <v/>
      </c>
      <c r="H676" s="11">
        <f>IFERROR(_xll.ciqfunctions.udf.CIQ(mh_ticker, "IQ_PREF_EQUITY", , B676), "")</f>
        <v/>
      </c>
      <c r="I676" s="11">
        <f>IFERROR(_xll.ciqfunctions.udf.CIQ(mh_ticker, "IQ_MINORITY_INTEREST", , B676), "")</f>
        <v/>
      </c>
      <c r="J676" s="11">
        <f>IFERROR(_xll.ciqfunctions.udf.CIQ(mh_ticker, "IQ_EQUITY_METHOD", , B676), "")</f>
        <v/>
      </c>
      <c r="K676" s="11">
        <f>IFERROR(_xll.ciqfunctions.udf.CIQ(mh_ticker, "IQ_LT_Mark_Securities", , B676), "")</f>
        <v/>
      </c>
      <c r="L676" s="12">
        <f>IFERROR(C676*D676, "")</f>
        <v/>
      </c>
      <c r="M676" s="12">
        <f>IFERROR(L676-E676-F676+G676+H676+I676-J676-K676, "")</f>
        <v/>
      </c>
      <c r="N676" s="11">
        <f>IFERROR(_xll.ciqfunctions.udf.CIQ(mh_ticker, "IQ_EBITDA_EST", IQ_NTM, B676, , , "USD"), "")</f>
        <v/>
      </c>
      <c r="O676" s="13">
        <f>IFERROR(M676/N676, "")</f>
        <v/>
      </c>
    </row>
    <row r="677">
      <c r="B677" s="8" t="n"/>
      <c r="C677" s="9">
        <f>IFERROR(_xll.ciqfunctions.udf.CIQ(mh_ticker, "IQ_LASTSALEPRICE", B677), "")</f>
        <v/>
      </c>
      <c r="D677" s="10">
        <f>IFERROR(_xll.ciqfunctions.udf.CIQ(mh_ticker, "IQ_SHARESOUTSTANDING_OUT", B677), "")</f>
        <v/>
      </c>
      <c r="E677" s="11">
        <f>IFERROR(_xll.ciqfunctions.udf.CIQ(mh_ticker, "IQ_CASH_EQUIV", , B677), "")</f>
        <v/>
      </c>
      <c r="F677" s="11">
        <f>IFERROR(_xll.ciqfunctions.udf.CIQ(mh_ticker, "IQ_ST_INVEST", , B677), "")</f>
        <v/>
      </c>
      <c r="G677" s="11">
        <f>IFERROR(_xll.ciqfunctions.udf.CIQ(mh_ticker, "IQ_TOTAL_DEBT_EXCL_OPER_LEASES", , B677), "")</f>
        <v/>
      </c>
      <c r="H677" s="11">
        <f>IFERROR(_xll.ciqfunctions.udf.CIQ(mh_ticker, "IQ_PREF_EQUITY", , B677), "")</f>
        <v/>
      </c>
      <c r="I677" s="11">
        <f>IFERROR(_xll.ciqfunctions.udf.CIQ(mh_ticker, "IQ_MINORITY_INTEREST", , B677), "")</f>
        <v/>
      </c>
      <c r="J677" s="11">
        <f>IFERROR(_xll.ciqfunctions.udf.CIQ(mh_ticker, "IQ_EQUITY_METHOD", , B677), "")</f>
        <v/>
      </c>
      <c r="K677" s="11">
        <f>IFERROR(_xll.ciqfunctions.udf.CIQ(mh_ticker, "IQ_LT_Mark_Securities", , B677), "")</f>
        <v/>
      </c>
      <c r="L677" s="12">
        <f>IFERROR(C677*D677, "")</f>
        <v/>
      </c>
      <c r="M677" s="12">
        <f>IFERROR(L677-E677-F677+G677+H677+I677-J677-K677, "")</f>
        <v/>
      </c>
      <c r="N677" s="11">
        <f>IFERROR(_xll.ciqfunctions.udf.CIQ(mh_ticker, "IQ_EBITDA_EST", IQ_NTM, B677, , , "USD"), "")</f>
        <v/>
      </c>
      <c r="O677" s="13">
        <f>IFERROR(M677/N677, "")</f>
        <v/>
      </c>
    </row>
    <row r="678">
      <c r="B678" s="8" t="n"/>
      <c r="C678" s="9">
        <f>IFERROR(_xll.ciqfunctions.udf.CIQ(mh_ticker, "IQ_LASTSALEPRICE", B678), "")</f>
        <v/>
      </c>
      <c r="D678" s="10">
        <f>IFERROR(_xll.ciqfunctions.udf.CIQ(mh_ticker, "IQ_SHARESOUTSTANDING_OUT", B678), "")</f>
        <v/>
      </c>
      <c r="E678" s="11">
        <f>IFERROR(_xll.ciqfunctions.udf.CIQ(mh_ticker, "IQ_CASH_EQUIV", , B678), "")</f>
        <v/>
      </c>
      <c r="F678" s="11">
        <f>IFERROR(_xll.ciqfunctions.udf.CIQ(mh_ticker, "IQ_ST_INVEST", , B678), "")</f>
        <v/>
      </c>
      <c r="G678" s="11">
        <f>IFERROR(_xll.ciqfunctions.udf.CIQ(mh_ticker, "IQ_TOTAL_DEBT_EXCL_OPER_LEASES", , B678), "")</f>
        <v/>
      </c>
      <c r="H678" s="11">
        <f>IFERROR(_xll.ciqfunctions.udf.CIQ(mh_ticker, "IQ_PREF_EQUITY", , B678), "")</f>
        <v/>
      </c>
      <c r="I678" s="11">
        <f>IFERROR(_xll.ciqfunctions.udf.CIQ(mh_ticker, "IQ_MINORITY_INTEREST", , B678), "")</f>
        <v/>
      </c>
      <c r="J678" s="11">
        <f>IFERROR(_xll.ciqfunctions.udf.CIQ(mh_ticker, "IQ_EQUITY_METHOD", , B678), "")</f>
        <v/>
      </c>
      <c r="K678" s="11">
        <f>IFERROR(_xll.ciqfunctions.udf.CIQ(mh_ticker, "IQ_LT_Mark_Securities", , B678), "")</f>
        <v/>
      </c>
      <c r="L678" s="12">
        <f>IFERROR(C678*D678, "")</f>
        <v/>
      </c>
      <c r="M678" s="12">
        <f>IFERROR(L678-E678-F678+G678+H678+I678-J678-K678, "")</f>
        <v/>
      </c>
      <c r="N678" s="11">
        <f>IFERROR(_xll.ciqfunctions.udf.CIQ(mh_ticker, "IQ_EBITDA_EST", IQ_NTM, B678, , , "USD"), "")</f>
        <v/>
      </c>
      <c r="O678" s="13">
        <f>IFERROR(M678/N678, "")</f>
        <v/>
      </c>
    </row>
    <row r="679">
      <c r="B679" s="8" t="n"/>
      <c r="C679" s="9">
        <f>IFERROR(_xll.ciqfunctions.udf.CIQ(mh_ticker, "IQ_LASTSALEPRICE", B679), "")</f>
        <v/>
      </c>
      <c r="D679" s="10">
        <f>IFERROR(_xll.ciqfunctions.udf.CIQ(mh_ticker, "IQ_SHARESOUTSTANDING_OUT", B679), "")</f>
        <v/>
      </c>
      <c r="E679" s="11">
        <f>IFERROR(_xll.ciqfunctions.udf.CIQ(mh_ticker, "IQ_CASH_EQUIV", , B679), "")</f>
        <v/>
      </c>
      <c r="F679" s="11">
        <f>IFERROR(_xll.ciqfunctions.udf.CIQ(mh_ticker, "IQ_ST_INVEST", , B679), "")</f>
        <v/>
      </c>
      <c r="G679" s="11">
        <f>IFERROR(_xll.ciqfunctions.udf.CIQ(mh_ticker, "IQ_TOTAL_DEBT_EXCL_OPER_LEASES", , B679), "")</f>
        <v/>
      </c>
      <c r="H679" s="11">
        <f>IFERROR(_xll.ciqfunctions.udf.CIQ(mh_ticker, "IQ_PREF_EQUITY", , B679), "")</f>
        <v/>
      </c>
      <c r="I679" s="11">
        <f>IFERROR(_xll.ciqfunctions.udf.CIQ(mh_ticker, "IQ_MINORITY_INTEREST", , B679), "")</f>
        <v/>
      </c>
      <c r="J679" s="11">
        <f>IFERROR(_xll.ciqfunctions.udf.CIQ(mh_ticker, "IQ_EQUITY_METHOD", , B679), "")</f>
        <v/>
      </c>
      <c r="K679" s="11">
        <f>IFERROR(_xll.ciqfunctions.udf.CIQ(mh_ticker, "IQ_LT_Mark_Securities", , B679), "")</f>
        <v/>
      </c>
      <c r="L679" s="12">
        <f>IFERROR(C679*D679, "")</f>
        <v/>
      </c>
      <c r="M679" s="12">
        <f>IFERROR(L679-E679-F679+G679+H679+I679-J679-K679, "")</f>
        <v/>
      </c>
      <c r="N679" s="11">
        <f>IFERROR(_xll.ciqfunctions.udf.CIQ(mh_ticker, "IQ_EBITDA_EST", IQ_NTM, B679, , , "USD"), "")</f>
        <v/>
      </c>
      <c r="O679" s="13">
        <f>IFERROR(M679/N679, "")</f>
        <v/>
      </c>
    </row>
    <row r="680">
      <c r="B680" s="8" t="n"/>
      <c r="C680" s="9">
        <f>IFERROR(_xll.ciqfunctions.udf.CIQ(mh_ticker, "IQ_LASTSALEPRICE", B680), "")</f>
        <v/>
      </c>
      <c r="D680" s="10">
        <f>IFERROR(_xll.ciqfunctions.udf.CIQ(mh_ticker, "IQ_SHARESOUTSTANDING_OUT", B680), "")</f>
        <v/>
      </c>
      <c r="E680" s="11">
        <f>IFERROR(_xll.ciqfunctions.udf.CIQ(mh_ticker, "IQ_CASH_EQUIV", , B680), "")</f>
        <v/>
      </c>
      <c r="F680" s="11">
        <f>IFERROR(_xll.ciqfunctions.udf.CIQ(mh_ticker, "IQ_ST_INVEST", , B680), "")</f>
        <v/>
      </c>
      <c r="G680" s="11">
        <f>IFERROR(_xll.ciqfunctions.udf.CIQ(mh_ticker, "IQ_TOTAL_DEBT_EXCL_OPER_LEASES", , B680), "")</f>
        <v/>
      </c>
      <c r="H680" s="11">
        <f>IFERROR(_xll.ciqfunctions.udf.CIQ(mh_ticker, "IQ_PREF_EQUITY", , B680), "")</f>
        <v/>
      </c>
      <c r="I680" s="11">
        <f>IFERROR(_xll.ciqfunctions.udf.CIQ(mh_ticker, "IQ_MINORITY_INTEREST", , B680), "")</f>
        <v/>
      </c>
      <c r="J680" s="11">
        <f>IFERROR(_xll.ciqfunctions.udf.CIQ(mh_ticker, "IQ_EQUITY_METHOD", , B680), "")</f>
        <v/>
      </c>
      <c r="K680" s="11">
        <f>IFERROR(_xll.ciqfunctions.udf.CIQ(mh_ticker, "IQ_LT_Mark_Securities", , B680), "")</f>
        <v/>
      </c>
      <c r="L680" s="12">
        <f>IFERROR(C680*D680, "")</f>
        <v/>
      </c>
      <c r="M680" s="12">
        <f>IFERROR(L680-E680-F680+G680+H680+I680-J680-K680, "")</f>
        <v/>
      </c>
      <c r="N680" s="11">
        <f>IFERROR(_xll.ciqfunctions.udf.CIQ(mh_ticker, "IQ_EBITDA_EST", IQ_NTM, B680, , , "USD"), "")</f>
        <v/>
      </c>
      <c r="O680" s="13">
        <f>IFERROR(M680/N680, "")</f>
        <v/>
      </c>
    </row>
    <row r="681">
      <c r="B681" s="8" t="n"/>
      <c r="C681" s="9">
        <f>IFERROR(_xll.ciqfunctions.udf.CIQ(mh_ticker, "IQ_LASTSALEPRICE", B681), "")</f>
        <v/>
      </c>
      <c r="D681" s="10">
        <f>IFERROR(_xll.ciqfunctions.udf.CIQ(mh_ticker, "IQ_SHARESOUTSTANDING_OUT", B681), "")</f>
        <v/>
      </c>
      <c r="E681" s="11">
        <f>IFERROR(_xll.ciqfunctions.udf.CIQ(mh_ticker, "IQ_CASH_EQUIV", , B681), "")</f>
        <v/>
      </c>
      <c r="F681" s="11">
        <f>IFERROR(_xll.ciqfunctions.udf.CIQ(mh_ticker, "IQ_ST_INVEST", , B681), "")</f>
        <v/>
      </c>
      <c r="G681" s="11">
        <f>IFERROR(_xll.ciqfunctions.udf.CIQ(mh_ticker, "IQ_TOTAL_DEBT_EXCL_OPER_LEASES", , B681), "")</f>
        <v/>
      </c>
      <c r="H681" s="11">
        <f>IFERROR(_xll.ciqfunctions.udf.CIQ(mh_ticker, "IQ_PREF_EQUITY", , B681), "")</f>
        <v/>
      </c>
      <c r="I681" s="11">
        <f>IFERROR(_xll.ciqfunctions.udf.CIQ(mh_ticker, "IQ_MINORITY_INTEREST", , B681), "")</f>
        <v/>
      </c>
      <c r="J681" s="11">
        <f>IFERROR(_xll.ciqfunctions.udf.CIQ(mh_ticker, "IQ_EQUITY_METHOD", , B681), "")</f>
        <v/>
      </c>
      <c r="K681" s="11">
        <f>IFERROR(_xll.ciqfunctions.udf.CIQ(mh_ticker, "IQ_LT_Mark_Securities", , B681), "")</f>
        <v/>
      </c>
      <c r="L681" s="12">
        <f>IFERROR(C681*D681, "")</f>
        <v/>
      </c>
      <c r="M681" s="12">
        <f>IFERROR(L681-E681-F681+G681+H681+I681-J681-K681, "")</f>
        <v/>
      </c>
      <c r="N681" s="11">
        <f>IFERROR(_xll.ciqfunctions.udf.CIQ(mh_ticker, "IQ_EBITDA_EST", IQ_NTM, B681, , , "USD"), "")</f>
        <v/>
      </c>
      <c r="O681" s="13">
        <f>IFERROR(M681/N681, "")</f>
        <v/>
      </c>
    </row>
    <row r="682">
      <c r="B682" s="8" t="n"/>
      <c r="C682" s="9">
        <f>IFERROR(_xll.ciqfunctions.udf.CIQ(mh_ticker, "IQ_LASTSALEPRICE", B682), "")</f>
        <v/>
      </c>
      <c r="D682" s="10">
        <f>IFERROR(_xll.ciqfunctions.udf.CIQ(mh_ticker, "IQ_SHARESOUTSTANDING_OUT", B682), "")</f>
        <v/>
      </c>
      <c r="E682" s="11">
        <f>IFERROR(_xll.ciqfunctions.udf.CIQ(mh_ticker, "IQ_CASH_EQUIV", , B682), "")</f>
        <v/>
      </c>
      <c r="F682" s="11">
        <f>IFERROR(_xll.ciqfunctions.udf.CIQ(mh_ticker, "IQ_ST_INVEST", , B682), "")</f>
        <v/>
      </c>
      <c r="G682" s="11">
        <f>IFERROR(_xll.ciqfunctions.udf.CIQ(mh_ticker, "IQ_TOTAL_DEBT_EXCL_OPER_LEASES", , B682), "")</f>
        <v/>
      </c>
      <c r="H682" s="11">
        <f>IFERROR(_xll.ciqfunctions.udf.CIQ(mh_ticker, "IQ_PREF_EQUITY", , B682), "")</f>
        <v/>
      </c>
      <c r="I682" s="11">
        <f>IFERROR(_xll.ciqfunctions.udf.CIQ(mh_ticker, "IQ_MINORITY_INTEREST", , B682), "")</f>
        <v/>
      </c>
      <c r="J682" s="11">
        <f>IFERROR(_xll.ciqfunctions.udf.CIQ(mh_ticker, "IQ_EQUITY_METHOD", , B682), "")</f>
        <v/>
      </c>
      <c r="K682" s="11">
        <f>IFERROR(_xll.ciqfunctions.udf.CIQ(mh_ticker, "IQ_LT_Mark_Securities", , B682), "")</f>
        <v/>
      </c>
      <c r="L682" s="12">
        <f>IFERROR(C682*D682, "")</f>
        <v/>
      </c>
      <c r="M682" s="12">
        <f>IFERROR(L682-E682-F682+G682+H682+I682-J682-K682, "")</f>
        <v/>
      </c>
      <c r="N682" s="11">
        <f>IFERROR(_xll.ciqfunctions.udf.CIQ(mh_ticker, "IQ_EBITDA_EST", IQ_NTM, B682, , , "USD"), "")</f>
        <v/>
      </c>
      <c r="O682" s="13">
        <f>IFERROR(M682/N682, "")</f>
        <v/>
      </c>
    </row>
    <row r="683">
      <c r="B683" s="8" t="n"/>
      <c r="C683" s="9">
        <f>IFERROR(_xll.ciqfunctions.udf.CIQ(mh_ticker, "IQ_LASTSALEPRICE", B683), "")</f>
        <v/>
      </c>
      <c r="D683" s="10">
        <f>IFERROR(_xll.ciqfunctions.udf.CIQ(mh_ticker, "IQ_SHARESOUTSTANDING_OUT", B683), "")</f>
        <v/>
      </c>
      <c r="E683" s="11">
        <f>IFERROR(_xll.ciqfunctions.udf.CIQ(mh_ticker, "IQ_CASH_EQUIV", , B683), "")</f>
        <v/>
      </c>
      <c r="F683" s="11">
        <f>IFERROR(_xll.ciqfunctions.udf.CIQ(mh_ticker, "IQ_ST_INVEST", , B683), "")</f>
        <v/>
      </c>
      <c r="G683" s="11">
        <f>IFERROR(_xll.ciqfunctions.udf.CIQ(mh_ticker, "IQ_TOTAL_DEBT_EXCL_OPER_LEASES", , B683), "")</f>
        <v/>
      </c>
      <c r="H683" s="11">
        <f>IFERROR(_xll.ciqfunctions.udf.CIQ(mh_ticker, "IQ_PREF_EQUITY", , B683), "")</f>
        <v/>
      </c>
      <c r="I683" s="11">
        <f>IFERROR(_xll.ciqfunctions.udf.CIQ(mh_ticker, "IQ_MINORITY_INTEREST", , B683), "")</f>
        <v/>
      </c>
      <c r="J683" s="11">
        <f>IFERROR(_xll.ciqfunctions.udf.CIQ(mh_ticker, "IQ_EQUITY_METHOD", , B683), "")</f>
        <v/>
      </c>
      <c r="K683" s="11">
        <f>IFERROR(_xll.ciqfunctions.udf.CIQ(mh_ticker, "IQ_LT_Mark_Securities", , B683), "")</f>
        <v/>
      </c>
      <c r="L683" s="12">
        <f>IFERROR(C683*D683, "")</f>
        <v/>
      </c>
      <c r="M683" s="12">
        <f>IFERROR(L683-E683-F683+G683+H683+I683-J683-K683, "")</f>
        <v/>
      </c>
      <c r="N683" s="11">
        <f>IFERROR(_xll.ciqfunctions.udf.CIQ(mh_ticker, "IQ_EBITDA_EST", IQ_NTM, B683, , , "USD"), "")</f>
        <v/>
      </c>
      <c r="O683" s="13">
        <f>IFERROR(M683/N683, "")</f>
        <v/>
      </c>
    </row>
    <row r="684">
      <c r="B684" s="8" t="n"/>
      <c r="C684" s="9">
        <f>IFERROR(_xll.ciqfunctions.udf.CIQ(mh_ticker, "IQ_LASTSALEPRICE", B684), "")</f>
        <v/>
      </c>
      <c r="D684" s="10">
        <f>IFERROR(_xll.ciqfunctions.udf.CIQ(mh_ticker, "IQ_SHARESOUTSTANDING_OUT", B684), "")</f>
        <v/>
      </c>
      <c r="E684" s="11">
        <f>IFERROR(_xll.ciqfunctions.udf.CIQ(mh_ticker, "IQ_CASH_EQUIV", , B684), "")</f>
        <v/>
      </c>
      <c r="F684" s="11">
        <f>IFERROR(_xll.ciqfunctions.udf.CIQ(mh_ticker, "IQ_ST_INVEST", , B684), "")</f>
        <v/>
      </c>
      <c r="G684" s="11">
        <f>IFERROR(_xll.ciqfunctions.udf.CIQ(mh_ticker, "IQ_TOTAL_DEBT_EXCL_OPER_LEASES", , B684), "")</f>
        <v/>
      </c>
      <c r="H684" s="11">
        <f>IFERROR(_xll.ciqfunctions.udf.CIQ(mh_ticker, "IQ_PREF_EQUITY", , B684), "")</f>
        <v/>
      </c>
      <c r="I684" s="11">
        <f>IFERROR(_xll.ciqfunctions.udf.CIQ(mh_ticker, "IQ_MINORITY_INTEREST", , B684), "")</f>
        <v/>
      </c>
      <c r="J684" s="11">
        <f>IFERROR(_xll.ciqfunctions.udf.CIQ(mh_ticker, "IQ_EQUITY_METHOD", , B684), "")</f>
        <v/>
      </c>
      <c r="K684" s="11">
        <f>IFERROR(_xll.ciqfunctions.udf.CIQ(mh_ticker, "IQ_LT_Mark_Securities", , B684), "")</f>
        <v/>
      </c>
      <c r="L684" s="12">
        <f>IFERROR(C684*D684, "")</f>
        <v/>
      </c>
      <c r="M684" s="12">
        <f>IFERROR(L684-E684-F684+G684+H684+I684-J684-K684, "")</f>
        <v/>
      </c>
      <c r="N684" s="11">
        <f>IFERROR(_xll.ciqfunctions.udf.CIQ(mh_ticker, "IQ_EBITDA_EST", IQ_NTM, B684, , , "USD"), "")</f>
        <v/>
      </c>
      <c r="O684" s="13">
        <f>IFERROR(M684/N684, "")</f>
        <v/>
      </c>
    </row>
    <row r="685">
      <c r="B685" s="8" t="n"/>
      <c r="C685" s="9">
        <f>IFERROR(_xll.ciqfunctions.udf.CIQ(mh_ticker, "IQ_LASTSALEPRICE", B685), "")</f>
        <v/>
      </c>
      <c r="D685" s="10">
        <f>IFERROR(_xll.ciqfunctions.udf.CIQ(mh_ticker, "IQ_SHARESOUTSTANDING_OUT", B685), "")</f>
        <v/>
      </c>
      <c r="E685" s="11">
        <f>IFERROR(_xll.ciqfunctions.udf.CIQ(mh_ticker, "IQ_CASH_EQUIV", , B685), "")</f>
        <v/>
      </c>
      <c r="F685" s="11">
        <f>IFERROR(_xll.ciqfunctions.udf.CIQ(mh_ticker, "IQ_ST_INVEST", , B685), "")</f>
        <v/>
      </c>
      <c r="G685" s="11">
        <f>IFERROR(_xll.ciqfunctions.udf.CIQ(mh_ticker, "IQ_TOTAL_DEBT_EXCL_OPER_LEASES", , B685), "")</f>
        <v/>
      </c>
      <c r="H685" s="11">
        <f>IFERROR(_xll.ciqfunctions.udf.CIQ(mh_ticker, "IQ_PREF_EQUITY", , B685), "")</f>
        <v/>
      </c>
      <c r="I685" s="11">
        <f>IFERROR(_xll.ciqfunctions.udf.CIQ(mh_ticker, "IQ_MINORITY_INTEREST", , B685), "")</f>
        <v/>
      </c>
      <c r="J685" s="11">
        <f>IFERROR(_xll.ciqfunctions.udf.CIQ(mh_ticker, "IQ_EQUITY_METHOD", , B685), "")</f>
        <v/>
      </c>
      <c r="K685" s="11">
        <f>IFERROR(_xll.ciqfunctions.udf.CIQ(mh_ticker, "IQ_LT_Mark_Securities", , B685), "")</f>
        <v/>
      </c>
      <c r="L685" s="12">
        <f>IFERROR(C685*D685, "")</f>
        <v/>
      </c>
      <c r="M685" s="12">
        <f>IFERROR(L685-E685-F685+G685+H685+I685-J685-K685, "")</f>
        <v/>
      </c>
      <c r="N685" s="11">
        <f>IFERROR(_xll.ciqfunctions.udf.CIQ(mh_ticker, "IQ_EBITDA_EST", IQ_NTM, B685, , , "USD"), "")</f>
        <v/>
      </c>
      <c r="O685" s="13">
        <f>IFERROR(M685/N685, "")</f>
        <v/>
      </c>
    </row>
    <row r="686">
      <c r="B686" s="8" t="n"/>
      <c r="C686" s="9">
        <f>IFERROR(_xll.ciqfunctions.udf.CIQ(mh_ticker, "IQ_LASTSALEPRICE", B686), "")</f>
        <v/>
      </c>
      <c r="D686" s="10">
        <f>IFERROR(_xll.ciqfunctions.udf.CIQ(mh_ticker, "IQ_SHARESOUTSTANDING_OUT", B686), "")</f>
        <v/>
      </c>
      <c r="E686" s="11">
        <f>IFERROR(_xll.ciqfunctions.udf.CIQ(mh_ticker, "IQ_CASH_EQUIV", , B686), "")</f>
        <v/>
      </c>
      <c r="F686" s="11">
        <f>IFERROR(_xll.ciqfunctions.udf.CIQ(mh_ticker, "IQ_ST_INVEST", , B686), "")</f>
        <v/>
      </c>
      <c r="G686" s="11">
        <f>IFERROR(_xll.ciqfunctions.udf.CIQ(mh_ticker, "IQ_TOTAL_DEBT_EXCL_OPER_LEASES", , B686), "")</f>
        <v/>
      </c>
      <c r="H686" s="11">
        <f>IFERROR(_xll.ciqfunctions.udf.CIQ(mh_ticker, "IQ_PREF_EQUITY", , B686), "")</f>
        <v/>
      </c>
      <c r="I686" s="11">
        <f>IFERROR(_xll.ciqfunctions.udf.CIQ(mh_ticker, "IQ_MINORITY_INTEREST", , B686), "")</f>
        <v/>
      </c>
      <c r="J686" s="11">
        <f>IFERROR(_xll.ciqfunctions.udf.CIQ(mh_ticker, "IQ_EQUITY_METHOD", , B686), "")</f>
        <v/>
      </c>
      <c r="K686" s="11">
        <f>IFERROR(_xll.ciqfunctions.udf.CIQ(mh_ticker, "IQ_LT_Mark_Securities", , B686), "")</f>
        <v/>
      </c>
      <c r="L686" s="12">
        <f>IFERROR(C686*D686, "")</f>
        <v/>
      </c>
      <c r="M686" s="12">
        <f>IFERROR(L686-E686-F686+G686+H686+I686-J686-K686, "")</f>
        <v/>
      </c>
      <c r="N686" s="11">
        <f>IFERROR(_xll.ciqfunctions.udf.CIQ(mh_ticker, "IQ_EBITDA_EST", IQ_NTM, B686, , , "USD"), "")</f>
        <v/>
      </c>
      <c r="O686" s="13">
        <f>IFERROR(M686/N686, "")</f>
        <v/>
      </c>
    </row>
    <row r="687">
      <c r="B687" s="8" t="n"/>
      <c r="C687" s="9">
        <f>IFERROR(_xll.ciqfunctions.udf.CIQ(mh_ticker, "IQ_LASTSALEPRICE", B687), "")</f>
        <v/>
      </c>
      <c r="D687" s="10">
        <f>IFERROR(_xll.ciqfunctions.udf.CIQ(mh_ticker, "IQ_SHARESOUTSTANDING_OUT", B687), "")</f>
        <v/>
      </c>
      <c r="E687" s="11">
        <f>IFERROR(_xll.ciqfunctions.udf.CIQ(mh_ticker, "IQ_CASH_EQUIV", , B687), "")</f>
        <v/>
      </c>
      <c r="F687" s="11">
        <f>IFERROR(_xll.ciqfunctions.udf.CIQ(mh_ticker, "IQ_ST_INVEST", , B687), "")</f>
        <v/>
      </c>
      <c r="G687" s="11">
        <f>IFERROR(_xll.ciqfunctions.udf.CIQ(mh_ticker, "IQ_TOTAL_DEBT_EXCL_OPER_LEASES", , B687), "")</f>
        <v/>
      </c>
      <c r="H687" s="11">
        <f>IFERROR(_xll.ciqfunctions.udf.CIQ(mh_ticker, "IQ_PREF_EQUITY", , B687), "")</f>
        <v/>
      </c>
      <c r="I687" s="11">
        <f>IFERROR(_xll.ciqfunctions.udf.CIQ(mh_ticker, "IQ_MINORITY_INTEREST", , B687), "")</f>
        <v/>
      </c>
      <c r="J687" s="11">
        <f>IFERROR(_xll.ciqfunctions.udf.CIQ(mh_ticker, "IQ_EQUITY_METHOD", , B687), "")</f>
        <v/>
      </c>
      <c r="K687" s="11">
        <f>IFERROR(_xll.ciqfunctions.udf.CIQ(mh_ticker, "IQ_LT_Mark_Securities", , B687), "")</f>
        <v/>
      </c>
      <c r="L687" s="12">
        <f>IFERROR(C687*D687, "")</f>
        <v/>
      </c>
      <c r="M687" s="12">
        <f>IFERROR(L687-E687-F687+G687+H687+I687-J687-K687, "")</f>
        <v/>
      </c>
      <c r="N687" s="11">
        <f>IFERROR(_xll.ciqfunctions.udf.CIQ(mh_ticker, "IQ_EBITDA_EST", IQ_NTM, B687, , , "USD"), "")</f>
        <v/>
      </c>
      <c r="O687" s="13">
        <f>IFERROR(M687/N687, "")</f>
        <v/>
      </c>
    </row>
    <row r="688">
      <c r="B688" s="8" t="n"/>
      <c r="C688" s="9">
        <f>IFERROR(_xll.ciqfunctions.udf.CIQ(mh_ticker, "IQ_LASTSALEPRICE", B688), "")</f>
        <v/>
      </c>
      <c r="D688" s="10">
        <f>IFERROR(_xll.ciqfunctions.udf.CIQ(mh_ticker, "IQ_SHARESOUTSTANDING_OUT", B688), "")</f>
        <v/>
      </c>
      <c r="E688" s="11">
        <f>IFERROR(_xll.ciqfunctions.udf.CIQ(mh_ticker, "IQ_CASH_EQUIV", , B688), "")</f>
        <v/>
      </c>
      <c r="F688" s="11">
        <f>IFERROR(_xll.ciqfunctions.udf.CIQ(mh_ticker, "IQ_ST_INVEST", , B688), "")</f>
        <v/>
      </c>
      <c r="G688" s="11">
        <f>IFERROR(_xll.ciqfunctions.udf.CIQ(mh_ticker, "IQ_TOTAL_DEBT_EXCL_OPER_LEASES", , B688), "")</f>
        <v/>
      </c>
      <c r="H688" s="11">
        <f>IFERROR(_xll.ciqfunctions.udf.CIQ(mh_ticker, "IQ_PREF_EQUITY", , B688), "")</f>
        <v/>
      </c>
      <c r="I688" s="11">
        <f>IFERROR(_xll.ciqfunctions.udf.CIQ(mh_ticker, "IQ_MINORITY_INTEREST", , B688), "")</f>
        <v/>
      </c>
      <c r="J688" s="11">
        <f>IFERROR(_xll.ciqfunctions.udf.CIQ(mh_ticker, "IQ_EQUITY_METHOD", , B688), "")</f>
        <v/>
      </c>
      <c r="K688" s="11">
        <f>IFERROR(_xll.ciqfunctions.udf.CIQ(mh_ticker, "IQ_LT_Mark_Securities", , B688), "")</f>
        <v/>
      </c>
      <c r="L688" s="12">
        <f>IFERROR(C688*D688, "")</f>
        <v/>
      </c>
      <c r="M688" s="12">
        <f>IFERROR(L688-E688-F688+G688+H688+I688-J688-K688, "")</f>
        <v/>
      </c>
      <c r="N688" s="11">
        <f>IFERROR(_xll.ciqfunctions.udf.CIQ(mh_ticker, "IQ_EBITDA_EST", IQ_NTM, B688, , , "USD"), "")</f>
        <v/>
      </c>
      <c r="O688" s="13">
        <f>IFERROR(M688/N688, "")</f>
        <v/>
      </c>
    </row>
    <row r="689">
      <c r="B689" s="8" t="n"/>
      <c r="C689" s="9">
        <f>IFERROR(_xll.ciqfunctions.udf.CIQ(mh_ticker, "IQ_LASTSALEPRICE", B689), "")</f>
        <v/>
      </c>
      <c r="D689" s="10">
        <f>IFERROR(_xll.ciqfunctions.udf.CIQ(mh_ticker, "IQ_SHARESOUTSTANDING_OUT", B689), "")</f>
        <v/>
      </c>
      <c r="E689" s="11">
        <f>IFERROR(_xll.ciqfunctions.udf.CIQ(mh_ticker, "IQ_CASH_EQUIV", , B689), "")</f>
        <v/>
      </c>
      <c r="F689" s="11">
        <f>IFERROR(_xll.ciqfunctions.udf.CIQ(mh_ticker, "IQ_ST_INVEST", , B689), "")</f>
        <v/>
      </c>
      <c r="G689" s="11">
        <f>IFERROR(_xll.ciqfunctions.udf.CIQ(mh_ticker, "IQ_TOTAL_DEBT_EXCL_OPER_LEASES", , B689), "")</f>
        <v/>
      </c>
      <c r="H689" s="11">
        <f>IFERROR(_xll.ciqfunctions.udf.CIQ(mh_ticker, "IQ_PREF_EQUITY", , B689), "")</f>
        <v/>
      </c>
      <c r="I689" s="11">
        <f>IFERROR(_xll.ciqfunctions.udf.CIQ(mh_ticker, "IQ_MINORITY_INTEREST", , B689), "")</f>
        <v/>
      </c>
      <c r="J689" s="11">
        <f>IFERROR(_xll.ciqfunctions.udf.CIQ(mh_ticker, "IQ_EQUITY_METHOD", , B689), "")</f>
        <v/>
      </c>
      <c r="K689" s="11">
        <f>IFERROR(_xll.ciqfunctions.udf.CIQ(mh_ticker, "IQ_LT_Mark_Securities", , B689), "")</f>
        <v/>
      </c>
      <c r="L689" s="12">
        <f>IFERROR(C689*D689, "")</f>
        <v/>
      </c>
      <c r="M689" s="12">
        <f>IFERROR(L689-E689-F689+G689+H689+I689-J689-K689, "")</f>
        <v/>
      </c>
      <c r="N689" s="11">
        <f>IFERROR(_xll.ciqfunctions.udf.CIQ(mh_ticker, "IQ_EBITDA_EST", IQ_NTM, B689, , , "USD"), "")</f>
        <v/>
      </c>
      <c r="O689" s="13">
        <f>IFERROR(M689/N689, "")</f>
        <v/>
      </c>
    </row>
    <row r="690">
      <c r="B690" s="8" t="n"/>
      <c r="C690" s="9">
        <f>IFERROR(_xll.ciqfunctions.udf.CIQ(mh_ticker, "IQ_LASTSALEPRICE", B690), "")</f>
        <v/>
      </c>
      <c r="D690" s="10">
        <f>IFERROR(_xll.ciqfunctions.udf.CIQ(mh_ticker, "IQ_SHARESOUTSTANDING_OUT", B690), "")</f>
        <v/>
      </c>
      <c r="E690" s="11">
        <f>IFERROR(_xll.ciqfunctions.udf.CIQ(mh_ticker, "IQ_CASH_EQUIV", , B690), "")</f>
        <v/>
      </c>
      <c r="F690" s="11">
        <f>IFERROR(_xll.ciqfunctions.udf.CIQ(mh_ticker, "IQ_ST_INVEST", , B690), "")</f>
        <v/>
      </c>
      <c r="G690" s="11">
        <f>IFERROR(_xll.ciqfunctions.udf.CIQ(mh_ticker, "IQ_TOTAL_DEBT_EXCL_OPER_LEASES", , B690), "")</f>
        <v/>
      </c>
      <c r="H690" s="11">
        <f>IFERROR(_xll.ciqfunctions.udf.CIQ(mh_ticker, "IQ_PREF_EQUITY", , B690), "")</f>
        <v/>
      </c>
      <c r="I690" s="11">
        <f>IFERROR(_xll.ciqfunctions.udf.CIQ(mh_ticker, "IQ_MINORITY_INTEREST", , B690), "")</f>
        <v/>
      </c>
      <c r="J690" s="11">
        <f>IFERROR(_xll.ciqfunctions.udf.CIQ(mh_ticker, "IQ_EQUITY_METHOD", , B690), "")</f>
        <v/>
      </c>
      <c r="K690" s="11">
        <f>IFERROR(_xll.ciqfunctions.udf.CIQ(mh_ticker, "IQ_LT_Mark_Securities", , B690), "")</f>
        <v/>
      </c>
      <c r="L690" s="12">
        <f>IFERROR(C690*D690, "")</f>
        <v/>
      </c>
      <c r="M690" s="12">
        <f>IFERROR(L690-E690-F690+G690+H690+I690-J690-K690, "")</f>
        <v/>
      </c>
      <c r="N690" s="11">
        <f>IFERROR(_xll.ciqfunctions.udf.CIQ(mh_ticker, "IQ_EBITDA_EST", IQ_NTM, B690, , , "USD"), "")</f>
        <v/>
      </c>
      <c r="O690" s="13">
        <f>IFERROR(M690/N690, "")</f>
        <v/>
      </c>
    </row>
    <row r="691">
      <c r="B691" s="8" t="n"/>
      <c r="C691" s="9">
        <f>IFERROR(_xll.ciqfunctions.udf.CIQ(mh_ticker, "IQ_LASTSALEPRICE", B691), "")</f>
        <v/>
      </c>
      <c r="D691" s="10">
        <f>IFERROR(_xll.ciqfunctions.udf.CIQ(mh_ticker, "IQ_SHARESOUTSTANDING_OUT", B691), "")</f>
        <v/>
      </c>
      <c r="E691" s="11">
        <f>IFERROR(_xll.ciqfunctions.udf.CIQ(mh_ticker, "IQ_CASH_EQUIV", , B691), "")</f>
        <v/>
      </c>
      <c r="F691" s="11">
        <f>IFERROR(_xll.ciqfunctions.udf.CIQ(mh_ticker, "IQ_ST_INVEST", , B691), "")</f>
        <v/>
      </c>
      <c r="G691" s="11">
        <f>IFERROR(_xll.ciqfunctions.udf.CIQ(mh_ticker, "IQ_TOTAL_DEBT_EXCL_OPER_LEASES", , B691), "")</f>
        <v/>
      </c>
      <c r="H691" s="11">
        <f>IFERROR(_xll.ciqfunctions.udf.CIQ(mh_ticker, "IQ_PREF_EQUITY", , B691), "")</f>
        <v/>
      </c>
      <c r="I691" s="11">
        <f>IFERROR(_xll.ciqfunctions.udf.CIQ(mh_ticker, "IQ_MINORITY_INTEREST", , B691), "")</f>
        <v/>
      </c>
      <c r="J691" s="11">
        <f>IFERROR(_xll.ciqfunctions.udf.CIQ(mh_ticker, "IQ_EQUITY_METHOD", , B691), "")</f>
        <v/>
      </c>
      <c r="K691" s="11">
        <f>IFERROR(_xll.ciqfunctions.udf.CIQ(mh_ticker, "IQ_LT_Mark_Securities", , B691), "")</f>
        <v/>
      </c>
      <c r="L691" s="12">
        <f>IFERROR(C691*D691, "")</f>
        <v/>
      </c>
      <c r="M691" s="12">
        <f>IFERROR(L691-E691-F691+G691+H691+I691-J691-K691, "")</f>
        <v/>
      </c>
      <c r="N691" s="11">
        <f>IFERROR(_xll.ciqfunctions.udf.CIQ(mh_ticker, "IQ_EBITDA_EST", IQ_NTM, B691, , , "USD"), "")</f>
        <v/>
      </c>
      <c r="O691" s="13">
        <f>IFERROR(M691/N691, "")</f>
        <v/>
      </c>
    </row>
    <row r="692">
      <c r="B692" s="8" t="n"/>
      <c r="C692" s="9">
        <f>IFERROR(_xll.ciqfunctions.udf.CIQ(mh_ticker, "IQ_LASTSALEPRICE", B692), "")</f>
        <v/>
      </c>
      <c r="D692" s="10">
        <f>IFERROR(_xll.ciqfunctions.udf.CIQ(mh_ticker, "IQ_SHARESOUTSTANDING_OUT", B692), "")</f>
        <v/>
      </c>
      <c r="E692" s="11">
        <f>IFERROR(_xll.ciqfunctions.udf.CIQ(mh_ticker, "IQ_CASH_EQUIV", , B692), "")</f>
        <v/>
      </c>
      <c r="F692" s="11">
        <f>IFERROR(_xll.ciqfunctions.udf.CIQ(mh_ticker, "IQ_ST_INVEST", , B692), "")</f>
        <v/>
      </c>
      <c r="G692" s="11">
        <f>IFERROR(_xll.ciqfunctions.udf.CIQ(mh_ticker, "IQ_TOTAL_DEBT_EXCL_OPER_LEASES", , B692), "")</f>
        <v/>
      </c>
      <c r="H692" s="11">
        <f>IFERROR(_xll.ciqfunctions.udf.CIQ(mh_ticker, "IQ_PREF_EQUITY", , B692), "")</f>
        <v/>
      </c>
      <c r="I692" s="11">
        <f>IFERROR(_xll.ciqfunctions.udf.CIQ(mh_ticker, "IQ_MINORITY_INTEREST", , B692), "")</f>
        <v/>
      </c>
      <c r="J692" s="11">
        <f>IFERROR(_xll.ciqfunctions.udf.CIQ(mh_ticker, "IQ_EQUITY_METHOD", , B692), "")</f>
        <v/>
      </c>
      <c r="K692" s="11">
        <f>IFERROR(_xll.ciqfunctions.udf.CIQ(mh_ticker, "IQ_LT_Mark_Securities", , B692), "")</f>
        <v/>
      </c>
      <c r="L692" s="12">
        <f>IFERROR(C692*D692, "")</f>
        <v/>
      </c>
      <c r="M692" s="12">
        <f>IFERROR(L692-E692-F692+G692+H692+I692-J692-K692, "")</f>
        <v/>
      </c>
      <c r="N692" s="11">
        <f>IFERROR(_xll.ciqfunctions.udf.CIQ(mh_ticker, "IQ_EBITDA_EST", IQ_NTM, B692, , , "USD"), "")</f>
        <v/>
      </c>
      <c r="O692" s="13">
        <f>IFERROR(M692/N692, "")</f>
        <v/>
      </c>
    </row>
    <row r="693">
      <c r="B693" s="8" t="n"/>
      <c r="C693" s="9">
        <f>IFERROR(_xll.ciqfunctions.udf.CIQ(mh_ticker, "IQ_LASTSALEPRICE", B693), "")</f>
        <v/>
      </c>
      <c r="D693" s="10">
        <f>IFERROR(_xll.ciqfunctions.udf.CIQ(mh_ticker, "IQ_SHARESOUTSTANDING_OUT", B693), "")</f>
        <v/>
      </c>
      <c r="E693" s="11">
        <f>IFERROR(_xll.ciqfunctions.udf.CIQ(mh_ticker, "IQ_CASH_EQUIV", , B693), "")</f>
        <v/>
      </c>
      <c r="F693" s="11">
        <f>IFERROR(_xll.ciqfunctions.udf.CIQ(mh_ticker, "IQ_ST_INVEST", , B693), "")</f>
        <v/>
      </c>
      <c r="G693" s="11">
        <f>IFERROR(_xll.ciqfunctions.udf.CIQ(mh_ticker, "IQ_TOTAL_DEBT_EXCL_OPER_LEASES", , B693), "")</f>
        <v/>
      </c>
      <c r="H693" s="11">
        <f>IFERROR(_xll.ciqfunctions.udf.CIQ(mh_ticker, "IQ_PREF_EQUITY", , B693), "")</f>
        <v/>
      </c>
      <c r="I693" s="11">
        <f>IFERROR(_xll.ciqfunctions.udf.CIQ(mh_ticker, "IQ_MINORITY_INTEREST", , B693), "")</f>
        <v/>
      </c>
      <c r="J693" s="11">
        <f>IFERROR(_xll.ciqfunctions.udf.CIQ(mh_ticker, "IQ_EQUITY_METHOD", , B693), "")</f>
        <v/>
      </c>
      <c r="K693" s="11">
        <f>IFERROR(_xll.ciqfunctions.udf.CIQ(mh_ticker, "IQ_LT_Mark_Securities", , B693), "")</f>
        <v/>
      </c>
      <c r="L693" s="12">
        <f>IFERROR(C693*D693, "")</f>
        <v/>
      </c>
      <c r="M693" s="12">
        <f>IFERROR(L693-E693-F693+G693+H693+I693-J693-K693, "")</f>
        <v/>
      </c>
      <c r="N693" s="11">
        <f>IFERROR(_xll.ciqfunctions.udf.CIQ(mh_ticker, "IQ_EBITDA_EST", IQ_NTM, B693, , , "USD"), "")</f>
        <v/>
      </c>
      <c r="O693" s="13">
        <f>IFERROR(M693/N693, "")</f>
        <v/>
      </c>
    </row>
    <row r="694">
      <c r="B694" s="8" t="n"/>
      <c r="C694" s="9">
        <f>IFERROR(_xll.ciqfunctions.udf.CIQ(mh_ticker, "IQ_LASTSALEPRICE", B694), "")</f>
        <v/>
      </c>
      <c r="D694" s="10">
        <f>IFERROR(_xll.ciqfunctions.udf.CIQ(mh_ticker, "IQ_SHARESOUTSTANDING_OUT", B694), "")</f>
        <v/>
      </c>
      <c r="E694" s="11">
        <f>IFERROR(_xll.ciqfunctions.udf.CIQ(mh_ticker, "IQ_CASH_EQUIV", , B694), "")</f>
        <v/>
      </c>
      <c r="F694" s="11">
        <f>IFERROR(_xll.ciqfunctions.udf.CIQ(mh_ticker, "IQ_ST_INVEST", , B694), "")</f>
        <v/>
      </c>
      <c r="G694" s="11">
        <f>IFERROR(_xll.ciqfunctions.udf.CIQ(mh_ticker, "IQ_TOTAL_DEBT_EXCL_OPER_LEASES", , B694), "")</f>
        <v/>
      </c>
      <c r="H694" s="11">
        <f>IFERROR(_xll.ciqfunctions.udf.CIQ(mh_ticker, "IQ_PREF_EQUITY", , B694), "")</f>
        <v/>
      </c>
      <c r="I694" s="11">
        <f>IFERROR(_xll.ciqfunctions.udf.CIQ(mh_ticker, "IQ_MINORITY_INTEREST", , B694), "")</f>
        <v/>
      </c>
      <c r="J694" s="11">
        <f>IFERROR(_xll.ciqfunctions.udf.CIQ(mh_ticker, "IQ_EQUITY_METHOD", , B694), "")</f>
        <v/>
      </c>
      <c r="K694" s="11">
        <f>IFERROR(_xll.ciqfunctions.udf.CIQ(mh_ticker, "IQ_LT_Mark_Securities", , B694), "")</f>
        <v/>
      </c>
      <c r="L694" s="12">
        <f>IFERROR(C694*D694, "")</f>
        <v/>
      </c>
      <c r="M694" s="12">
        <f>IFERROR(L694-E694-F694+G694+H694+I694-J694-K694, "")</f>
        <v/>
      </c>
      <c r="N694" s="11">
        <f>IFERROR(_xll.ciqfunctions.udf.CIQ(mh_ticker, "IQ_EBITDA_EST", IQ_NTM, B694, , , "USD"), "")</f>
        <v/>
      </c>
      <c r="O694" s="13">
        <f>IFERROR(M694/N694, "")</f>
        <v/>
      </c>
    </row>
    <row r="695">
      <c r="B695" s="8" t="n"/>
      <c r="C695" s="9">
        <f>IFERROR(_xll.ciqfunctions.udf.CIQ(mh_ticker, "IQ_LASTSALEPRICE", B695), "")</f>
        <v/>
      </c>
      <c r="D695" s="10">
        <f>IFERROR(_xll.ciqfunctions.udf.CIQ(mh_ticker, "IQ_SHARESOUTSTANDING_OUT", B695), "")</f>
        <v/>
      </c>
      <c r="E695" s="11">
        <f>IFERROR(_xll.ciqfunctions.udf.CIQ(mh_ticker, "IQ_CASH_EQUIV", , B695), "")</f>
        <v/>
      </c>
      <c r="F695" s="11">
        <f>IFERROR(_xll.ciqfunctions.udf.CIQ(mh_ticker, "IQ_ST_INVEST", , B695), "")</f>
        <v/>
      </c>
      <c r="G695" s="11">
        <f>IFERROR(_xll.ciqfunctions.udf.CIQ(mh_ticker, "IQ_TOTAL_DEBT_EXCL_OPER_LEASES", , B695), "")</f>
        <v/>
      </c>
      <c r="H695" s="11">
        <f>IFERROR(_xll.ciqfunctions.udf.CIQ(mh_ticker, "IQ_PREF_EQUITY", , B695), "")</f>
        <v/>
      </c>
      <c r="I695" s="11">
        <f>IFERROR(_xll.ciqfunctions.udf.CIQ(mh_ticker, "IQ_MINORITY_INTEREST", , B695), "")</f>
        <v/>
      </c>
      <c r="J695" s="11">
        <f>IFERROR(_xll.ciqfunctions.udf.CIQ(mh_ticker, "IQ_EQUITY_METHOD", , B695), "")</f>
        <v/>
      </c>
      <c r="K695" s="11">
        <f>IFERROR(_xll.ciqfunctions.udf.CIQ(mh_ticker, "IQ_LT_Mark_Securities", , B695), "")</f>
        <v/>
      </c>
      <c r="L695" s="12">
        <f>IFERROR(C695*D695, "")</f>
        <v/>
      </c>
      <c r="M695" s="12">
        <f>IFERROR(L695-E695-F695+G695+H695+I695-J695-K695, "")</f>
        <v/>
      </c>
      <c r="N695" s="11">
        <f>IFERROR(_xll.ciqfunctions.udf.CIQ(mh_ticker, "IQ_EBITDA_EST", IQ_NTM, B695, , , "USD"), "")</f>
        <v/>
      </c>
      <c r="O695" s="13">
        <f>IFERROR(M695/N695, "")</f>
        <v/>
      </c>
    </row>
    <row r="696">
      <c r="B696" s="8" t="n"/>
      <c r="C696" s="9">
        <f>IFERROR(_xll.ciqfunctions.udf.CIQ(mh_ticker, "IQ_LASTSALEPRICE", B696), "")</f>
        <v/>
      </c>
      <c r="D696" s="10">
        <f>IFERROR(_xll.ciqfunctions.udf.CIQ(mh_ticker, "IQ_SHARESOUTSTANDING_OUT", B696), "")</f>
        <v/>
      </c>
      <c r="E696" s="11">
        <f>IFERROR(_xll.ciqfunctions.udf.CIQ(mh_ticker, "IQ_CASH_EQUIV", , B696), "")</f>
        <v/>
      </c>
      <c r="F696" s="11">
        <f>IFERROR(_xll.ciqfunctions.udf.CIQ(mh_ticker, "IQ_ST_INVEST", , B696), "")</f>
        <v/>
      </c>
      <c r="G696" s="11">
        <f>IFERROR(_xll.ciqfunctions.udf.CIQ(mh_ticker, "IQ_TOTAL_DEBT_EXCL_OPER_LEASES", , B696), "")</f>
        <v/>
      </c>
      <c r="H696" s="11">
        <f>IFERROR(_xll.ciqfunctions.udf.CIQ(mh_ticker, "IQ_PREF_EQUITY", , B696), "")</f>
        <v/>
      </c>
      <c r="I696" s="11">
        <f>IFERROR(_xll.ciqfunctions.udf.CIQ(mh_ticker, "IQ_MINORITY_INTEREST", , B696), "")</f>
        <v/>
      </c>
      <c r="J696" s="11">
        <f>IFERROR(_xll.ciqfunctions.udf.CIQ(mh_ticker, "IQ_EQUITY_METHOD", , B696), "")</f>
        <v/>
      </c>
      <c r="K696" s="11">
        <f>IFERROR(_xll.ciqfunctions.udf.CIQ(mh_ticker, "IQ_LT_Mark_Securities", , B696), "")</f>
        <v/>
      </c>
      <c r="L696" s="12">
        <f>IFERROR(C696*D696, "")</f>
        <v/>
      </c>
      <c r="M696" s="12">
        <f>IFERROR(L696-E696-F696+G696+H696+I696-J696-K696, "")</f>
        <v/>
      </c>
      <c r="N696" s="11">
        <f>IFERROR(_xll.ciqfunctions.udf.CIQ(mh_ticker, "IQ_EBITDA_EST", IQ_NTM, B696, , , "USD"), "")</f>
        <v/>
      </c>
      <c r="O696" s="13">
        <f>IFERROR(M696/N696, "")</f>
        <v/>
      </c>
    </row>
    <row r="697">
      <c r="B697" s="8" t="n"/>
      <c r="C697" s="9">
        <f>IFERROR(_xll.ciqfunctions.udf.CIQ(mh_ticker, "IQ_LASTSALEPRICE", B697), "")</f>
        <v/>
      </c>
      <c r="D697" s="10">
        <f>IFERROR(_xll.ciqfunctions.udf.CIQ(mh_ticker, "IQ_SHARESOUTSTANDING_OUT", B697), "")</f>
        <v/>
      </c>
      <c r="E697" s="11">
        <f>IFERROR(_xll.ciqfunctions.udf.CIQ(mh_ticker, "IQ_CASH_EQUIV", , B697), "")</f>
        <v/>
      </c>
      <c r="F697" s="11">
        <f>IFERROR(_xll.ciqfunctions.udf.CIQ(mh_ticker, "IQ_ST_INVEST", , B697), "")</f>
        <v/>
      </c>
      <c r="G697" s="11">
        <f>IFERROR(_xll.ciqfunctions.udf.CIQ(mh_ticker, "IQ_TOTAL_DEBT_EXCL_OPER_LEASES", , B697), "")</f>
        <v/>
      </c>
      <c r="H697" s="11">
        <f>IFERROR(_xll.ciqfunctions.udf.CIQ(mh_ticker, "IQ_PREF_EQUITY", , B697), "")</f>
        <v/>
      </c>
      <c r="I697" s="11">
        <f>IFERROR(_xll.ciqfunctions.udf.CIQ(mh_ticker, "IQ_MINORITY_INTEREST", , B697), "")</f>
        <v/>
      </c>
      <c r="J697" s="11">
        <f>IFERROR(_xll.ciqfunctions.udf.CIQ(mh_ticker, "IQ_EQUITY_METHOD", , B697), "")</f>
        <v/>
      </c>
      <c r="K697" s="11">
        <f>IFERROR(_xll.ciqfunctions.udf.CIQ(mh_ticker, "IQ_LT_Mark_Securities", , B697), "")</f>
        <v/>
      </c>
      <c r="L697" s="12">
        <f>IFERROR(C697*D697, "")</f>
        <v/>
      </c>
      <c r="M697" s="12">
        <f>IFERROR(L697-E697-F697+G697+H697+I697-J697-K697, "")</f>
        <v/>
      </c>
      <c r="N697" s="11">
        <f>IFERROR(_xll.ciqfunctions.udf.CIQ(mh_ticker, "IQ_EBITDA_EST", IQ_NTM, B697, , , "USD"), "")</f>
        <v/>
      </c>
      <c r="O697" s="13">
        <f>IFERROR(M697/N697, "")</f>
        <v/>
      </c>
    </row>
    <row r="698">
      <c r="B698" s="8" t="n"/>
      <c r="C698" s="9">
        <f>IFERROR(_xll.ciqfunctions.udf.CIQ(mh_ticker, "IQ_LASTSALEPRICE", B698), "")</f>
        <v/>
      </c>
      <c r="D698" s="10">
        <f>IFERROR(_xll.ciqfunctions.udf.CIQ(mh_ticker, "IQ_SHARESOUTSTANDING_OUT", B698), "")</f>
        <v/>
      </c>
      <c r="E698" s="11">
        <f>IFERROR(_xll.ciqfunctions.udf.CIQ(mh_ticker, "IQ_CASH_EQUIV", , B698), "")</f>
        <v/>
      </c>
      <c r="F698" s="11">
        <f>IFERROR(_xll.ciqfunctions.udf.CIQ(mh_ticker, "IQ_ST_INVEST", , B698), "")</f>
        <v/>
      </c>
      <c r="G698" s="11">
        <f>IFERROR(_xll.ciqfunctions.udf.CIQ(mh_ticker, "IQ_TOTAL_DEBT_EXCL_OPER_LEASES", , B698), "")</f>
        <v/>
      </c>
      <c r="H698" s="11">
        <f>IFERROR(_xll.ciqfunctions.udf.CIQ(mh_ticker, "IQ_PREF_EQUITY", , B698), "")</f>
        <v/>
      </c>
      <c r="I698" s="11">
        <f>IFERROR(_xll.ciqfunctions.udf.CIQ(mh_ticker, "IQ_MINORITY_INTEREST", , B698), "")</f>
        <v/>
      </c>
      <c r="J698" s="11">
        <f>IFERROR(_xll.ciqfunctions.udf.CIQ(mh_ticker, "IQ_EQUITY_METHOD", , B698), "")</f>
        <v/>
      </c>
      <c r="K698" s="11">
        <f>IFERROR(_xll.ciqfunctions.udf.CIQ(mh_ticker, "IQ_LT_Mark_Securities", , B698), "")</f>
        <v/>
      </c>
      <c r="L698" s="12">
        <f>IFERROR(C698*D698, "")</f>
        <v/>
      </c>
      <c r="M698" s="12">
        <f>IFERROR(L698-E698-F698+G698+H698+I698-J698-K698, "")</f>
        <v/>
      </c>
      <c r="N698" s="11">
        <f>IFERROR(_xll.ciqfunctions.udf.CIQ(mh_ticker, "IQ_EBITDA_EST", IQ_NTM, B698, , , "USD"), "")</f>
        <v/>
      </c>
      <c r="O698" s="13">
        <f>IFERROR(M698/N698, "")</f>
        <v/>
      </c>
    </row>
    <row r="699">
      <c r="B699" s="8" t="n"/>
      <c r="C699" s="9">
        <f>IFERROR(_xll.ciqfunctions.udf.CIQ(mh_ticker, "IQ_LASTSALEPRICE", B699), "")</f>
        <v/>
      </c>
      <c r="D699" s="10">
        <f>IFERROR(_xll.ciqfunctions.udf.CIQ(mh_ticker, "IQ_SHARESOUTSTANDING_OUT", B699), "")</f>
        <v/>
      </c>
      <c r="E699" s="11">
        <f>IFERROR(_xll.ciqfunctions.udf.CIQ(mh_ticker, "IQ_CASH_EQUIV", , B699), "")</f>
        <v/>
      </c>
      <c r="F699" s="11">
        <f>IFERROR(_xll.ciqfunctions.udf.CIQ(mh_ticker, "IQ_ST_INVEST", , B699), "")</f>
        <v/>
      </c>
      <c r="G699" s="11">
        <f>IFERROR(_xll.ciqfunctions.udf.CIQ(mh_ticker, "IQ_TOTAL_DEBT_EXCL_OPER_LEASES", , B699), "")</f>
        <v/>
      </c>
      <c r="H699" s="11">
        <f>IFERROR(_xll.ciqfunctions.udf.CIQ(mh_ticker, "IQ_PREF_EQUITY", , B699), "")</f>
        <v/>
      </c>
      <c r="I699" s="11">
        <f>IFERROR(_xll.ciqfunctions.udf.CIQ(mh_ticker, "IQ_MINORITY_INTEREST", , B699), "")</f>
        <v/>
      </c>
      <c r="J699" s="11">
        <f>IFERROR(_xll.ciqfunctions.udf.CIQ(mh_ticker, "IQ_EQUITY_METHOD", , B699), "")</f>
        <v/>
      </c>
      <c r="K699" s="11">
        <f>IFERROR(_xll.ciqfunctions.udf.CIQ(mh_ticker, "IQ_LT_Mark_Securities", , B699), "")</f>
        <v/>
      </c>
      <c r="L699" s="12">
        <f>IFERROR(C699*D699, "")</f>
        <v/>
      </c>
      <c r="M699" s="12">
        <f>IFERROR(L699-E699-F699+G699+H699+I699-J699-K699, "")</f>
        <v/>
      </c>
      <c r="N699" s="11">
        <f>IFERROR(_xll.ciqfunctions.udf.CIQ(mh_ticker, "IQ_EBITDA_EST", IQ_NTM, B699, , , "USD"), "")</f>
        <v/>
      </c>
      <c r="O699" s="13">
        <f>IFERROR(M699/N699, "")</f>
        <v/>
      </c>
    </row>
    <row r="700">
      <c r="B700" s="8" t="n"/>
      <c r="C700" s="9">
        <f>IFERROR(_xll.ciqfunctions.udf.CIQ(mh_ticker, "IQ_LASTSALEPRICE", B700), "")</f>
        <v/>
      </c>
      <c r="D700" s="10">
        <f>IFERROR(_xll.ciqfunctions.udf.CIQ(mh_ticker, "IQ_SHARESOUTSTANDING_OUT", B700), "")</f>
        <v/>
      </c>
      <c r="E700" s="11">
        <f>IFERROR(_xll.ciqfunctions.udf.CIQ(mh_ticker, "IQ_CASH_EQUIV", , B700), "")</f>
        <v/>
      </c>
      <c r="F700" s="11">
        <f>IFERROR(_xll.ciqfunctions.udf.CIQ(mh_ticker, "IQ_ST_INVEST", , B700), "")</f>
        <v/>
      </c>
      <c r="G700" s="11">
        <f>IFERROR(_xll.ciqfunctions.udf.CIQ(mh_ticker, "IQ_TOTAL_DEBT_EXCL_OPER_LEASES", , B700), "")</f>
        <v/>
      </c>
      <c r="H700" s="11">
        <f>IFERROR(_xll.ciqfunctions.udf.CIQ(mh_ticker, "IQ_PREF_EQUITY", , B700), "")</f>
        <v/>
      </c>
      <c r="I700" s="11">
        <f>IFERROR(_xll.ciqfunctions.udf.CIQ(mh_ticker, "IQ_MINORITY_INTEREST", , B700), "")</f>
        <v/>
      </c>
      <c r="J700" s="11">
        <f>IFERROR(_xll.ciqfunctions.udf.CIQ(mh_ticker, "IQ_EQUITY_METHOD", , B700), "")</f>
        <v/>
      </c>
      <c r="K700" s="11">
        <f>IFERROR(_xll.ciqfunctions.udf.CIQ(mh_ticker, "IQ_LT_Mark_Securities", , B700), "")</f>
        <v/>
      </c>
      <c r="L700" s="12">
        <f>IFERROR(C700*D700, "")</f>
        <v/>
      </c>
      <c r="M700" s="12">
        <f>IFERROR(L700-E700-F700+G700+H700+I700-J700-K700, "")</f>
        <v/>
      </c>
      <c r="N700" s="11">
        <f>IFERROR(_xll.ciqfunctions.udf.CIQ(mh_ticker, "IQ_EBITDA_EST", IQ_NTM, B700, , , "USD"), "")</f>
        <v/>
      </c>
      <c r="O700" s="13">
        <f>IFERROR(M700/N700, "")</f>
        <v/>
      </c>
    </row>
    <row r="701">
      <c r="B701" s="8" t="n"/>
      <c r="C701" s="9">
        <f>IFERROR(_xll.ciqfunctions.udf.CIQ(mh_ticker, "IQ_LASTSALEPRICE", B701), "")</f>
        <v/>
      </c>
      <c r="D701" s="10">
        <f>IFERROR(_xll.ciqfunctions.udf.CIQ(mh_ticker, "IQ_SHARESOUTSTANDING_OUT", B701), "")</f>
        <v/>
      </c>
      <c r="E701" s="11">
        <f>IFERROR(_xll.ciqfunctions.udf.CIQ(mh_ticker, "IQ_CASH_EQUIV", , B701), "")</f>
        <v/>
      </c>
      <c r="F701" s="11">
        <f>IFERROR(_xll.ciqfunctions.udf.CIQ(mh_ticker, "IQ_ST_INVEST", , B701), "")</f>
        <v/>
      </c>
      <c r="G701" s="11">
        <f>IFERROR(_xll.ciqfunctions.udf.CIQ(mh_ticker, "IQ_TOTAL_DEBT_EXCL_OPER_LEASES", , B701), "")</f>
        <v/>
      </c>
      <c r="H701" s="11">
        <f>IFERROR(_xll.ciqfunctions.udf.CIQ(mh_ticker, "IQ_PREF_EQUITY", , B701), "")</f>
        <v/>
      </c>
      <c r="I701" s="11">
        <f>IFERROR(_xll.ciqfunctions.udf.CIQ(mh_ticker, "IQ_MINORITY_INTEREST", , B701), "")</f>
        <v/>
      </c>
      <c r="J701" s="11">
        <f>IFERROR(_xll.ciqfunctions.udf.CIQ(mh_ticker, "IQ_EQUITY_METHOD", , B701), "")</f>
        <v/>
      </c>
      <c r="K701" s="11">
        <f>IFERROR(_xll.ciqfunctions.udf.CIQ(mh_ticker, "IQ_LT_Mark_Securities", , B701), "")</f>
        <v/>
      </c>
      <c r="L701" s="12">
        <f>IFERROR(C701*D701, "")</f>
        <v/>
      </c>
      <c r="M701" s="12">
        <f>IFERROR(L701-E701-F701+G701+H701+I701-J701-K701, "")</f>
        <v/>
      </c>
      <c r="N701" s="11">
        <f>IFERROR(_xll.ciqfunctions.udf.CIQ(mh_ticker, "IQ_EBITDA_EST", IQ_NTM, B701, , , "USD"), "")</f>
        <v/>
      </c>
      <c r="O701" s="13">
        <f>IFERROR(M701/N701, "")</f>
        <v/>
      </c>
    </row>
    <row r="702">
      <c r="B702" s="8" t="n"/>
      <c r="C702" s="9">
        <f>IFERROR(_xll.ciqfunctions.udf.CIQ(mh_ticker, "IQ_LASTSALEPRICE", B702), "")</f>
        <v/>
      </c>
      <c r="D702" s="10">
        <f>IFERROR(_xll.ciqfunctions.udf.CIQ(mh_ticker, "IQ_SHARESOUTSTANDING_OUT", B702), "")</f>
        <v/>
      </c>
      <c r="E702" s="11">
        <f>IFERROR(_xll.ciqfunctions.udf.CIQ(mh_ticker, "IQ_CASH_EQUIV", , B702), "")</f>
        <v/>
      </c>
      <c r="F702" s="11">
        <f>IFERROR(_xll.ciqfunctions.udf.CIQ(mh_ticker, "IQ_ST_INVEST", , B702), "")</f>
        <v/>
      </c>
      <c r="G702" s="11">
        <f>IFERROR(_xll.ciqfunctions.udf.CIQ(mh_ticker, "IQ_TOTAL_DEBT_EXCL_OPER_LEASES", , B702), "")</f>
        <v/>
      </c>
      <c r="H702" s="11">
        <f>IFERROR(_xll.ciqfunctions.udf.CIQ(mh_ticker, "IQ_PREF_EQUITY", , B702), "")</f>
        <v/>
      </c>
      <c r="I702" s="11">
        <f>IFERROR(_xll.ciqfunctions.udf.CIQ(mh_ticker, "IQ_MINORITY_INTEREST", , B702), "")</f>
        <v/>
      </c>
      <c r="J702" s="11">
        <f>IFERROR(_xll.ciqfunctions.udf.CIQ(mh_ticker, "IQ_EQUITY_METHOD", , B702), "")</f>
        <v/>
      </c>
      <c r="K702" s="11">
        <f>IFERROR(_xll.ciqfunctions.udf.CIQ(mh_ticker, "IQ_LT_Mark_Securities", , B702), "")</f>
        <v/>
      </c>
      <c r="L702" s="12">
        <f>IFERROR(C702*D702, "")</f>
        <v/>
      </c>
      <c r="M702" s="12">
        <f>IFERROR(L702-E702-F702+G702+H702+I702-J702-K702, "")</f>
        <v/>
      </c>
      <c r="N702" s="11">
        <f>IFERROR(_xll.ciqfunctions.udf.CIQ(mh_ticker, "IQ_EBITDA_EST", IQ_NTM, B702, , , "USD"), "")</f>
        <v/>
      </c>
      <c r="O702" s="13">
        <f>IFERROR(M702/N702, "")</f>
        <v/>
      </c>
    </row>
    <row r="703">
      <c r="B703" s="8" t="n"/>
      <c r="C703" s="9">
        <f>IFERROR(_xll.ciqfunctions.udf.CIQ(mh_ticker, "IQ_LASTSALEPRICE", B703), "")</f>
        <v/>
      </c>
      <c r="D703" s="10">
        <f>IFERROR(_xll.ciqfunctions.udf.CIQ(mh_ticker, "IQ_SHARESOUTSTANDING_OUT", B703), "")</f>
        <v/>
      </c>
      <c r="E703" s="11">
        <f>IFERROR(_xll.ciqfunctions.udf.CIQ(mh_ticker, "IQ_CASH_EQUIV", , B703), "")</f>
        <v/>
      </c>
      <c r="F703" s="11">
        <f>IFERROR(_xll.ciqfunctions.udf.CIQ(mh_ticker, "IQ_ST_INVEST", , B703), "")</f>
        <v/>
      </c>
      <c r="G703" s="11">
        <f>IFERROR(_xll.ciqfunctions.udf.CIQ(mh_ticker, "IQ_TOTAL_DEBT_EXCL_OPER_LEASES", , B703), "")</f>
        <v/>
      </c>
      <c r="H703" s="11">
        <f>IFERROR(_xll.ciqfunctions.udf.CIQ(mh_ticker, "IQ_PREF_EQUITY", , B703), "")</f>
        <v/>
      </c>
      <c r="I703" s="11">
        <f>IFERROR(_xll.ciqfunctions.udf.CIQ(mh_ticker, "IQ_MINORITY_INTEREST", , B703), "")</f>
        <v/>
      </c>
      <c r="J703" s="11">
        <f>IFERROR(_xll.ciqfunctions.udf.CIQ(mh_ticker, "IQ_EQUITY_METHOD", , B703), "")</f>
        <v/>
      </c>
      <c r="K703" s="11">
        <f>IFERROR(_xll.ciqfunctions.udf.CIQ(mh_ticker, "IQ_LT_Mark_Securities", , B703), "")</f>
        <v/>
      </c>
      <c r="L703" s="12">
        <f>IFERROR(C703*D703, "")</f>
        <v/>
      </c>
      <c r="M703" s="12">
        <f>IFERROR(L703-E703-F703+G703+H703+I703-J703-K703, "")</f>
        <v/>
      </c>
      <c r="N703" s="11">
        <f>IFERROR(_xll.ciqfunctions.udf.CIQ(mh_ticker, "IQ_EBITDA_EST", IQ_NTM, B703, , , "USD"), "")</f>
        <v/>
      </c>
      <c r="O703" s="13">
        <f>IFERROR(M703/N703, "")</f>
        <v/>
      </c>
    </row>
    <row r="704">
      <c r="B704" s="8" t="n"/>
      <c r="C704" s="9">
        <f>IFERROR(_xll.ciqfunctions.udf.CIQ(mh_ticker, "IQ_LASTSALEPRICE", B704), "")</f>
        <v/>
      </c>
      <c r="D704" s="10">
        <f>IFERROR(_xll.ciqfunctions.udf.CIQ(mh_ticker, "IQ_SHARESOUTSTANDING_OUT", B704), "")</f>
        <v/>
      </c>
      <c r="E704" s="11">
        <f>IFERROR(_xll.ciqfunctions.udf.CIQ(mh_ticker, "IQ_CASH_EQUIV", , B704), "")</f>
        <v/>
      </c>
      <c r="F704" s="11">
        <f>IFERROR(_xll.ciqfunctions.udf.CIQ(mh_ticker, "IQ_ST_INVEST", , B704), "")</f>
        <v/>
      </c>
      <c r="G704" s="11">
        <f>IFERROR(_xll.ciqfunctions.udf.CIQ(mh_ticker, "IQ_TOTAL_DEBT_EXCL_OPER_LEASES", , B704), "")</f>
        <v/>
      </c>
      <c r="H704" s="11">
        <f>IFERROR(_xll.ciqfunctions.udf.CIQ(mh_ticker, "IQ_PREF_EQUITY", , B704), "")</f>
        <v/>
      </c>
      <c r="I704" s="11">
        <f>IFERROR(_xll.ciqfunctions.udf.CIQ(mh_ticker, "IQ_MINORITY_INTEREST", , B704), "")</f>
        <v/>
      </c>
      <c r="J704" s="11">
        <f>IFERROR(_xll.ciqfunctions.udf.CIQ(mh_ticker, "IQ_EQUITY_METHOD", , B704), "")</f>
        <v/>
      </c>
      <c r="K704" s="11">
        <f>IFERROR(_xll.ciqfunctions.udf.CIQ(mh_ticker, "IQ_LT_Mark_Securities", , B704), "")</f>
        <v/>
      </c>
      <c r="L704" s="12">
        <f>IFERROR(C704*D704, "")</f>
        <v/>
      </c>
      <c r="M704" s="12">
        <f>IFERROR(L704-E704-F704+G704+H704+I704-J704-K704, "")</f>
        <v/>
      </c>
      <c r="N704" s="11">
        <f>IFERROR(_xll.ciqfunctions.udf.CIQ(mh_ticker, "IQ_EBITDA_EST", IQ_NTM, B704, , , "USD"), "")</f>
        <v/>
      </c>
      <c r="O704" s="13">
        <f>IFERROR(M704/N704, "")</f>
        <v/>
      </c>
    </row>
    <row r="705">
      <c r="B705" s="8" t="n"/>
      <c r="C705" s="9">
        <f>IFERROR(_xll.ciqfunctions.udf.CIQ(mh_ticker, "IQ_LASTSALEPRICE", B705), "")</f>
        <v/>
      </c>
      <c r="D705" s="10">
        <f>IFERROR(_xll.ciqfunctions.udf.CIQ(mh_ticker, "IQ_SHARESOUTSTANDING_OUT", B705), "")</f>
        <v/>
      </c>
      <c r="E705" s="11">
        <f>IFERROR(_xll.ciqfunctions.udf.CIQ(mh_ticker, "IQ_CASH_EQUIV", , B705), "")</f>
        <v/>
      </c>
      <c r="F705" s="11">
        <f>IFERROR(_xll.ciqfunctions.udf.CIQ(mh_ticker, "IQ_ST_INVEST", , B705), "")</f>
        <v/>
      </c>
      <c r="G705" s="11">
        <f>IFERROR(_xll.ciqfunctions.udf.CIQ(mh_ticker, "IQ_TOTAL_DEBT_EXCL_OPER_LEASES", , B705), "")</f>
        <v/>
      </c>
      <c r="H705" s="11">
        <f>IFERROR(_xll.ciqfunctions.udf.CIQ(mh_ticker, "IQ_PREF_EQUITY", , B705), "")</f>
        <v/>
      </c>
      <c r="I705" s="11">
        <f>IFERROR(_xll.ciqfunctions.udf.CIQ(mh_ticker, "IQ_MINORITY_INTEREST", , B705), "")</f>
        <v/>
      </c>
      <c r="J705" s="11">
        <f>IFERROR(_xll.ciqfunctions.udf.CIQ(mh_ticker, "IQ_EQUITY_METHOD", , B705), "")</f>
        <v/>
      </c>
      <c r="K705" s="11">
        <f>IFERROR(_xll.ciqfunctions.udf.CIQ(mh_ticker, "IQ_LT_Mark_Securities", , B705), "")</f>
        <v/>
      </c>
      <c r="L705" s="12">
        <f>IFERROR(C705*D705, "")</f>
        <v/>
      </c>
      <c r="M705" s="12">
        <f>IFERROR(L705-E705-F705+G705+H705+I705-J705-K705, "")</f>
        <v/>
      </c>
      <c r="N705" s="11">
        <f>IFERROR(_xll.ciqfunctions.udf.CIQ(mh_ticker, "IQ_EBITDA_EST", IQ_NTM, B705, , , "USD"), "")</f>
        <v/>
      </c>
      <c r="O705" s="13">
        <f>IFERROR(M705/N705, "")</f>
        <v/>
      </c>
    </row>
    <row r="706">
      <c r="B706" s="8" t="n"/>
      <c r="C706" s="9">
        <f>IFERROR(_xll.ciqfunctions.udf.CIQ(mh_ticker, "IQ_LASTSALEPRICE", B706), "")</f>
        <v/>
      </c>
      <c r="D706" s="10">
        <f>IFERROR(_xll.ciqfunctions.udf.CIQ(mh_ticker, "IQ_SHARESOUTSTANDING_OUT", B706), "")</f>
        <v/>
      </c>
      <c r="E706" s="11">
        <f>IFERROR(_xll.ciqfunctions.udf.CIQ(mh_ticker, "IQ_CASH_EQUIV", , B706), "")</f>
        <v/>
      </c>
      <c r="F706" s="11">
        <f>IFERROR(_xll.ciqfunctions.udf.CIQ(mh_ticker, "IQ_ST_INVEST", , B706), "")</f>
        <v/>
      </c>
      <c r="G706" s="11">
        <f>IFERROR(_xll.ciqfunctions.udf.CIQ(mh_ticker, "IQ_TOTAL_DEBT_EXCL_OPER_LEASES", , B706), "")</f>
        <v/>
      </c>
      <c r="H706" s="11">
        <f>IFERROR(_xll.ciqfunctions.udf.CIQ(mh_ticker, "IQ_PREF_EQUITY", , B706), "")</f>
        <v/>
      </c>
      <c r="I706" s="11">
        <f>IFERROR(_xll.ciqfunctions.udf.CIQ(mh_ticker, "IQ_MINORITY_INTEREST", , B706), "")</f>
        <v/>
      </c>
      <c r="J706" s="11">
        <f>IFERROR(_xll.ciqfunctions.udf.CIQ(mh_ticker, "IQ_EQUITY_METHOD", , B706), "")</f>
        <v/>
      </c>
      <c r="K706" s="11">
        <f>IFERROR(_xll.ciqfunctions.udf.CIQ(mh_ticker, "IQ_LT_Mark_Securities", , B706), "")</f>
        <v/>
      </c>
      <c r="L706" s="12">
        <f>IFERROR(C706*D706, "")</f>
        <v/>
      </c>
      <c r="M706" s="12">
        <f>IFERROR(L706-E706-F706+G706+H706+I706-J706-K706, "")</f>
        <v/>
      </c>
      <c r="N706" s="11">
        <f>IFERROR(_xll.ciqfunctions.udf.CIQ(mh_ticker, "IQ_EBITDA_EST", IQ_NTM, B706, , , "USD"), "")</f>
        <v/>
      </c>
      <c r="O706" s="13">
        <f>IFERROR(M706/N706, "")</f>
        <v/>
      </c>
    </row>
    <row r="707">
      <c r="B707" s="8" t="n"/>
      <c r="C707" s="9">
        <f>IFERROR(_xll.ciqfunctions.udf.CIQ(mh_ticker, "IQ_LASTSALEPRICE", B707), "")</f>
        <v/>
      </c>
      <c r="D707" s="10">
        <f>IFERROR(_xll.ciqfunctions.udf.CIQ(mh_ticker, "IQ_SHARESOUTSTANDING_OUT", B707), "")</f>
        <v/>
      </c>
      <c r="E707" s="11">
        <f>IFERROR(_xll.ciqfunctions.udf.CIQ(mh_ticker, "IQ_CASH_EQUIV", , B707), "")</f>
        <v/>
      </c>
      <c r="F707" s="11">
        <f>IFERROR(_xll.ciqfunctions.udf.CIQ(mh_ticker, "IQ_ST_INVEST", , B707), "")</f>
        <v/>
      </c>
      <c r="G707" s="11">
        <f>IFERROR(_xll.ciqfunctions.udf.CIQ(mh_ticker, "IQ_TOTAL_DEBT_EXCL_OPER_LEASES", , B707), "")</f>
        <v/>
      </c>
      <c r="H707" s="11">
        <f>IFERROR(_xll.ciqfunctions.udf.CIQ(mh_ticker, "IQ_PREF_EQUITY", , B707), "")</f>
        <v/>
      </c>
      <c r="I707" s="11">
        <f>IFERROR(_xll.ciqfunctions.udf.CIQ(mh_ticker, "IQ_MINORITY_INTEREST", , B707), "")</f>
        <v/>
      </c>
      <c r="J707" s="11">
        <f>IFERROR(_xll.ciqfunctions.udf.CIQ(mh_ticker, "IQ_EQUITY_METHOD", , B707), "")</f>
        <v/>
      </c>
      <c r="K707" s="11">
        <f>IFERROR(_xll.ciqfunctions.udf.CIQ(mh_ticker, "IQ_LT_Mark_Securities", , B707), "")</f>
        <v/>
      </c>
      <c r="L707" s="12">
        <f>IFERROR(C707*D707, "")</f>
        <v/>
      </c>
      <c r="M707" s="12">
        <f>IFERROR(L707-E707-F707+G707+H707+I707-J707-K707, "")</f>
        <v/>
      </c>
      <c r="N707" s="11">
        <f>IFERROR(_xll.ciqfunctions.udf.CIQ(mh_ticker, "IQ_EBITDA_EST", IQ_NTM, B707, , , "USD"), "")</f>
        <v/>
      </c>
      <c r="O707" s="13">
        <f>IFERROR(M707/N707, "")</f>
        <v/>
      </c>
    </row>
    <row r="708">
      <c r="B708" s="8" t="n"/>
      <c r="C708" s="9">
        <f>IFERROR(_xll.ciqfunctions.udf.CIQ(mh_ticker, "IQ_LASTSALEPRICE", B708), "")</f>
        <v/>
      </c>
      <c r="D708" s="10">
        <f>IFERROR(_xll.ciqfunctions.udf.CIQ(mh_ticker, "IQ_SHARESOUTSTANDING_OUT", B708), "")</f>
        <v/>
      </c>
      <c r="E708" s="11">
        <f>IFERROR(_xll.ciqfunctions.udf.CIQ(mh_ticker, "IQ_CASH_EQUIV", , B708), "")</f>
        <v/>
      </c>
      <c r="F708" s="11">
        <f>IFERROR(_xll.ciqfunctions.udf.CIQ(mh_ticker, "IQ_ST_INVEST", , B708), "")</f>
        <v/>
      </c>
      <c r="G708" s="11">
        <f>IFERROR(_xll.ciqfunctions.udf.CIQ(mh_ticker, "IQ_TOTAL_DEBT_EXCL_OPER_LEASES", , B708), "")</f>
        <v/>
      </c>
      <c r="H708" s="11">
        <f>IFERROR(_xll.ciqfunctions.udf.CIQ(mh_ticker, "IQ_PREF_EQUITY", , B708), "")</f>
        <v/>
      </c>
      <c r="I708" s="11">
        <f>IFERROR(_xll.ciqfunctions.udf.CIQ(mh_ticker, "IQ_MINORITY_INTEREST", , B708), "")</f>
        <v/>
      </c>
      <c r="J708" s="11">
        <f>IFERROR(_xll.ciqfunctions.udf.CIQ(mh_ticker, "IQ_EQUITY_METHOD", , B708), "")</f>
        <v/>
      </c>
      <c r="K708" s="11">
        <f>IFERROR(_xll.ciqfunctions.udf.CIQ(mh_ticker, "IQ_LT_Mark_Securities", , B708), "")</f>
        <v/>
      </c>
      <c r="L708" s="12">
        <f>IFERROR(C708*D708, "")</f>
        <v/>
      </c>
      <c r="M708" s="12">
        <f>IFERROR(L708-E708-F708+G708+H708+I708-J708-K708, "")</f>
        <v/>
      </c>
      <c r="N708" s="11">
        <f>IFERROR(_xll.ciqfunctions.udf.CIQ(mh_ticker, "IQ_EBITDA_EST", IQ_NTM, B708, , , "USD"), "")</f>
        <v/>
      </c>
      <c r="O708" s="13">
        <f>IFERROR(M708/N708, "")</f>
        <v/>
      </c>
    </row>
    <row r="709">
      <c r="B709" s="8" t="n"/>
      <c r="C709" s="9">
        <f>IFERROR(_xll.ciqfunctions.udf.CIQ(mh_ticker, "IQ_LASTSALEPRICE", B709), "")</f>
        <v/>
      </c>
      <c r="D709" s="10">
        <f>IFERROR(_xll.ciqfunctions.udf.CIQ(mh_ticker, "IQ_SHARESOUTSTANDING_OUT", B709), "")</f>
        <v/>
      </c>
      <c r="E709" s="11">
        <f>IFERROR(_xll.ciqfunctions.udf.CIQ(mh_ticker, "IQ_CASH_EQUIV", , B709), "")</f>
        <v/>
      </c>
      <c r="F709" s="11">
        <f>IFERROR(_xll.ciqfunctions.udf.CIQ(mh_ticker, "IQ_ST_INVEST", , B709), "")</f>
        <v/>
      </c>
      <c r="G709" s="11">
        <f>IFERROR(_xll.ciqfunctions.udf.CIQ(mh_ticker, "IQ_TOTAL_DEBT_EXCL_OPER_LEASES", , B709), "")</f>
        <v/>
      </c>
      <c r="H709" s="11">
        <f>IFERROR(_xll.ciqfunctions.udf.CIQ(mh_ticker, "IQ_PREF_EQUITY", , B709), "")</f>
        <v/>
      </c>
      <c r="I709" s="11">
        <f>IFERROR(_xll.ciqfunctions.udf.CIQ(mh_ticker, "IQ_MINORITY_INTEREST", , B709), "")</f>
        <v/>
      </c>
      <c r="J709" s="11">
        <f>IFERROR(_xll.ciqfunctions.udf.CIQ(mh_ticker, "IQ_EQUITY_METHOD", , B709), "")</f>
        <v/>
      </c>
      <c r="K709" s="11">
        <f>IFERROR(_xll.ciqfunctions.udf.CIQ(mh_ticker, "IQ_LT_Mark_Securities", , B709), "")</f>
        <v/>
      </c>
      <c r="L709" s="12">
        <f>IFERROR(C709*D709, "")</f>
        <v/>
      </c>
      <c r="M709" s="12">
        <f>IFERROR(L709-E709-F709+G709+H709+I709-J709-K709, "")</f>
        <v/>
      </c>
      <c r="N709" s="11">
        <f>IFERROR(_xll.ciqfunctions.udf.CIQ(mh_ticker, "IQ_EBITDA_EST", IQ_NTM, B709, , , "USD"), "")</f>
        <v/>
      </c>
      <c r="O709" s="13">
        <f>IFERROR(M709/N709, "")</f>
        <v/>
      </c>
    </row>
    <row r="710">
      <c r="B710" s="8" t="n"/>
      <c r="C710" s="9">
        <f>IFERROR(_xll.ciqfunctions.udf.CIQ(mh_ticker, "IQ_LASTSALEPRICE", B710), "")</f>
        <v/>
      </c>
      <c r="D710" s="10">
        <f>IFERROR(_xll.ciqfunctions.udf.CIQ(mh_ticker, "IQ_SHARESOUTSTANDING_OUT", B710), "")</f>
        <v/>
      </c>
      <c r="E710" s="11">
        <f>IFERROR(_xll.ciqfunctions.udf.CIQ(mh_ticker, "IQ_CASH_EQUIV", , B710), "")</f>
        <v/>
      </c>
      <c r="F710" s="11">
        <f>IFERROR(_xll.ciqfunctions.udf.CIQ(mh_ticker, "IQ_ST_INVEST", , B710), "")</f>
        <v/>
      </c>
      <c r="G710" s="11">
        <f>IFERROR(_xll.ciqfunctions.udf.CIQ(mh_ticker, "IQ_TOTAL_DEBT_EXCL_OPER_LEASES", , B710), "")</f>
        <v/>
      </c>
      <c r="H710" s="11">
        <f>IFERROR(_xll.ciqfunctions.udf.CIQ(mh_ticker, "IQ_PREF_EQUITY", , B710), "")</f>
        <v/>
      </c>
      <c r="I710" s="11">
        <f>IFERROR(_xll.ciqfunctions.udf.CIQ(mh_ticker, "IQ_MINORITY_INTEREST", , B710), "")</f>
        <v/>
      </c>
      <c r="J710" s="11">
        <f>IFERROR(_xll.ciqfunctions.udf.CIQ(mh_ticker, "IQ_EQUITY_METHOD", , B710), "")</f>
        <v/>
      </c>
      <c r="K710" s="11">
        <f>IFERROR(_xll.ciqfunctions.udf.CIQ(mh_ticker, "IQ_LT_Mark_Securities", , B710), "")</f>
        <v/>
      </c>
      <c r="L710" s="12">
        <f>IFERROR(C710*D710, "")</f>
        <v/>
      </c>
      <c r="M710" s="12">
        <f>IFERROR(L710-E710-F710+G710+H710+I710-J710-K710, "")</f>
        <v/>
      </c>
      <c r="N710" s="11">
        <f>IFERROR(_xll.ciqfunctions.udf.CIQ(mh_ticker, "IQ_EBITDA_EST", IQ_NTM, B710, , , "USD"), "")</f>
        <v/>
      </c>
      <c r="O710" s="13">
        <f>IFERROR(M710/N710, "")</f>
        <v/>
      </c>
    </row>
    <row r="711">
      <c r="B711" s="8" t="n"/>
      <c r="C711" s="9">
        <f>IFERROR(_xll.ciqfunctions.udf.CIQ(mh_ticker, "IQ_LASTSALEPRICE", B711), "")</f>
        <v/>
      </c>
      <c r="D711" s="10">
        <f>IFERROR(_xll.ciqfunctions.udf.CIQ(mh_ticker, "IQ_SHARESOUTSTANDING_OUT", B711), "")</f>
        <v/>
      </c>
      <c r="E711" s="11">
        <f>IFERROR(_xll.ciqfunctions.udf.CIQ(mh_ticker, "IQ_CASH_EQUIV", , B711), "")</f>
        <v/>
      </c>
      <c r="F711" s="11">
        <f>IFERROR(_xll.ciqfunctions.udf.CIQ(mh_ticker, "IQ_ST_INVEST", , B711), "")</f>
        <v/>
      </c>
      <c r="G711" s="11">
        <f>IFERROR(_xll.ciqfunctions.udf.CIQ(mh_ticker, "IQ_TOTAL_DEBT_EXCL_OPER_LEASES", , B711), "")</f>
        <v/>
      </c>
      <c r="H711" s="11">
        <f>IFERROR(_xll.ciqfunctions.udf.CIQ(mh_ticker, "IQ_PREF_EQUITY", , B711), "")</f>
        <v/>
      </c>
      <c r="I711" s="11">
        <f>IFERROR(_xll.ciqfunctions.udf.CIQ(mh_ticker, "IQ_MINORITY_INTEREST", , B711), "")</f>
        <v/>
      </c>
      <c r="J711" s="11">
        <f>IFERROR(_xll.ciqfunctions.udf.CIQ(mh_ticker, "IQ_EQUITY_METHOD", , B711), "")</f>
        <v/>
      </c>
      <c r="K711" s="11">
        <f>IFERROR(_xll.ciqfunctions.udf.CIQ(mh_ticker, "IQ_LT_Mark_Securities", , B711), "")</f>
        <v/>
      </c>
      <c r="L711" s="12">
        <f>IFERROR(C711*D711, "")</f>
        <v/>
      </c>
      <c r="M711" s="12">
        <f>IFERROR(L711-E711-F711+G711+H711+I711-J711-K711, "")</f>
        <v/>
      </c>
      <c r="N711" s="11">
        <f>IFERROR(_xll.ciqfunctions.udf.CIQ(mh_ticker, "IQ_EBITDA_EST", IQ_NTM, B711, , , "USD"), "")</f>
        <v/>
      </c>
      <c r="O711" s="13">
        <f>IFERROR(M711/N711, "")</f>
        <v/>
      </c>
    </row>
    <row r="712">
      <c r="B712" s="8" t="n"/>
      <c r="C712" s="9">
        <f>IFERROR(_xll.ciqfunctions.udf.CIQ(mh_ticker, "IQ_LASTSALEPRICE", B712), "")</f>
        <v/>
      </c>
      <c r="D712" s="10">
        <f>IFERROR(_xll.ciqfunctions.udf.CIQ(mh_ticker, "IQ_SHARESOUTSTANDING_OUT", B712), "")</f>
        <v/>
      </c>
      <c r="E712" s="11">
        <f>IFERROR(_xll.ciqfunctions.udf.CIQ(mh_ticker, "IQ_CASH_EQUIV", , B712), "")</f>
        <v/>
      </c>
      <c r="F712" s="11">
        <f>IFERROR(_xll.ciqfunctions.udf.CIQ(mh_ticker, "IQ_ST_INVEST", , B712), "")</f>
        <v/>
      </c>
      <c r="G712" s="11">
        <f>IFERROR(_xll.ciqfunctions.udf.CIQ(mh_ticker, "IQ_TOTAL_DEBT_EXCL_OPER_LEASES", , B712), "")</f>
        <v/>
      </c>
      <c r="H712" s="11">
        <f>IFERROR(_xll.ciqfunctions.udf.CIQ(mh_ticker, "IQ_PREF_EQUITY", , B712), "")</f>
        <v/>
      </c>
      <c r="I712" s="11">
        <f>IFERROR(_xll.ciqfunctions.udf.CIQ(mh_ticker, "IQ_MINORITY_INTEREST", , B712), "")</f>
        <v/>
      </c>
      <c r="J712" s="11">
        <f>IFERROR(_xll.ciqfunctions.udf.CIQ(mh_ticker, "IQ_EQUITY_METHOD", , B712), "")</f>
        <v/>
      </c>
      <c r="K712" s="11">
        <f>IFERROR(_xll.ciqfunctions.udf.CIQ(mh_ticker, "IQ_LT_Mark_Securities", , B712), "")</f>
        <v/>
      </c>
      <c r="L712" s="12">
        <f>IFERROR(C712*D712, "")</f>
        <v/>
      </c>
      <c r="M712" s="12">
        <f>IFERROR(L712-E712-F712+G712+H712+I712-J712-K712, "")</f>
        <v/>
      </c>
      <c r="N712" s="11">
        <f>IFERROR(_xll.ciqfunctions.udf.CIQ(mh_ticker, "IQ_EBITDA_EST", IQ_NTM, B712, , , "USD"), "")</f>
        <v/>
      </c>
      <c r="O712" s="13">
        <f>IFERROR(M712/N712, "")</f>
        <v/>
      </c>
    </row>
    <row r="713">
      <c r="B713" s="8" t="n"/>
      <c r="C713" s="9">
        <f>IFERROR(_xll.ciqfunctions.udf.CIQ(mh_ticker, "IQ_LASTSALEPRICE", B713), "")</f>
        <v/>
      </c>
      <c r="D713" s="10">
        <f>IFERROR(_xll.ciqfunctions.udf.CIQ(mh_ticker, "IQ_SHARESOUTSTANDING_OUT", B713), "")</f>
        <v/>
      </c>
      <c r="E713" s="11">
        <f>IFERROR(_xll.ciqfunctions.udf.CIQ(mh_ticker, "IQ_CASH_EQUIV", , B713), "")</f>
        <v/>
      </c>
      <c r="F713" s="11">
        <f>IFERROR(_xll.ciqfunctions.udf.CIQ(mh_ticker, "IQ_ST_INVEST", , B713), "")</f>
        <v/>
      </c>
      <c r="G713" s="11">
        <f>IFERROR(_xll.ciqfunctions.udf.CIQ(mh_ticker, "IQ_TOTAL_DEBT_EXCL_OPER_LEASES", , B713), "")</f>
        <v/>
      </c>
      <c r="H713" s="11">
        <f>IFERROR(_xll.ciqfunctions.udf.CIQ(mh_ticker, "IQ_PREF_EQUITY", , B713), "")</f>
        <v/>
      </c>
      <c r="I713" s="11">
        <f>IFERROR(_xll.ciqfunctions.udf.CIQ(mh_ticker, "IQ_MINORITY_INTEREST", , B713), "")</f>
        <v/>
      </c>
      <c r="J713" s="11">
        <f>IFERROR(_xll.ciqfunctions.udf.CIQ(mh_ticker, "IQ_EQUITY_METHOD", , B713), "")</f>
        <v/>
      </c>
      <c r="K713" s="11">
        <f>IFERROR(_xll.ciqfunctions.udf.CIQ(mh_ticker, "IQ_LT_Mark_Securities", , B713), "")</f>
        <v/>
      </c>
      <c r="L713" s="12">
        <f>IFERROR(C713*D713, "")</f>
        <v/>
      </c>
      <c r="M713" s="12">
        <f>IFERROR(L713-E713-F713+G713+H713+I713-J713-K713, "")</f>
        <v/>
      </c>
      <c r="N713" s="11">
        <f>IFERROR(_xll.ciqfunctions.udf.CIQ(mh_ticker, "IQ_EBITDA_EST", IQ_NTM, B713, , , "USD"), "")</f>
        <v/>
      </c>
      <c r="O713" s="13">
        <f>IFERROR(M713/N713, "")</f>
        <v/>
      </c>
    </row>
    <row r="714">
      <c r="B714" s="8" t="n"/>
      <c r="C714" s="9">
        <f>IFERROR(_xll.ciqfunctions.udf.CIQ(mh_ticker, "IQ_LASTSALEPRICE", B714), "")</f>
        <v/>
      </c>
      <c r="D714" s="10">
        <f>IFERROR(_xll.ciqfunctions.udf.CIQ(mh_ticker, "IQ_SHARESOUTSTANDING_OUT", B714), "")</f>
        <v/>
      </c>
      <c r="E714" s="11">
        <f>IFERROR(_xll.ciqfunctions.udf.CIQ(mh_ticker, "IQ_CASH_EQUIV", , B714), "")</f>
        <v/>
      </c>
      <c r="F714" s="11">
        <f>IFERROR(_xll.ciqfunctions.udf.CIQ(mh_ticker, "IQ_ST_INVEST", , B714), "")</f>
        <v/>
      </c>
      <c r="G714" s="11">
        <f>IFERROR(_xll.ciqfunctions.udf.CIQ(mh_ticker, "IQ_TOTAL_DEBT_EXCL_OPER_LEASES", , B714), "")</f>
        <v/>
      </c>
      <c r="H714" s="11">
        <f>IFERROR(_xll.ciqfunctions.udf.CIQ(mh_ticker, "IQ_PREF_EQUITY", , B714), "")</f>
        <v/>
      </c>
      <c r="I714" s="11">
        <f>IFERROR(_xll.ciqfunctions.udf.CIQ(mh_ticker, "IQ_MINORITY_INTEREST", , B714), "")</f>
        <v/>
      </c>
      <c r="J714" s="11">
        <f>IFERROR(_xll.ciqfunctions.udf.CIQ(mh_ticker, "IQ_EQUITY_METHOD", , B714), "")</f>
        <v/>
      </c>
      <c r="K714" s="11">
        <f>IFERROR(_xll.ciqfunctions.udf.CIQ(mh_ticker, "IQ_LT_Mark_Securities", , B714), "")</f>
        <v/>
      </c>
      <c r="L714" s="12">
        <f>IFERROR(C714*D714, "")</f>
        <v/>
      </c>
      <c r="M714" s="12">
        <f>IFERROR(L714-E714-F714+G714+H714+I714-J714-K714, "")</f>
        <v/>
      </c>
      <c r="N714" s="11">
        <f>IFERROR(_xll.ciqfunctions.udf.CIQ(mh_ticker, "IQ_EBITDA_EST", IQ_NTM, B714, , , "USD"), "")</f>
        <v/>
      </c>
      <c r="O714" s="13">
        <f>IFERROR(M714/N714, "")</f>
        <v/>
      </c>
    </row>
    <row r="715">
      <c r="B715" s="8" t="n"/>
      <c r="C715" s="9">
        <f>IFERROR(_xll.ciqfunctions.udf.CIQ(mh_ticker, "IQ_LASTSALEPRICE", B715), "")</f>
        <v/>
      </c>
      <c r="D715" s="10">
        <f>IFERROR(_xll.ciqfunctions.udf.CIQ(mh_ticker, "IQ_SHARESOUTSTANDING_OUT", B715), "")</f>
        <v/>
      </c>
      <c r="E715" s="11">
        <f>IFERROR(_xll.ciqfunctions.udf.CIQ(mh_ticker, "IQ_CASH_EQUIV", , B715), "")</f>
        <v/>
      </c>
      <c r="F715" s="11">
        <f>IFERROR(_xll.ciqfunctions.udf.CIQ(mh_ticker, "IQ_ST_INVEST", , B715), "")</f>
        <v/>
      </c>
      <c r="G715" s="11">
        <f>IFERROR(_xll.ciqfunctions.udf.CIQ(mh_ticker, "IQ_TOTAL_DEBT_EXCL_OPER_LEASES", , B715), "")</f>
        <v/>
      </c>
      <c r="H715" s="11">
        <f>IFERROR(_xll.ciqfunctions.udf.CIQ(mh_ticker, "IQ_PREF_EQUITY", , B715), "")</f>
        <v/>
      </c>
      <c r="I715" s="11">
        <f>IFERROR(_xll.ciqfunctions.udf.CIQ(mh_ticker, "IQ_MINORITY_INTEREST", , B715), "")</f>
        <v/>
      </c>
      <c r="J715" s="11">
        <f>IFERROR(_xll.ciqfunctions.udf.CIQ(mh_ticker, "IQ_EQUITY_METHOD", , B715), "")</f>
        <v/>
      </c>
      <c r="K715" s="11">
        <f>IFERROR(_xll.ciqfunctions.udf.CIQ(mh_ticker, "IQ_LT_Mark_Securities", , B715), "")</f>
        <v/>
      </c>
      <c r="L715" s="12">
        <f>IFERROR(C715*D715, "")</f>
        <v/>
      </c>
      <c r="M715" s="12">
        <f>IFERROR(L715-E715-F715+G715+H715+I715-J715-K715, "")</f>
        <v/>
      </c>
      <c r="N715" s="11">
        <f>IFERROR(_xll.ciqfunctions.udf.CIQ(mh_ticker, "IQ_EBITDA_EST", IQ_NTM, B715, , , "USD"), "")</f>
        <v/>
      </c>
      <c r="O715" s="13">
        <f>IFERROR(M715/N715, "")</f>
        <v/>
      </c>
    </row>
    <row r="716">
      <c r="B716" s="8" t="n"/>
      <c r="C716" s="9">
        <f>IFERROR(_xll.ciqfunctions.udf.CIQ(mh_ticker, "IQ_LASTSALEPRICE", B716), "")</f>
        <v/>
      </c>
      <c r="D716" s="10">
        <f>IFERROR(_xll.ciqfunctions.udf.CIQ(mh_ticker, "IQ_SHARESOUTSTANDING_OUT", B716), "")</f>
        <v/>
      </c>
      <c r="E716" s="11">
        <f>IFERROR(_xll.ciqfunctions.udf.CIQ(mh_ticker, "IQ_CASH_EQUIV", , B716), "")</f>
        <v/>
      </c>
      <c r="F716" s="11">
        <f>IFERROR(_xll.ciqfunctions.udf.CIQ(mh_ticker, "IQ_ST_INVEST", , B716), "")</f>
        <v/>
      </c>
      <c r="G716" s="11">
        <f>IFERROR(_xll.ciqfunctions.udf.CIQ(mh_ticker, "IQ_TOTAL_DEBT_EXCL_OPER_LEASES", , B716), "")</f>
        <v/>
      </c>
      <c r="H716" s="11">
        <f>IFERROR(_xll.ciqfunctions.udf.CIQ(mh_ticker, "IQ_PREF_EQUITY", , B716), "")</f>
        <v/>
      </c>
      <c r="I716" s="11">
        <f>IFERROR(_xll.ciqfunctions.udf.CIQ(mh_ticker, "IQ_MINORITY_INTEREST", , B716), "")</f>
        <v/>
      </c>
      <c r="J716" s="11">
        <f>IFERROR(_xll.ciqfunctions.udf.CIQ(mh_ticker, "IQ_EQUITY_METHOD", , B716), "")</f>
        <v/>
      </c>
      <c r="K716" s="11">
        <f>IFERROR(_xll.ciqfunctions.udf.CIQ(mh_ticker, "IQ_LT_Mark_Securities", , B716), "")</f>
        <v/>
      </c>
      <c r="L716" s="12">
        <f>IFERROR(C716*D716, "")</f>
        <v/>
      </c>
      <c r="M716" s="12">
        <f>IFERROR(L716-E716-F716+G716+H716+I716-J716-K716, "")</f>
        <v/>
      </c>
      <c r="N716" s="11">
        <f>IFERROR(_xll.ciqfunctions.udf.CIQ(mh_ticker, "IQ_EBITDA_EST", IQ_NTM, B716, , , "USD"), "")</f>
        <v/>
      </c>
      <c r="O716" s="13">
        <f>IFERROR(M716/N716, "")</f>
        <v/>
      </c>
    </row>
    <row r="717">
      <c r="B717" s="8" t="n"/>
      <c r="C717" s="9">
        <f>IFERROR(_xll.ciqfunctions.udf.CIQ(mh_ticker, "IQ_LASTSALEPRICE", B717), "")</f>
        <v/>
      </c>
      <c r="D717" s="10">
        <f>IFERROR(_xll.ciqfunctions.udf.CIQ(mh_ticker, "IQ_SHARESOUTSTANDING_OUT", B717), "")</f>
        <v/>
      </c>
      <c r="E717" s="11">
        <f>IFERROR(_xll.ciqfunctions.udf.CIQ(mh_ticker, "IQ_CASH_EQUIV", , B717), "")</f>
        <v/>
      </c>
      <c r="F717" s="11">
        <f>IFERROR(_xll.ciqfunctions.udf.CIQ(mh_ticker, "IQ_ST_INVEST", , B717), "")</f>
        <v/>
      </c>
      <c r="G717" s="11">
        <f>IFERROR(_xll.ciqfunctions.udf.CIQ(mh_ticker, "IQ_TOTAL_DEBT_EXCL_OPER_LEASES", , B717), "")</f>
        <v/>
      </c>
      <c r="H717" s="11">
        <f>IFERROR(_xll.ciqfunctions.udf.CIQ(mh_ticker, "IQ_PREF_EQUITY", , B717), "")</f>
        <v/>
      </c>
      <c r="I717" s="11">
        <f>IFERROR(_xll.ciqfunctions.udf.CIQ(mh_ticker, "IQ_MINORITY_INTEREST", , B717), "")</f>
        <v/>
      </c>
      <c r="J717" s="11">
        <f>IFERROR(_xll.ciqfunctions.udf.CIQ(mh_ticker, "IQ_EQUITY_METHOD", , B717), "")</f>
        <v/>
      </c>
      <c r="K717" s="11">
        <f>IFERROR(_xll.ciqfunctions.udf.CIQ(mh_ticker, "IQ_LT_Mark_Securities", , B717), "")</f>
        <v/>
      </c>
      <c r="L717" s="12">
        <f>IFERROR(C717*D717, "")</f>
        <v/>
      </c>
      <c r="M717" s="12">
        <f>IFERROR(L717-E717-F717+G717+H717+I717-J717-K717, "")</f>
        <v/>
      </c>
      <c r="N717" s="11">
        <f>IFERROR(_xll.ciqfunctions.udf.CIQ(mh_ticker, "IQ_EBITDA_EST", IQ_NTM, B717, , , "USD"), "")</f>
        <v/>
      </c>
      <c r="O717" s="13">
        <f>IFERROR(M717/N717, "")</f>
        <v/>
      </c>
    </row>
    <row r="718">
      <c r="B718" s="8" t="n"/>
      <c r="C718" s="9">
        <f>IFERROR(_xll.ciqfunctions.udf.CIQ(mh_ticker, "IQ_LASTSALEPRICE", B718), "")</f>
        <v/>
      </c>
      <c r="D718" s="10">
        <f>IFERROR(_xll.ciqfunctions.udf.CIQ(mh_ticker, "IQ_SHARESOUTSTANDING_OUT", B718), "")</f>
        <v/>
      </c>
      <c r="E718" s="11">
        <f>IFERROR(_xll.ciqfunctions.udf.CIQ(mh_ticker, "IQ_CASH_EQUIV", , B718), "")</f>
        <v/>
      </c>
      <c r="F718" s="11">
        <f>IFERROR(_xll.ciqfunctions.udf.CIQ(mh_ticker, "IQ_ST_INVEST", , B718), "")</f>
        <v/>
      </c>
      <c r="G718" s="11">
        <f>IFERROR(_xll.ciqfunctions.udf.CIQ(mh_ticker, "IQ_TOTAL_DEBT_EXCL_OPER_LEASES", , B718), "")</f>
        <v/>
      </c>
      <c r="H718" s="11">
        <f>IFERROR(_xll.ciqfunctions.udf.CIQ(mh_ticker, "IQ_PREF_EQUITY", , B718), "")</f>
        <v/>
      </c>
      <c r="I718" s="11">
        <f>IFERROR(_xll.ciqfunctions.udf.CIQ(mh_ticker, "IQ_MINORITY_INTEREST", , B718), "")</f>
        <v/>
      </c>
      <c r="J718" s="11">
        <f>IFERROR(_xll.ciqfunctions.udf.CIQ(mh_ticker, "IQ_EQUITY_METHOD", , B718), "")</f>
        <v/>
      </c>
      <c r="K718" s="11">
        <f>IFERROR(_xll.ciqfunctions.udf.CIQ(mh_ticker, "IQ_LT_Mark_Securities", , B718), "")</f>
        <v/>
      </c>
      <c r="L718" s="12">
        <f>IFERROR(C718*D718, "")</f>
        <v/>
      </c>
      <c r="M718" s="12">
        <f>IFERROR(L718-E718-F718+G718+H718+I718-J718-K718, "")</f>
        <v/>
      </c>
      <c r="N718" s="11">
        <f>IFERROR(_xll.ciqfunctions.udf.CIQ(mh_ticker, "IQ_EBITDA_EST", IQ_NTM, B718, , , "USD"), "")</f>
        <v/>
      </c>
      <c r="O718" s="13">
        <f>IFERROR(M718/N718, "")</f>
        <v/>
      </c>
    </row>
    <row r="719">
      <c r="B719" s="8" t="n"/>
      <c r="C719" s="9">
        <f>IFERROR(_xll.ciqfunctions.udf.CIQ(mh_ticker, "IQ_LASTSALEPRICE", B719), "")</f>
        <v/>
      </c>
      <c r="D719" s="10">
        <f>IFERROR(_xll.ciqfunctions.udf.CIQ(mh_ticker, "IQ_SHARESOUTSTANDING_OUT", B719), "")</f>
        <v/>
      </c>
      <c r="E719" s="11">
        <f>IFERROR(_xll.ciqfunctions.udf.CIQ(mh_ticker, "IQ_CASH_EQUIV", , B719), "")</f>
        <v/>
      </c>
      <c r="F719" s="11">
        <f>IFERROR(_xll.ciqfunctions.udf.CIQ(mh_ticker, "IQ_ST_INVEST", , B719), "")</f>
        <v/>
      </c>
      <c r="G719" s="11">
        <f>IFERROR(_xll.ciqfunctions.udf.CIQ(mh_ticker, "IQ_TOTAL_DEBT_EXCL_OPER_LEASES", , B719), "")</f>
        <v/>
      </c>
      <c r="H719" s="11">
        <f>IFERROR(_xll.ciqfunctions.udf.CIQ(mh_ticker, "IQ_PREF_EQUITY", , B719), "")</f>
        <v/>
      </c>
      <c r="I719" s="11">
        <f>IFERROR(_xll.ciqfunctions.udf.CIQ(mh_ticker, "IQ_MINORITY_INTEREST", , B719), "")</f>
        <v/>
      </c>
      <c r="J719" s="11">
        <f>IFERROR(_xll.ciqfunctions.udf.CIQ(mh_ticker, "IQ_EQUITY_METHOD", , B719), "")</f>
        <v/>
      </c>
      <c r="K719" s="11">
        <f>IFERROR(_xll.ciqfunctions.udf.CIQ(mh_ticker, "IQ_LT_Mark_Securities", , B719), "")</f>
        <v/>
      </c>
      <c r="L719" s="12">
        <f>IFERROR(C719*D719, "")</f>
        <v/>
      </c>
      <c r="M719" s="12">
        <f>IFERROR(L719-E719-F719+G719+H719+I719-J719-K719, "")</f>
        <v/>
      </c>
      <c r="N719" s="11">
        <f>IFERROR(_xll.ciqfunctions.udf.CIQ(mh_ticker, "IQ_EBITDA_EST", IQ_NTM, B719, , , "USD"), "")</f>
        <v/>
      </c>
      <c r="O719" s="13">
        <f>IFERROR(M719/N719, "")</f>
        <v/>
      </c>
    </row>
    <row r="720">
      <c r="B720" s="8" t="n"/>
      <c r="C720" s="9">
        <f>IFERROR(_xll.ciqfunctions.udf.CIQ(mh_ticker, "IQ_LASTSALEPRICE", B720), "")</f>
        <v/>
      </c>
      <c r="D720" s="10">
        <f>IFERROR(_xll.ciqfunctions.udf.CIQ(mh_ticker, "IQ_SHARESOUTSTANDING_OUT", B720), "")</f>
        <v/>
      </c>
      <c r="E720" s="11">
        <f>IFERROR(_xll.ciqfunctions.udf.CIQ(mh_ticker, "IQ_CASH_EQUIV", , B720), "")</f>
        <v/>
      </c>
      <c r="F720" s="11">
        <f>IFERROR(_xll.ciqfunctions.udf.CIQ(mh_ticker, "IQ_ST_INVEST", , B720), "")</f>
        <v/>
      </c>
      <c r="G720" s="11">
        <f>IFERROR(_xll.ciqfunctions.udf.CIQ(mh_ticker, "IQ_TOTAL_DEBT_EXCL_OPER_LEASES", , B720), "")</f>
        <v/>
      </c>
      <c r="H720" s="11">
        <f>IFERROR(_xll.ciqfunctions.udf.CIQ(mh_ticker, "IQ_PREF_EQUITY", , B720), "")</f>
        <v/>
      </c>
      <c r="I720" s="11">
        <f>IFERROR(_xll.ciqfunctions.udf.CIQ(mh_ticker, "IQ_MINORITY_INTEREST", , B720), "")</f>
        <v/>
      </c>
      <c r="J720" s="11">
        <f>IFERROR(_xll.ciqfunctions.udf.CIQ(mh_ticker, "IQ_EQUITY_METHOD", , B720), "")</f>
        <v/>
      </c>
      <c r="K720" s="11">
        <f>IFERROR(_xll.ciqfunctions.udf.CIQ(mh_ticker, "IQ_LT_Mark_Securities", , B720), "")</f>
        <v/>
      </c>
      <c r="L720" s="12">
        <f>IFERROR(C720*D720, "")</f>
        <v/>
      </c>
      <c r="M720" s="12">
        <f>IFERROR(L720-E720-F720+G720+H720+I720-J720-K720, "")</f>
        <v/>
      </c>
      <c r="N720" s="11">
        <f>IFERROR(_xll.ciqfunctions.udf.CIQ(mh_ticker, "IQ_EBITDA_EST", IQ_NTM, B720, , , "USD"), "")</f>
        <v/>
      </c>
      <c r="O720" s="13">
        <f>IFERROR(M720/N720, "")</f>
        <v/>
      </c>
    </row>
    <row r="721">
      <c r="B721" s="8" t="n"/>
      <c r="C721" s="9">
        <f>IFERROR(_xll.ciqfunctions.udf.CIQ(mh_ticker, "IQ_LASTSALEPRICE", B721), "")</f>
        <v/>
      </c>
      <c r="D721" s="10">
        <f>IFERROR(_xll.ciqfunctions.udf.CIQ(mh_ticker, "IQ_SHARESOUTSTANDING_OUT", B721), "")</f>
        <v/>
      </c>
      <c r="E721" s="11">
        <f>IFERROR(_xll.ciqfunctions.udf.CIQ(mh_ticker, "IQ_CASH_EQUIV", , B721), "")</f>
        <v/>
      </c>
      <c r="F721" s="11">
        <f>IFERROR(_xll.ciqfunctions.udf.CIQ(mh_ticker, "IQ_ST_INVEST", , B721), "")</f>
        <v/>
      </c>
      <c r="G721" s="11">
        <f>IFERROR(_xll.ciqfunctions.udf.CIQ(mh_ticker, "IQ_TOTAL_DEBT_EXCL_OPER_LEASES", , B721), "")</f>
        <v/>
      </c>
      <c r="H721" s="11">
        <f>IFERROR(_xll.ciqfunctions.udf.CIQ(mh_ticker, "IQ_PREF_EQUITY", , B721), "")</f>
        <v/>
      </c>
      <c r="I721" s="11">
        <f>IFERROR(_xll.ciqfunctions.udf.CIQ(mh_ticker, "IQ_MINORITY_INTEREST", , B721), "")</f>
        <v/>
      </c>
      <c r="J721" s="11">
        <f>IFERROR(_xll.ciqfunctions.udf.CIQ(mh_ticker, "IQ_EQUITY_METHOD", , B721), "")</f>
        <v/>
      </c>
      <c r="K721" s="11">
        <f>IFERROR(_xll.ciqfunctions.udf.CIQ(mh_ticker, "IQ_LT_Mark_Securities", , B721), "")</f>
        <v/>
      </c>
      <c r="L721" s="12">
        <f>IFERROR(C721*D721, "")</f>
        <v/>
      </c>
      <c r="M721" s="12">
        <f>IFERROR(L721-E721-F721+G721+H721+I721-J721-K721, "")</f>
        <v/>
      </c>
      <c r="N721" s="11">
        <f>IFERROR(_xll.ciqfunctions.udf.CIQ(mh_ticker, "IQ_EBITDA_EST", IQ_NTM, B721, , , "USD"), "")</f>
        <v/>
      </c>
      <c r="O721" s="13">
        <f>IFERROR(M721/N721, "")</f>
        <v/>
      </c>
    </row>
    <row r="722">
      <c r="B722" s="8" t="n"/>
      <c r="C722" s="9">
        <f>IFERROR(_xll.ciqfunctions.udf.CIQ(mh_ticker, "IQ_LASTSALEPRICE", B722), "")</f>
        <v/>
      </c>
      <c r="D722" s="10">
        <f>IFERROR(_xll.ciqfunctions.udf.CIQ(mh_ticker, "IQ_SHARESOUTSTANDING_OUT", B722), "")</f>
        <v/>
      </c>
      <c r="E722" s="11">
        <f>IFERROR(_xll.ciqfunctions.udf.CIQ(mh_ticker, "IQ_CASH_EQUIV", , B722), "")</f>
        <v/>
      </c>
      <c r="F722" s="11">
        <f>IFERROR(_xll.ciqfunctions.udf.CIQ(mh_ticker, "IQ_ST_INVEST", , B722), "")</f>
        <v/>
      </c>
      <c r="G722" s="11">
        <f>IFERROR(_xll.ciqfunctions.udf.CIQ(mh_ticker, "IQ_TOTAL_DEBT_EXCL_OPER_LEASES", , B722), "")</f>
        <v/>
      </c>
      <c r="H722" s="11">
        <f>IFERROR(_xll.ciqfunctions.udf.CIQ(mh_ticker, "IQ_PREF_EQUITY", , B722), "")</f>
        <v/>
      </c>
      <c r="I722" s="11">
        <f>IFERROR(_xll.ciqfunctions.udf.CIQ(mh_ticker, "IQ_MINORITY_INTEREST", , B722), "")</f>
        <v/>
      </c>
      <c r="J722" s="11">
        <f>IFERROR(_xll.ciqfunctions.udf.CIQ(mh_ticker, "IQ_EQUITY_METHOD", , B722), "")</f>
        <v/>
      </c>
      <c r="K722" s="11">
        <f>IFERROR(_xll.ciqfunctions.udf.CIQ(mh_ticker, "IQ_LT_Mark_Securities", , B722), "")</f>
        <v/>
      </c>
      <c r="L722" s="12">
        <f>IFERROR(C722*D722, "")</f>
        <v/>
      </c>
      <c r="M722" s="12">
        <f>IFERROR(L722-E722-F722+G722+H722+I722-J722-K722, "")</f>
        <v/>
      </c>
      <c r="N722" s="11">
        <f>IFERROR(_xll.ciqfunctions.udf.CIQ(mh_ticker, "IQ_EBITDA_EST", IQ_NTM, B722, , , "USD"), "")</f>
        <v/>
      </c>
      <c r="O722" s="13">
        <f>IFERROR(M722/N722, "")</f>
        <v/>
      </c>
    </row>
    <row r="723">
      <c r="B723" s="8" t="n"/>
      <c r="C723" s="9">
        <f>IFERROR(_xll.ciqfunctions.udf.CIQ(mh_ticker, "IQ_LASTSALEPRICE", B723), "")</f>
        <v/>
      </c>
      <c r="D723" s="10">
        <f>IFERROR(_xll.ciqfunctions.udf.CIQ(mh_ticker, "IQ_SHARESOUTSTANDING_OUT", B723), "")</f>
        <v/>
      </c>
      <c r="E723" s="11">
        <f>IFERROR(_xll.ciqfunctions.udf.CIQ(mh_ticker, "IQ_CASH_EQUIV", , B723), "")</f>
        <v/>
      </c>
      <c r="F723" s="11">
        <f>IFERROR(_xll.ciqfunctions.udf.CIQ(mh_ticker, "IQ_ST_INVEST", , B723), "")</f>
        <v/>
      </c>
      <c r="G723" s="11">
        <f>IFERROR(_xll.ciqfunctions.udf.CIQ(mh_ticker, "IQ_TOTAL_DEBT_EXCL_OPER_LEASES", , B723), "")</f>
        <v/>
      </c>
      <c r="H723" s="11">
        <f>IFERROR(_xll.ciqfunctions.udf.CIQ(mh_ticker, "IQ_PREF_EQUITY", , B723), "")</f>
        <v/>
      </c>
      <c r="I723" s="11">
        <f>IFERROR(_xll.ciqfunctions.udf.CIQ(mh_ticker, "IQ_MINORITY_INTEREST", , B723), "")</f>
        <v/>
      </c>
      <c r="J723" s="11">
        <f>IFERROR(_xll.ciqfunctions.udf.CIQ(mh_ticker, "IQ_EQUITY_METHOD", , B723), "")</f>
        <v/>
      </c>
      <c r="K723" s="11">
        <f>IFERROR(_xll.ciqfunctions.udf.CIQ(mh_ticker, "IQ_LT_Mark_Securities", , B723), "")</f>
        <v/>
      </c>
      <c r="L723" s="12">
        <f>IFERROR(C723*D723, "")</f>
        <v/>
      </c>
      <c r="M723" s="12">
        <f>IFERROR(L723-E723-F723+G723+H723+I723-J723-K723, "")</f>
        <v/>
      </c>
      <c r="N723" s="11">
        <f>IFERROR(_xll.ciqfunctions.udf.CIQ(mh_ticker, "IQ_EBITDA_EST", IQ_NTM, B723, , , "USD"), "")</f>
        <v/>
      </c>
      <c r="O723" s="13">
        <f>IFERROR(M723/N723, "")</f>
        <v/>
      </c>
    </row>
    <row r="724">
      <c r="B724" s="8" t="n"/>
      <c r="C724" s="9">
        <f>IFERROR(_xll.ciqfunctions.udf.CIQ(mh_ticker, "IQ_LASTSALEPRICE", B724), "")</f>
        <v/>
      </c>
      <c r="D724" s="10">
        <f>IFERROR(_xll.ciqfunctions.udf.CIQ(mh_ticker, "IQ_SHARESOUTSTANDING_OUT", B724), "")</f>
        <v/>
      </c>
      <c r="E724" s="11">
        <f>IFERROR(_xll.ciqfunctions.udf.CIQ(mh_ticker, "IQ_CASH_EQUIV", , B724), "")</f>
        <v/>
      </c>
      <c r="F724" s="11">
        <f>IFERROR(_xll.ciqfunctions.udf.CIQ(mh_ticker, "IQ_ST_INVEST", , B724), "")</f>
        <v/>
      </c>
      <c r="G724" s="11">
        <f>IFERROR(_xll.ciqfunctions.udf.CIQ(mh_ticker, "IQ_TOTAL_DEBT_EXCL_OPER_LEASES", , B724), "")</f>
        <v/>
      </c>
      <c r="H724" s="11">
        <f>IFERROR(_xll.ciqfunctions.udf.CIQ(mh_ticker, "IQ_PREF_EQUITY", , B724), "")</f>
        <v/>
      </c>
      <c r="I724" s="11">
        <f>IFERROR(_xll.ciqfunctions.udf.CIQ(mh_ticker, "IQ_MINORITY_INTEREST", , B724), "")</f>
        <v/>
      </c>
      <c r="J724" s="11">
        <f>IFERROR(_xll.ciqfunctions.udf.CIQ(mh_ticker, "IQ_EQUITY_METHOD", , B724), "")</f>
        <v/>
      </c>
      <c r="K724" s="11">
        <f>IFERROR(_xll.ciqfunctions.udf.CIQ(mh_ticker, "IQ_LT_Mark_Securities", , B724), "")</f>
        <v/>
      </c>
      <c r="L724" s="12">
        <f>IFERROR(C724*D724, "")</f>
        <v/>
      </c>
      <c r="M724" s="12">
        <f>IFERROR(L724-E724-F724+G724+H724+I724-J724-K724, "")</f>
        <v/>
      </c>
      <c r="N724" s="11">
        <f>IFERROR(_xll.ciqfunctions.udf.CIQ(mh_ticker, "IQ_EBITDA_EST", IQ_NTM, B724, , , "USD"), "")</f>
        <v/>
      </c>
      <c r="O724" s="13">
        <f>IFERROR(M724/N724, "")</f>
        <v/>
      </c>
    </row>
    <row r="725">
      <c r="B725" s="8" t="n"/>
      <c r="C725" s="9">
        <f>IFERROR(_xll.ciqfunctions.udf.CIQ(mh_ticker, "IQ_LASTSALEPRICE", B725), "")</f>
        <v/>
      </c>
      <c r="D725" s="10">
        <f>IFERROR(_xll.ciqfunctions.udf.CIQ(mh_ticker, "IQ_SHARESOUTSTANDING_OUT", B725), "")</f>
        <v/>
      </c>
      <c r="E725" s="11">
        <f>IFERROR(_xll.ciqfunctions.udf.CIQ(mh_ticker, "IQ_CASH_EQUIV", , B725), "")</f>
        <v/>
      </c>
      <c r="F725" s="11">
        <f>IFERROR(_xll.ciqfunctions.udf.CIQ(mh_ticker, "IQ_ST_INVEST", , B725), "")</f>
        <v/>
      </c>
      <c r="G725" s="11">
        <f>IFERROR(_xll.ciqfunctions.udf.CIQ(mh_ticker, "IQ_TOTAL_DEBT_EXCL_OPER_LEASES", , B725), "")</f>
        <v/>
      </c>
      <c r="H725" s="11">
        <f>IFERROR(_xll.ciqfunctions.udf.CIQ(mh_ticker, "IQ_PREF_EQUITY", , B725), "")</f>
        <v/>
      </c>
      <c r="I725" s="11">
        <f>IFERROR(_xll.ciqfunctions.udf.CIQ(mh_ticker, "IQ_MINORITY_INTEREST", , B725), "")</f>
        <v/>
      </c>
      <c r="J725" s="11">
        <f>IFERROR(_xll.ciqfunctions.udf.CIQ(mh_ticker, "IQ_EQUITY_METHOD", , B725), "")</f>
        <v/>
      </c>
      <c r="K725" s="11">
        <f>IFERROR(_xll.ciqfunctions.udf.CIQ(mh_ticker, "IQ_LT_Mark_Securities", , B725), "")</f>
        <v/>
      </c>
      <c r="L725" s="12">
        <f>IFERROR(C725*D725, "")</f>
        <v/>
      </c>
      <c r="M725" s="12">
        <f>IFERROR(L725-E725-F725+G725+H725+I725-J725-K725, "")</f>
        <v/>
      </c>
      <c r="N725" s="11">
        <f>IFERROR(_xll.ciqfunctions.udf.CIQ(mh_ticker, "IQ_EBITDA_EST", IQ_NTM, B725, , , "USD"), "")</f>
        <v/>
      </c>
      <c r="O725" s="13">
        <f>IFERROR(M725/N725, "")</f>
        <v/>
      </c>
    </row>
    <row r="726">
      <c r="B726" s="8" t="n"/>
      <c r="C726" s="9">
        <f>IFERROR(_xll.ciqfunctions.udf.CIQ(mh_ticker, "IQ_LASTSALEPRICE", B726), "")</f>
        <v/>
      </c>
      <c r="D726" s="10">
        <f>IFERROR(_xll.ciqfunctions.udf.CIQ(mh_ticker, "IQ_SHARESOUTSTANDING_OUT", B726), "")</f>
        <v/>
      </c>
      <c r="E726" s="11">
        <f>IFERROR(_xll.ciqfunctions.udf.CIQ(mh_ticker, "IQ_CASH_EQUIV", , B726), "")</f>
        <v/>
      </c>
      <c r="F726" s="11">
        <f>IFERROR(_xll.ciqfunctions.udf.CIQ(mh_ticker, "IQ_ST_INVEST", , B726), "")</f>
        <v/>
      </c>
      <c r="G726" s="11">
        <f>IFERROR(_xll.ciqfunctions.udf.CIQ(mh_ticker, "IQ_TOTAL_DEBT_EXCL_OPER_LEASES", , B726), "")</f>
        <v/>
      </c>
      <c r="H726" s="11">
        <f>IFERROR(_xll.ciqfunctions.udf.CIQ(mh_ticker, "IQ_PREF_EQUITY", , B726), "")</f>
        <v/>
      </c>
      <c r="I726" s="11">
        <f>IFERROR(_xll.ciqfunctions.udf.CIQ(mh_ticker, "IQ_MINORITY_INTEREST", , B726), "")</f>
        <v/>
      </c>
      <c r="J726" s="11">
        <f>IFERROR(_xll.ciqfunctions.udf.CIQ(mh_ticker, "IQ_EQUITY_METHOD", , B726), "")</f>
        <v/>
      </c>
      <c r="K726" s="11">
        <f>IFERROR(_xll.ciqfunctions.udf.CIQ(mh_ticker, "IQ_LT_Mark_Securities", , B726), "")</f>
        <v/>
      </c>
      <c r="L726" s="12">
        <f>IFERROR(C726*D726, "")</f>
        <v/>
      </c>
      <c r="M726" s="12">
        <f>IFERROR(L726-E726-F726+G726+H726+I726-J726-K726, "")</f>
        <v/>
      </c>
      <c r="N726" s="11">
        <f>IFERROR(_xll.ciqfunctions.udf.CIQ(mh_ticker, "IQ_EBITDA_EST", IQ_NTM, B726, , , "USD"), "")</f>
        <v/>
      </c>
      <c r="O726" s="13">
        <f>IFERROR(M726/N726, "")</f>
        <v/>
      </c>
    </row>
    <row r="727">
      <c r="B727" s="8" t="n"/>
      <c r="C727" s="9">
        <f>IFERROR(_xll.ciqfunctions.udf.CIQ(mh_ticker, "IQ_LASTSALEPRICE", B727), "")</f>
        <v/>
      </c>
      <c r="D727" s="10">
        <f>IFERROR(_xll.ciqfunctions.udf.CIQ(mh_ticker, "IQ_SHARESOUTSTANDING_OUT", B727), "")</f>
        <v/>
      </c>
      <c r="E727" s="11">
        <f>IFERROR(_xll.ciqfunctions.udf.CIQ(mh_ticker, "IQ_CASH_EQUIV", , B727), "")</f>
        <v/>
      </c>
      <c r="F727" s="11">
        <f>IFERROR(_xll.ciqfunctions.udf.CIQ(mh_ticker, "IQ_ST_INVEST", , B727), "")</f>
        <v/>
      </c>
      <c r="G727" s="11">
        <f>IFERROR(_xll.ciqfunctions.udf.CIQ(mh_ticker, "IQ_TOTAL_DEBT_EXCL_OPER_LEASES", , B727), "")</f>
        <v/>
      </c>
      <c r="H727" s="11">
        <f>IFERROR(_xll.ciqfunctions.udf.CIQ(mh_ticker, "IQ_PREF_EQUITY", , B727), "")</f>
        <v/>
      </c>
      <c r="I727" s="11">
        <f>IFERROR(_xll.ciqfunctions.udf.CIQ(mh_ticker, "IQ_MINORITY_INTEREST", , B727), "")</f>
        <v/>
      </c>
      <c r="J727" s="11">
        <f>IFERROR(_xll.ciqfunctions.udf.CIQ(mh_ticker, "IQ_EQUITY_METHOD", , B727), "")</f>
        <v/>
      </c>
      <c r="K727" s="11">
        <f>IFERROR(_xll.ciqfunctions.udf.CIQ(mh_ticker, "IQ_LT_Mark_Securities", , B727), "")</f>
        <v/>
      </c>
      <c r="L727" s="12">
        <f>IFERROR(C727*D727, "")</f>
        <v/>
      </c>
      <c r="M727" s="12">
        <f>IFERROR(L727-E727-F727+G727+H727+I727-J727-K727, "")</f>
        <v/>
      </c>
      <c r="N727" s="11">
        <f>IFERROR(_xll.ciqfunctions.udf.CIQ(mh_ticker, "IQ_EBITDA_EST", IQ_NTM, B727, , , "USD"), "")</f>
        <v/>
      </c>
      <c r="O727" s="13">
        <f>IFERROR(M727/N727, "")</f>
        <v/>
      </c>
    </row>
    <row r="728">
      <c r="B728" s="8" t="n"/>
      <c r="C728" s="9">
        <f>IFERROR(_xll.ciqfunctions.udf.CIQ(mh_ticker, "IQ_LASTSALEPRICE", B728), "")</f>
        <v/>
      </c>
      <c r="D728" s="10">
        <f>IFERROR(_xll.ciqfunctions.udf.CIQ(mh_ticker, "IQ_SHARESOUTSTANDING_OUT", B728), "")</f>
        <v/>
      </c>
      <c r="E728" s="11">
        <f>IFERROR(_xll.ciqfunctions.udf.CIQ(mh_ticker, "IQ_CASH_EQUIV", , B728), "")</f>
        <v/>
      </c>
      <c r="F728" s="11">
        <f>IFERROR(_xll.ciqfunctions.udf.CIQ(mh_ticker, "IQ_ST_INVEST", , B728), "")</f>
        <v/>
      </c>
      <c r="G728" s="11">
        <f>IFERROR(_xll.ciqfunctions.udf.CIQ(mh_ticker, "IQ_TOTAL_DEBT_EXCL_OPER_LEASES", , B728), "")</f>
        <v/>
      </c>
      <c r="H728" s="11">
        <f>IFERROR(_xll.ciqfunctions.udf.CIQ(mh_ticker, "IQ_PREF_EQUITY", , B728), "")</f>
        <v/>
      </c>
      <c r="I728" s="11">
        <f>IFERROR(_xll.ciqfunctions.udf.CIQ(mh_ticker, "IQ_MINORITY_INTEREST", , B728), "")</f>
        <v/>
      </c>
      <c r="J728" s="11">
        <f>IFERROR(_xll.ciqfunctions.udf.CIQ(mh_ticker, "IQ_EQUITY_METHOD", , B728), "")</f>
        <v/>
      </c>
      <c r="K728" s="11">
        <f>IFERROR(_xll.ciqfunctions.udf.CIQ(mh_ticker, "IQ_LT_Mark_Securities", , B728), "")</f>
        <v/>
      </c>
      <c r="L728" s="12">
        <f>IFERROR(C728*D728, "")</f>
        <v/>
      </c>
      <c r="M728" s="12">
        <f>IFERROR(L728-E728-F728+G728+H728+I728-J728-K728, "")</f>
        <v/>
      </c>
      <c r="N728" s="11">
        <f>IFERROR(_xll.ciqfunctions.udf.CIQ(mh_ticker, "IQ_EBITDA_EST", IQ_NTM, B728, , , "USD"), "")</f>
        <v/>
      </c>
      <c r="O728" s="13">
        <f>IFERROR(M728/N728, "")</f>
        <v/>
      </c>
    </row>
    <row r="729">
      <c r="B729" s="8" t="n"/>
      <c r="C729" s="9">
        <f>IFERROR(_xll.ciqfunctions.udf.CIQ(mh_ticker, "IQ_LASTSALEPRICE", B729), "")</f>
        <v/>
      </c>
      <c r="D729" s="10">
        <f>IFERROR(_xll.ciqfunctions.udf.CIQ(mh_ticker, "IQ_SHARESOUTSTANDING_OUT", B729), "")</f>
        <v/>
      </c>
      <c r="E729" s="11">
        <f>IFERROR(_xll.ciqfunctions.udf.CIQ(mh_ticker, "IQ_CASH_EQUIV", , B729), "")</f>
        <v/>
      </c>
      <c r="F729" s="11">
        <f>IFERROR(_xll.ciqfunctions.udf.CIQ(mh_ticker, "IQ_ST_INVEST", , B729), "")</f>
        <v/>
      </c>
      <c r="G729" s="11">
        <f>IFERROR(_xll.ciqfunctions.udf.CIQ(mh_ticker, "IQ_TOTAL_DEBT_EXCL_OPER_LEASES", , B729), "")</f>
        <v/>
      </c>
      <c r="H729" s="11">
        <f>IFERROR(_xll.ciqfunctions.udf.CIQ(mh_ticker, "IQ_PREF_EQUITY", , B729), "")</f>
        <v/>
      </c>
      <c r="I729" s="11">
        <f>IFERROR(_xll.ciqfunctions.udf.CIQ(mh_ticker, "IQ_MINORITY_INTEREST", , B729), "")</f>
        <v/>
      </c>
      <c r="J729" s="11">
        <f>IFERROR(_xll.ciqfunctions.udf.CIQ(mh_ticker, "IQ_EQUITY_METHOD", , B729), "")</f>
        <v/>
      </c>
      <c r="K729" s="11">
        <f>IFERROR(_xll.ciqfunctions.udf.CIQ(mh_ticker, "IQ_LT_Mark_Securities", , B729), "")</f>
        <v/>
      </c>
      <c r="L729" s="12">
        <f>IFERROR(C729*D729, "")</f>
        <v/>
      </c>
      <c r="M729" s="12">
        <f>IFERROR(L729-E729-F729+G729+H729+I729-J729-K729, "")</f>
        <v/>
      </c>
      <c r="N729" s="11">
        <f>IFERROR(_xll.ciqfunctions.udf.CIQ(mh_ticker, "IQ_EBITDA_EST", IQ_NTM, B729, , , "USD"), "")</f>
        <v/>
      </c>
      <c r="O729" s="13">
        <f>IFERROR(M729/N729, "")</f>
        <v/>
      </c>
    </row>
    <row r="730">
      <c r="B730" s="8" t="n"/>
      <c r="C730" s="9">
        <f>IFERROR(_xll.ciqfunctions.udf.CIQ(mh_ticker, "IQ_LASTSALEPRICE", B730), "")</f>
        <v/>
      </c>
      <c r="D730" s="10">
        <f>IFERROR(_xll.ciqfunctions.udf.CIQ(mh_ticker, "IQ_SHARESOUTSTANDING_OUT", B730), "")</f>
        <v/>
      </c>
      <c r="E730" s="11">
        <f>IFERROR(_xll.ciqfunctions.udf.CIQ(mh_ticker, "IQ_CASH_EQUIV", , B730), "")</f>
        <v/>
      </c>
      <c r="F730" s="11">
        <f>IFERROR(_xll.ciqfunctions.udf.CIQ(mh_ticker, "IQ_ST_INVEST", , B730), "")</f>
        <v/>
      </c>
      <c r="G730" s="11">
        <f>IFERROR(_xll.ciqfunctions.udf.CIQ(mh_ticker, "IQ_TOTAL_DEBT_EXCL_OPER_LEASES", , B730), "")</f>
        <v/>
      </c>
      <c r="H730" s="11">
        <f>IFERROR(_xll.ciqfunctions.udf.CIQ(mh_ticker, "IQ_PREF_EQUITY", , B730), "")</f>
        <v/>
      </c>
      <c r="I730" s="11">
        <f>IFERROR(_xll.ciqfunctions.udf.CIQ(mh_ticker, "IQ_MINORITY_INTEREST", , B730), "")</f>
        <v/>
      </c>
      <c r="J730" s="11">
        <f>IFERROR(_xll.ciqfunctions.udf.CIQ(mh_ticker, "IQ_EQUITY_METHOD", , B730), "")</f>
        <v/>
      </c>
      <c r="K730" s="11">
        <f>IFERROR(_xll.ciqfunctions.udf.CIQ(mh_ticker, "IQ_LT_Mark_Securities", , B730), "")</f>
        <v/>
      </c>
      <c r="L730" s="12">
        <f>IFERROR(C730*D730, "")</f>
        <v/>
      </c>
      <c r="M730" s="12">
        <f>IFERROR(L730-E730-F730+G730+H730+I730-J730-K730, "")</f>
        <v/>
      </c>
      <c r="N730" s="11">
        <f>IFERROR(_xll.ciqfunctions.udf.CIQ(mh_ticker, "IQ_EBITDA_EST", IQ_NTM, B730, , , "USD"), "")</f>
        <v/>
      </c>
      <c r="O730" s="13">
        <f>IFERROR(M730/N730, "")</f>
        <v/>
      </c>
    </row>
    <row r="731">
      <c r="B731" s="8" t="n"/>
      <c r="C731" s="9">
        <f>IFERROR(_xll.ciqfunctions.udf.CIQ(mh_ticker, "IQ_LASTSALEPRICE", B731), "")</f>
        <v/>
      </c>
      <c r="D731" s="10">
        <f>IFERROR(_xll.ciqfunctions.udf.CIQ(mh_ticker, "IQ_SHARESOUTSTANDING_OUT", B731), "")</f>
        <v/>
      </c>
      <c r="E731" s="11">
        <f>IFERROR(_xll.ciqfunctions.udf.CIQ(mh_ticker, "IQ_CASH_EQUIV", , B731), "")</f>
        <v/>
      </c>
      <c r="F731" s="11">
        <f>IFERROR(_xll.ciqfunctions.udf.CIQ(mh_ticker, "IQ_ST_INVEST", , B731), "")</f>
        <v/>
      </c>
      <c r="G731" s="11">
        <f>IFERROR(_xll.ciqfunctions.udf.CIQ(mh_ticker, "IQ_TOTAL_DEBT_EXCL_OPER_LEASES", , B731), "")</f>
        <v/>
      </c>
      <c r="H731" s="11">
        <f>IFERROR(_xll.ciqfunctions.udf.CIQ(mh_ticker, "IQ_PREF_EQUITY", , B731), "")</f>
        <v/>
      </c>
      <c r="I731" s="11">
        <f>IFERROR(_xll.ciqfunctions.udf.CIQ(mh_ticker, "IQ_MINORITY_INTEREST", , B731), "")</f>
        <v/>
      </c>
      <c r="J731" s="11">
        <f>IFERROR(_xll.ciqfunctions.udf.CIQ(mh_ticker, "IQ_EQUITY_METHOD", , B731), "")</f>
        <v/>
      </c>
      <c r="K731" s="11">
        <f>IFERROR(_xll.ciqfunctions.udf.CIQ(mh_ticker, "IQ_LT_Mark_Securities", , B731), "")</f>
        <v/>
      </c>
      <c r="L731" s="12">
        <f>IFERROR(C731*D731, "")</f>
        <v/>
      </c>
      <c r="M731" s="12">
        <f>IFERROR(L731-E731-F731+G731+H731+I731-J731-K731, "")</f>
        <v/>
      </c>
      <c r="N731" s="11">
        <f>IFERROR(_xll.ciqfunctions.udf.CIQ(mh_ticker, "IQ_EBITDA_EST", IQ_NTM, B731, , , "USD"), "")</f>
        <v/>
      </c>
      <c r="O731" s="13">
        <f>IFERROR(M731/N731, "")</f>
        <v/>
      </c>
    </row>
    <row r="732">
      <c r="B732" s="8" t="n"/>
      <c r="C732" s="9">
        <f>IFERROR(_xll.ciqfunctions.udf.CIQ(mh_ticker, "IQ_LASTSALEPRICE", B732), "")</f>
        <v/>
      </c>
      <c r="D732" s="10">
        <f>IFERROR(_xll.ciqfunctions.udf.CIQ(mh_ticker, "IQ_SHARESOUTSTANDING_OUT", B732), "")</f>
        <v/>
      </c>
      <c r="E732" s="11">
        <f>IFERROR(_xll.ciqfunctions.udf.CIQ(mh_ticker, "IQ_CASH_EQUIV", , B732), "")</f>
        <v/>
      </c>
      <c r="F732" s="11">
        <f>IFERROR(_xll.ciqfunctions.udf.CIQ(mh_ticker, "IQ_ST_INVEST", , B732), "")</f>
        <v/>
      </c>
      <c r="G732" s="11">
        <f>IFERROR(_xll.ciqfunctions.udf.CIQ(mh_ticker, "IQ_TOTAL_DEBT_EXCL_OPER_LEASES", , B732), "")</f>
        <v/>
      </c>
      <c r="H732" s="11">
        <f>IFERROR(_xll.ciqfunctions.udf.CIQ(mh_ticker, "IQ_PREF_EQUITY", , B732), "")</f>
        <v/>
      </c>
      <c r="I732" s="11">
        <f>IFERROR(_xll.ciqfunctions.udf.CIQ(mh_ticker, "IQ_MINORITY_INTEREST", , B732), "")</f>
        <v/>
      </c>
      <c r="J732" s="11">
        <f>IFERROR(_xll.ciqfunctions.udf.CIQ(mh_ticker, "IQ_EQUITY_METHOD", , B732), "")</f>
        <v/>
      </c>
      <c r="K732" s="11">
        <f>IFERROR(_xll.ciqfunctions.udf.CIQ(mh_ticker, "IQ_LT_Mark_Securities", , B732), "")</f>
        <v/>
      </c>
      <c r="L732" s="12">
        <f>IFERROR(C732*D732, "")</f>
        <v/>
      </c>
      <c r="M732" s="12">
        <f>IFERROR(L732-E732-F732+G732+H732+I732-J732-K732, "")</f>
        <v/>
      </c>
      <c r="N732" s="11">
        <f>IFERROR(_xll.ciqfunctions.udf.CIQ(mh_ticker, "IQ_EBITDA_EST", IQ_NTM, B732, , , "USD"), "")</f>
        <v/>
      </c>
      <c r="O732" s="13">
        <f>IFERROR(M732/N732, "")</f>
        <v/>
      </c>
    </row>
    <row r="733">
      <c r="B733" s="8" t="n"/>
      <c r="C733" s="9">
        <f>IFERROR(_xll.ciqfunctions.udf.CIQ(mh_ticker, "IQ_LASTSALEPRICE", B733), "")</f>
        <v/>
      </c>
      <c r="D733" s="10">
        <f>IFERROR(_xll.ciqfunctions.udf.CIQ(mh_ticker, "IQ_SHARESOUTSTANDING_OUT", B733), "")</f>
        <v/>
      </c>
      <c r="E733" s="11">
        <f>IFERROR(_xll.ciqfunctions.udf.CIQ(mh_ticker, "IQ_CASH_EQUIV", , B733), "")</f>
        <v/>
      </c>
      <c r="F733" s="11">
        <f>IFERROR(_xll.ciqfunctions.udf.CIQ(mh_ticker, "IQ_ST_INVEST", , B733), "")</f>
        <v/>
      </c>
      <c r="G733" s="11">
        <f>IFERROR(_xll.ciqfunctions.udf.CIQ(mh_ticker, "IQ_TOTAL_DEBT_EXCL_OPER_LEASES", , B733), "")</f>
        <v/>
      </c>
      <c r="H733" s="11">
        <f>IFERROR(_xll.ciqfunctions.udf.CIQ(mh_ticker, "IQ_PREF_EQUITY", , B733), "")</f>
        <v/>
      </c>
      <c r="I733" s="11">
        <f>IFERROR(_xll.ciqfunctions.udf.CIQ(mh_ticker, "IQ_MINORITY_INTEREST", , B733), "")</f>
        <v/>
      </c>
      <c r="J733" s="11">
        <f>IFERROR(_xll.ciqfunctions.udf.CIQ(mh_ticker, "IQ_EQUITY_METHOD", , B733), "")</f>
        <v/>
      </c>
      <c r="K733" s="11">
        <f>IFERROR(_xll.ciqfunctions.udf.CIQ(mh_ticker, "IQ_LT_Mark_Securities", , B733), "")</f>
        <v/>
      </c>
      <c r="L733" s="12">
        <f>IFERROR(C733*D733, "")</f>
        <v/>
      </c>
      <c r="M733" s="12">
        <f>IFERROR(L733-E733-F733+G733+H733+I733-J733-K733, "")</f>
        <v/>
      </c>
      <c r="N733" s="11">
        <f>IFERROR(_xll.ciqfunctions.udf.CIQ(mh_ticker, "IQ_EBITDA_EST", IQ_NTM, B733, , , "USD"), "")</f>
        <v/>
      </c>
      <c r="O733" s="13">
        <f>IFERROR(M733/N733, "")</f>
        <v/>
      </c>
    </row>
    <row r="734">
      <c r="B734" s="8" t="n"/>
      <c r="C734" s="9">
        <f>IFERROR(_xll.ciqfunctions.udf.CIQ(mh_ticker, "IQ_LASTSALEPRICE", B734), "")</f>
        <v/>
      </c>
      <c r="D734" s="10">
        <f>IFERROR(_xll.ciqfunctions.udf.CIQ(mh_ticker, "IQ_SHARESOUTSTANDING_OUT", B734), "")</f>
        <v/>
      </c>
      <c r="E734" s="11">
        <f>IFERROR(_xll.ciqfunctions.udf.CIQ(mh_ticker, "IQ_CASH_EQUIV", , B734), "")</f>
        <v/>
      </c>
      <c r="F734" s="11">
        <f>IFERROR(_xll.ciqfunctions.udf.CIQ(mh_ticker, "IQ_ST_INVEST", , B734), "")</f>
        <v/>
      </c>
      <c r="G734" s="11">
        <f>IFERROR(_xll.ciqfunctions.udf.CIQ(mh_ticker, "IQ_TOTAL_DEBT_EXCL_OPER_LEASES", , B734), "")</f>
        <v/>
      </c>
      <c r="H734" s="11">
        <f>IFERROR(_xll.ciqfunctions.udf.CIQ(mh_ticker, "IQ_PREF_EQUITY", , B734), "")</f>
        <v/>
      </c>
      <c r="I734" s="11">
        <f>IFERROR(_xll.ciqfunctions.udf.CIQ(mh_ticker, "IQ_MINORITY_INTEREST", , B734), "")</f>
        <v/>
      </c>
      <c r="J734" s="11">
        <f>IFERROR(_xll.ciqfunctions.udf.CIQ(mh_ticker, "IQ_EQUITY_METHOD", , B734), "")</f>
        <v/>
      </c>
      <c r="K734" s="11">
        <f>IFERROR(_xll.ciqfunctions.udf.CIQ(mh_ticker, "IQ_LT_Mark_Securities", , B734), "")</f>
        <v/>
      </c>
      <c r="L734" s="12">
        <f>IFERROR(C734*D734, "")</f>
        <v/>
      </c>
      <c r="M734" s="12">
        <f>IFERROR(L734-E734-F734+G734+H734+I734-J734-K734, "")</f>
        <v/>
      </c>
      <c r="N734" s="11">
        <f>IFERROR(_xll.ciqfunctions.udf.CIQ(mh_ticker, "IQ_EBITDA_EST", IQ_NTM, B734, , , "USD"), "")</f>
        <v/>
      </c>
      <c r="O734" s="13">
        <f>IFERROR(M734/N734, "")</f>
        <v/>
      </c>
    </row>
    <row r="735">
      <c r="B735" s="8" t="n"/>
      <c r="C735" s="9">
        <f>IFERROR(_xll.ciqfunctions.udf.CIQ(mh_ticker, "IQ_LASTSALEPRICE", B735), "")</f>
        <v/>
      </c>
      <c r="D735" s="10">
        <f>IFERROR(_xll.ciqfunctions.udf.CIQ(mh_ticker, "IQ_SHARESOUTSTANDING_OUT", B735), "")</f>
        <v/>
      </c>
      <c r="E735" s="11">
        <f>IFERROR(_xll.ciqfunctions.udf.CIQ(mh_ticker, "IQ_CASH_EQUIV", , B735), "")</f>
        <v/>
      </c>
      <c r="F735" s="11">
        <f>IFERROR(_xll.ciqfunctions.udf.CIQ(mh_ticker, "IQ_ST_INVEST", , B735), "")</f>
        <v/>
      </c>
      <c r="G735" s="11">
        <f>IFERROR(_xll.ciqfunctions.udf.CIQ(mh_ticker, "IQ_TOTAL_DEBT_EXCL_OPER_LEASES", , B735), "")</f>
        <v/>
      </c>
      <c r="H735" s="11">
        <f>IFERROR(_xll.ciqfunctions.udf.CIQ(mh_ticker, "IQ_PREF_EQUITY", , B735), "")</f>
        <v/>
      </c>
      <c r="I735" s="11">
        <f>IFERROR(_xll.ciqfunctions.udf.CIQ(mh_ticker, "IQ_MINORITY_INTEREST", , B735), "")</f>
        <v/>
      </c>
      <c r="J735" s="11">
        <f>IFERROR(_xll.ciqfunctions.udf.CIQ(mh_ticker, "IQ_EQUITY_METHOD", , B735), "")</f>
        <v/>
      </c>
      <c r="K735" s="11">
        <f>IFERROR(_xll.ciqfunctions.udf.CIQ(mh_ticker, "IQ_LT_Mark_Securities", , B735), "")</f>
        <v/>
      </c>
      <c r="L735" s="12">
        <f>IFERROR(C735*D735, "")</f>
        <v/>
      </c>
      <c r="M735" s="12">
        <f>IFERROR(L735-E735-F735+G735+H735+I735-J735-K735, "")</f>
        <v/>
      </c>
      <c r="N735" s="11">
        <f>IFERROR(_xll.ciqfunctions.udf.CIQ(mh_ticker, "IQ_EBITDA_EST", IQ_NTM, B735, , , "USD"), "")</f>
        <v/>
      </c>
      <c r="O735" s="13">
        <f>IFERROR(M735/N735, "")</f>
        <v/>
      </c>
    </row>
    <row r="736">
      <c r="B736" s="8" t="n"/>
      <c r="C736" s="9">
        <f>IFERROR(_xll.ciqfunctions.udf.CIQ(mh_ticker, "IQ_LASTSALEPRICE", B736), "")</f>
        <v/>
      </c>
      <c r="D736" s="10">
        <f>IFERROR(_xll.ciqfunctions.udf.CIQ(mh_ticker, "IQ_SHARESOUTSTANDING_OUT", B736), "")</f>
        <v/>
      </c>
      <c r="E736" s="11">
        <f>IFERROR(_xll.ciqfunctions.udf.CIQ(mh_ticker, "IQ_CASH_EQUIV", , B736), "")</f>
        <v/>
      </c>
      <c r="F736" s="11">
        <f>IFERROR(_xll.ciqfunctions.udf.CIQ(mh_ticker, "IQ_ST_INVEST", , B736), "")</f>
        <v/>
      </c>
      <c r="G736" s="11">
        <f>IFERROR(_xll.ciqfunctions.udf.CIQ(mh_ticker, "IQ_TOTAL_DEBT_EXCL_OPER_LEASES", , B736), "")</f>
        <v/>
      </c>
      <c r="H736" s="11">
        <f>IFERROR(_xll.ciqfunctions.udf.CIQ(mh_ticker, "IQ_PREF_EQUITY", , B736), "")</f>
        <v/>
      </c>
      <c r="I736" s="11">
        <f>IFERROR(_xll.ciqfunctions.udf.CIQ(mh_ticker, "IQ_MINORITY_INTEREST", , B736), "")</f>
        <v/>
      </c>
      <c r="J736" s="11">
        <f>IFERROR(_xll.ciqfunctions.udf.CIQ(mh_ticker, "IQ_EQUITY_METHOD", , B736), "")</f>
        <v/>
      </c>
      <c r="K736" s="11">
        <f>IFERROR(_xll.ciqfunctions.udf.CIQ(mh_ticker, "IQ_LT_Mark_Securities", , B736), "")</f>
        <v/>
      </c>
      <c r="L736" s="12">
        <f>IFERROR(C736*D736, "")</f>
        <v/>
      </c>
      <c r="M736" s="12">
        <f>IFERROR(L736-E736-F736+G736+H736+I736-J736-K736, "")</f>
        <v/>
      </c>
      <c r="N736" s="11">
        <f>IFERROR(_xll.ciqfunctions.udf.CIQ(mh_ticker, "IQ_EBITDA_EST", IQ_NTM, B736, , , "USD"), "")</f>
        <v/>
      </c>
      <c r="O736" s="13">
        <f>IFERROR(M736/N736, "")</f>
        <v/>
      </c>
    </row>
    <row r="737">
      <c r="B737" s="8" t="n"/>
      <c r="C737" s="9">
        <f>IFERROR(_xll.ciqfunctions.udf.CIQ(mh_ticker, "IQ_LASTSALEPRICE", B737), "")</f>
        <v/>
      </c>
      <c r="D737" s="10">
        <f>IFERROR(_xll.ciqfunctions.udf.CIQ(mh_ticker, "IQ_SHARESOUTSTANDING_OUT", B737), "")</f>
        <v/>
      </c>
      <c r="E737" s="11">
        <f>IFERROR(_xll.ciqfunctions.udf.CIQ(mh_ticker, "IQ_CASH_EQUIV", , B737), "")</f>
        <v/>
      </c>
      <c r="F737" s="11">
        <f>IFERROR(_xll.ciqfunctions.udf.CIQ(mh_ticker, "IQ_ST_INVEST", , B737), "")</f>
        <v/>
      </c>
      <c r="G737" s="11">
        <f>IFERROR(_xll.ciqfunctions.udf.CIQ(mh_ticker, "IQ_TOTAL_DEBT_EXCL_OPER_LEASES", , B737), "")</f>
        <v/>
      </c>
      <c r="H737" s="11">
        <f>IFERROR(_xll.ciqfunctions.udf.CIQ(mh_ticker, "IQ_PREF_EQUITY", , B737), "")</f>
        <v/>
      </c>
      <c r="I737" s="11">
        <f>IFERROR(_xll.ciqfunctions.udf.CIQ(mh_ticker, "IQ_MINORITY_INTEREST", , B737), "")</f>
        <v/>
      </c>
      <c r="J737" s="11">
        <f>IFERROR(_xll.ciqfunctions.udf.CIQ(mh_ticker, "IQ_EQUITY_METHOD", , B737), "")</f>
        <v/>
      </c>
      <c r="K737" s="11">
        <f>IFERROR(_xll.ciqfunctions.udf.CIQ(mh_ticker, "IQ_LT_Mark_Securities", , B737), "")</f>
        <v/>
      </c>
      <c r="L737" s="12">
        <f>IFERROR(C737*D737, "")</f>
        <v/>
      </c>
      <c r="M737" s="12">
        <f>IFERROR(L737-E737-F737+G737+H737+I737-J737-K737, "")</f>
        <v/>
      </c>
      <c r="N737" s="11">
        <f>IFERROR(_xll.ciqfunctions.udf.CIQ(mh_ticker, "IQ_EBITDA_EST", IQ_NTM, B737, , , "USD"), "")</f>
        <v/>
      </c>
      <c r="O737" s="13">
        <f>IFERROR(M737/N737, "")</f>
        <v/>
      </c>
    </row>
    <row r="738">
      <c r="B738" s="8" t="n"/>
      <c r="C738" s="9">
        <f>IFERROR(_xll.ciqfunctions.udf.CIQ(mh_ticker, "IQ_LASTSALEPRICE", B738), "")</f>
        <v/>
      </c>
      <c r="D738" s="10">
        <f>IFERROR(_xll.ciqfunctions.udf.CIQ(mh_ticker, "IQ_SHARESOUTSTANDING_OUT", B738), "")</f>
        <v/>
      </c>
      <c r="E738" s="11">
        <f>IFERROR(_xll.ciqfunctions.udf.CIQ(mh_ticker, "IQ_CASH_EQUIV", , B738), "")</f>
        <v/>
      </c>
      <c r="F738" s="11">
        <f>IFERROR(_xll.ciqfunctions.udf.CIQ(mh_ticker, "IQ_ST_INVEST", , B738), "")</f>
        <v/>
      </c>
      <c r="G738" s="11">
        <f>IFERROR(_xll.ciqfunctions.udf.CIQ(mh_ticker, "IQ_TOTAL_DEBT_EXCL_OPER_LEASES", , B738), "")</f>
        <v/>
      </c>
      <c r="H738" s="11">
        <f>IFERROR(_xll.ciqfunctions.udf.CIQ(mh_ticker, "IQ_PREF_EQUITY", , B738), "")</f>
        <v/>
      </c>
      <c r="I738" s="11">
        <f>IFERROR(_xll.ciqfunctions.udf.CIQ(mh_ticker, "IQ_MINORITY_INTEREST", , B738), "")</f>
        <v/>
      </c>
      <c r="J738" s="11">
        <f>IFERROR(_xll.ciqfunctions.udf.CIQ(mh_ticker, "IQ_EQUITY_METHOD", , B738), "")</f>
        <v/>
      </c>
      <c r="K738" s="11">
        <f>IFERROR(_xll.ciqfunctions.udf.CIQ(mh_ticker, "IQ_LT_Mark_Securities", , B738), "")</f>
        <v/>
      </c>
      <c r="L738" s="12">
        <f>IFERROR(C738*D738, "")</f>
        <v/>
      </c>
      <c r="M738" s="12">
        <f>IFERROR(L738-E738-F738+G738+H738+I738-J738-K738, "")</f>
        <v/>
      </c>
      <c r="N738" s="11">
        <f>IFERROR(_xll.ciqfunctions.udf.CIQ(mh_ticker, "IQ_EBITDA_EST", IQ_NTM, B738, , , "USD"), "")</f>
        <v/>
      </c>
      <c r="O738" s="13">
        <f>IFERROR(M738/N738, "")</f>
        <v/>
      </c>
    </row>
    <row r="739">
      <c r="B739" s="8" t="n"/>
      <c r="C739" s="9">
        <f>IFERROR(_xll.ciqfunctions.udf.CIQ(mh_ticker, "IQ_LASTSALEPRICE", B739), "")</f>
        <v/>
      </c>
      <c r="D739" s="10">
        <f>IFERROR(_xll.ciqfunctions.udf.CIQ(mh_ticker, "IQ_SHARESOUTSTANDING_OUT", B739), "")</f>
        <v/>
      </c>
      <c r="E739" s="11">
        <f>IFERROR(_xll.ciqfunctions.udf.CIQ(mh_ticker, "IQ_CASH_EQUIV", , B739), "")</f>
        <v/>
      </c>
      <c r="F739" s="11">
        <f>IFERROR(_xll.ciqfunctions.udf.CIQ(mh_ticker, "IQ_ST_INVEST", , B739), "")</f>
        <v/>
      </c>
      <c r="G739" s="11">
        <f>IFERROR(_xll.ciqfunctions.udf.CIQ(mh_ticker, "IQ_TOTAL_DEBT_EXCL_OPER_LEASES", , B739), "")</f>
        <v/>
      </c>
      <c r="H739" s="11">
        <f>IFERROR(_xll.ciqfunctions.udf.CIQ(mh_ticker, "IQ_PREF_EQUITY", , B739), "")</f>
        <v/>
      </c>
      <c r="I739" s="11">
        <f>IFERROR(_xll.ciqfunctions.udf.CIQ(mh_ticker, "IQ_MINORITY_INTEREST", , B739), "")</f>
        <v/>
      </c>
      <c r="J739" s="11">
        <f>IFERROR(_xll.ciqfunctions.udf.CIQ(mh_ticker, "IQ_EQUITY_METHOD", , B739), "")</f>
        <v/>
      </c>
      <c r="K739" s="11">
        <f>IFERROR(_xll.ciqfunctions.udf.CIQ(mh_ticker, "IQ_LT_Mark_Securities", , B739), "")</f>
        <v/>
      </c>
      <c r="L739" s="12">
        <f>IFERROR(C739*D739, "")</f>
        <v/>
      </c>
      <c r="M739" s="12">
        <f>IFERROR(L739-E739-F739+G739+H739+I739-J739-K739, "")</f>
        <v/>
      </c>
      <c r="N739" s="11">
        <f>IFERROR(_xll.ciqfunctions.udf.CIQ(mh_ticker, "IQ_EBITDA_EST", IQ_NTM, B739, , , "USD"), "")</f>
        <v/>
      </c>
      <c r="O739" s="13">
        <f>IFERROR(M739/N739, "")</f>
        <v/>
      </c>
    </row>
    <row r="740">
      <c r="B740" s="8" t="n"/>
      <c r="C740" s="9">
        <f>IFERROR(_xll.ciqfunctions.udf.CIQ(mh_ticker, "IQ_LASTSALEPRICE", B740), "")</f>
        <v/>
      </c>
      <c r="D740" s="10">
        <f>IFERROR(_xll.ciqfunctions.udf.CIQ(mh_ticker, "IQ_SHARESOUTSTANDING_OUT", B740), "")</f>
        <v/>
      </c>
      <c r="E740" s="11">
        <f>IFERROR(_xll.ciqfunctions.udf.CIQ(mh_ticker, "IQ_CASH_EQUIV", , B740), "")</f>
        <v/>
      </c>
      <c r="F740" s="11">
        <f>IFERROR(_xll.ciqfunctions.udf.CIQ(mh_ticker, "IQ_ST_INVEST", , B740), "")</f>
        <v/>
      </c>
      <c r="G740" s="11">
        <f>IFERROR(_xll.ciqfunctions.udf.CIQ(mh_ticker, "IQ_TOTAL_DEBT_EXCL_OPER_LEASES", , B740), "")</f>
        <v/>
      </c>
      <c r="H740" s="11">
        <f>IFERROR(_xll.ciqfunctions.udf.CIQ(mh_ticker, "IQ_PREF_EQUITY", , B740), "")</f>
        <v/>
      </c>
      <c r="I740" s="11">
        <f>IFERROR(_xll.ciqfunctions.udf.CIQ(mh_ticker, "IQ_MINORITY_INTEREST", , B740), "")</f>
        <v/>
      </c>
      <c r="J740" s="11">
        <f>IFERROR(_xll.ciqfunctions.udf.CIQ(mh_ticker, "IQ_EQUITY_METHOD", , B740), "")</f>
        <v/>
      </c>
      <c r="K740" s="11">
        <f>IFERROR(_xll.ciqfunctions.udf.CIQ(mh_ticker, "IQ_LT_Mark_Securities", , B740), "")</f>
        <v/>
      </c>
      <c r="L740" s="12">
        <f>IFERROR(C740*D740, "")</f>
        <v/>
      </c>
      <c r="M740" s="12">
        <f>IFERROR(L740-E740-F740+G740+H740+I740-J740-K740, "")</f>
        <v/>
      </c>
      <c r="N740" s="11">
        <f>IFERROR(_xll.ciqfunctions.udf.CIQ(mh_ticker, "IQ_EBITDA_EST", IQ_NTM, B740, , , "USD"), "")</f>
        <v/>
      </c>
      <c r="O740" s="13">
        <f>IFERROR(M740/N740, "")</f>
        <v/>
      </c>
    </row>
    <row r="741">
      <c r="B741" s="8" t="n"/>
      <c r="C741" s="9">
        <f>IFERROR(_xll.ciqfunctions.udf.CIQ(mh_ticker, "IQ_LASTSALEPRICE", B741), "")</f>
        <v/>
      </c>
      <c r="D741" s="10">
        <f>IFERROR(_xll.ciqfunctions.udf.CIQ(mh_ticker, "IQ_SHARESOUTSTANDING_OUT", B741), "")</f>
        <v/>
      </c>
      <c r="E741" s="11">
        <f>IFERROR(_xll.ciqfunctions.udf.CIQ(mh_ticker, "IQ_CASH_EQUIV", , B741), "")</f>
        <v/>
      </c>
      <c r="F741" s="11">
        <f>IFERROR(_xll.ciqfunctions.udf.CIQ(mh_ticker, "IQ_ST_INVEST", , B741), "")</f>
        <v/>
      </c>
      <c r="G741" s="11">
        <f>IFERROR(_xll.ciqfunctions.udf.CIQ(mh_ticker, "IQ_TOTAL_DEBT_EXCL_OPER_LEASES", , B741), "")</f>
        <v/>
      </c>
      <c r="H741" s="11">
        <f>IFERROR(_xll.ciqfunctions.udf.CIQ(mh_ticker, "IQ_PREF_EQUITY", , B741), "")</f>
        <v/>
      </c>
      <c r="I741" s="11">
        <f>IFERROR(_xll.ciqfunctions.udf.CIQ(mh_ticker, "IQ_MINORITY_INTEREST", , B741), "")</f>
        <v/>
      </c>
      <c r="J741" s="11">
        <f>IFERROR(_xll.ciqfunctions.udf.CIQ(mh_ticker, "IQ_EQUITY_METHOD", , B741), "")</f>
        <v/>
      </c>
      <c r="K741" s="11">
        <f>IFERROR(_xll.ciqfunctions.udf.CIQ(mh_ticker, "IQ_LT_Mark_Securities", , B741), "")</f>
        <v/>
      </c>
      <c r="L741" s="12">
        <f>IFERROR(C741*D741, "")</f>
        <v/>
      </c>
      <c r="M741" s="12">
        <f>IFERROR(L741-E741-F741+G741+H741+I741-J741-K741, "")</f>
        <v/>
      </c>
      <c r="N741" s="11">
        <f>IFERROR(_xll.ciqfunctions.udf.CIQ(mh_ticker, "IQ_EBITDA_EST", IQ_NTM, B741, , , "USD"), "")</f>
        <v/>
      </c>
      <c r="O741" s="13">
        <f>IFERROR(M741/N741, "")</f>
        <v/>
      </c>
    </row>
    <row r="742">
      <c r="B742" s="8" t="n"/>
      <c r="C742" s="9">
        <f>IFERROR(_xll.ciqfunctions.udf.CIQ(mh_ticker, "IQ_LASTSALEPRICE", B742), "")</f>
        <v/>
      </c>
      <c r="D742" s="10">
        <f>IFERROR(_xll.ciqfunctions.udf.CIQ(mh_ticker, "IQ_SHARESOUTSTANDING_OUT", B742), "")</f>
        <v/>
      </c>
      <c r="E742" s="11">
        <f>IFERROR(_xll.ciqfunctions.udf.CIQ(mh_ticker, "IQ_CASH_EQUIV", , B742), "")</f>
        <v/>
      </c>
      <c r="F742" s="11">
        <f>IFERROR(_xll.ciqfunctions.udf.CIQ(mh_ticker, "IQ_ST_INVEST", , B742), "")</f>
        <v/>
      </c>
      <c r="G742" s="11">
        <f>IFERROR(_xll.ciqfunctions.udf.CIQ(mh_ticker, "IQ_TOTAL_DEBT_EXCL_OPER_LEASES", , B742), "")</f>
        <v/>
      </c>
      <c r="H742" s="11">
        <f>IFERROR(_xll.ciqfunctions.udf.CIQ(mh_ticker, "IQ_PREF_EQUITY", , B742), "")</f>
        <v/>
      </c>
      <c r="I742" s="11">
        <f>IFERROR(_xll.ciqfunctions.udf.CIQ(mh_ticker, "IQ_MINORITY_INTEREST", , B742), "")</f>
        <v/>
      </c>
      <c r="J742" s="11">
        <f>IFERROR(_xll.ciqfunctions.udf.CIQ(mh_ticker, "IQ_EQUITY_METHOD", , B742), "")</f>
        <v/>
      </c>
      <c r="K742" s="11">
        <f>IFERROR(_xll.ciqfunctions.udf.CIQ(mh_ticker, "IQ_LT_Mark_Securities", , B742), "")</f>
        <v/>
      </c>
      <c r="L742" s="12">
        <f>IFERROR(C742*D742, "")</f>
        <v/>
      </c>
      <c r="M742" s="12">
        <f>IFERROR(L742-E742-F742+G742+H742+I742-J742-K742, "")</f>
        <v/>
      </c>
      <c r="N742" s="11">
        <f>IFERROR(_xll.ciqfunctions.udf.CIQ(mh_ticker, "IQ_EBITDA_EST", IQ_NTM, B742, , , "USD"), "")</f>
        <v/>
      </c>
      <c r="O742" s="13">
        <f>IFERROR(M742/N742, "")</f>
        <v/>
      </c>
    </row>
    <row r="743">
      <c r="B743" s="8" t="n"/>
      <c r="C743" s="9">
        <f>IFERROR(_xll.ciqfunctions.udf.CIQ(mh_ticker, "IQ_LASTSALEPRICE", B743), "")</f>
        <v/>
      </c>
      <c r="D743" s="10">
        <f>IFERROR(_xll.ciqfunctions.udf.CIQ(mh_ticker, "IQ_SHARESOUTSTANDING_OUT", B743), "")</f>
        <v/>
      </c>
      <c r="E743" s="11">
        <f>IFERROR(_xll.ciqfunctions.udf.CIQ(mh_ticker, "IQ_CASH_EQUIV", , B743), "")</f>
        <v/>
      </c>
      <c r="F743" s="11">
        <f>IFERROR(_xll.ciqfunctions.udf.CIQ(mh_ticker, "IQ_ST_INVEST", , B743), "")</f>
        <v/>
      </c>
      <c r="G743" s="11">
        <f>IFERROR(_xll.ciqfunctions.udf.CIQ(mh_ticker, "IQ_TOTAL_DEBT_EXCL_OPER_LEASES", , B743), "")</f>
        <v/>
      </c>
      <c r="H743" s="11">
        <f>IFERROR(_xll.ciqfunctions.udf.CIQ(mh_ticker, "IQ_PREF_EQUITY", , B743), "")</f>
        <v/>
      </c>
      <c r="I743" s="11">
        <f>IFERROR(_xll.ciqfunctions.udf.CIQ(mh_ticker, "IQ_MINORITY_INTEREST", , B743), "")</f>
        <v/>
      </c>
      <c r="J743" s="11">
        <f>IFERROR(_xll.ciqfunctions.udf.CIQ(mh_ticker, "IQ_EQUITY_METHOD", , B743), "")</f>
        <v/>
      </c>
      <c r="K743" s="11">
        <f>IFERROR(_xll.ciqfunctions.udf.CIQ(mh_ticker, "IQ_LT_Mark_Securities", , B743), "")</f>
        <v/>
      </c>
      <c r="L743" s="12">
        <f>IFERROR(C743*D743, "")</f>
        <v/>
      </c>
      <c r="M743" s="12">
        <f>IFERROR(L743-E743-F743+G743+H743+I743-J743-K743, "")</f>
        <v/>
      </c>
      <c r="N743" s="11">
        <f>IFERROR(_xll.ciqfunctions.udf.CIQ(mh_ticker, "IQ_EBITDA_EST", IQ_NTM, B743, , , "USD"), "")</f>
        <v/>
      </c>
      <c r="O743" s="13">
        <f>IFERROR(M743/N743, "")</f>
        <v/>
      </c>
    </row>
    <row r="744">
      <c r="B744" s="8" t="n"/>
      <c r="C744" s="9">
        <f>IFERROR(_xll.ciqfunctions.udf.CIQ(mh_ticker, "IQ_LASTSALEPRICE", B744), "")</f>
        <v/>
      </c>
      <c r="D744" s="10">
        <f>IFERROR(_xll.ciqfunctions.udf.CIQ(mh_ticker, "IQ_SHARESOUTSTANDING_OUT", B744), "")</f>
        <v/>
      </c>
      <c r="E744" s="11">
        <f>IFERROR(_xll.ciqfunctions.udf.CIQ(mh_ticker, "IQ_CASH_EQUIV", , B744), "")</f>
        <v/>
      </c>
      <c r="F744" s="11">
        <f>IFERROR(_xll.ciqfunctions.udf.CIQ(mh_ticker, "IQ_ST_INVEST", , B744), "")</f>
        <v/>
      </c>
      <c r="G744" s="11">
        <f>IFERROR(_xll.ciqfunctions.udf.CIQ(mh_ticker, "IQ_TOTAL_DEBT_EXCL_OPER_LEASES", , B744), "")</f>
        <v/>
      </c>
      <c r="H744" s="11">
        <f>IFERROR(_xll.ciqfunctions.udf.CIQ(mh_ticker, "IQ_PREF_EQUITY", , B744), "")</f>
        <v/>
      </c>
      <c r="I744" s="11">
        <f>IFERROR(_xll.ciqfunctions.udf.CIQ(mh_ticker, "IQ_MINORITY_INTEREST", , B744), "")</f>
        <v/>
      </c>
      <c r="J744" s="11">
        <f>IFERROR(_xll.ciqfunctions.udf.CIQ(mh_ticker, "IQ_EQUITY_METHOD", , B744), "")</f>
        <v/>
      </c>
      <c r="K744" s="11">
        <f>IFERROR(_xll.ciqfunctions.udf.CIQ(mh_ticker, "IQ_LT_Mark_Securities", , B744), "")</f>
        <v/>
      </c>
      <c r="L744" s="12">
        <f>IFERROR(C744*D744, "")</f>
        <v/>
      </c>
      <c r="M744" s="12">
        <f>IFERROR(L744-E744-F744+G744+H744+I744-J744-K744, "")</f>
        <v/>
      </c>
      <c r="N744" s="11">
        <f>IFERROR(_xll.ciqfunctions.udf.CIQ(mh_ticker, "IQ_EBITDA_EST", IQ_NTM, B744, , , "USD"), "")</f>
        <v/>
      </c>
      <c r="O744" s="13">
        <f>IFERROR(M744/N744, "")</f>
        <v/>
      </c>
    </row>
    <row r="745">
      <c r="B745" s="8" t="n"/>
      <c r="C745" s="9">
        <f>IFERROR(_xll.ciqfunctions.udf.CIQ(mh_ticker, "IQ_LASTSALEPRICE", B745), "")</f>
        <v/>
      </c>
      <c r="D745" s="10">
        <f>IFERROR(_xll.ciqfunctions.udf.CIQ(mh_ticker, "IQ_SHARESOUTSTANDING_OUT", B745), "")</f>
        <v/>
      </c>
      <c r="E745" s="11">
        <f>IFERROR(_xll.ciqfunctions.udf.CIQ(mh_ticker, "IQ_CASH_EQUIV", , B745), "")</f>
        <v/>
      </c>
      <c r="F745" s="11">
        <f>IFERROR(_xll.ciqfunctions.udf.CIQ(mh_ticker, "IQ_ST_INVEST", , B745), "")</f>
        <v/>
      </c>
      <c r="G745" s="11">
        <f>IFERROR(_xll.ciqfunctions.udf.CIQ(mh_ticker, "IQ_TOTAL_DEBT_EXCL_OPER_LEASES", , B745), "")</f>
        <v/>
      </c>
      <c r="H745" s="11">
        <f>IFERROR(_xll.ciqfunctions.udf.CIQ(mh_ticker, "IQ_PREF_EQUITY", , B745), "")</f>
        <v/>
      </c>
      <c r="I745" s="11">
        <f>IFERROR(_xll.ciqfunctions.udf.CIQ(mh_ticker, "IQ_MINORITY_INTEREST", , B745), "")</f>
        <v/>
      </c>
      <c r="J745" s="11">
        <f>IFERROR(_xll.ciqfunctions.udf.CIQ(mh_ticker, "IQ_EQUITY_METHOD", , B745), "")</f>
        <v/>
      </c>
      <c r="K745" s="11">
        <f>IFERROR(_xll.ciqfunctions.udf.CIQ(mh_ticker, "IQ_LT_Mark_Securities", , B745), "")</f>
        <v/>
      </c>
      <c r="L745" s="12">
        <f>IFERROR(C745*D745, "")</f>
        <v/>
      </c>
      <c r="M745" s="12">
        <f>IFERROR(L745-E745-F745+G745+H745+I745-J745-K745, "")</f>
        <v/>
      </c>
      <c r="N745" s="11">
        <f>IFERROR(_xll.ciqfunctions.udf.CIQ(mh_ticker, "IQ_EBITDA_EST", IQ_NTM, B745, , , "USD"), "")</f>
        <v/>
      </c>
      <c r="O745" s="13">
        <f>IFERROR(M745/N745, "")</f>
        <v/>
      </c>
    </row>
    <row r="746">
      <c r="B746" s="8" t="n"/>
      <c r="C746" s="9">
        <f>IFERROR(_xll.ciqfunctions.udf.CIQ(mh_ticker, "IQ_LASTSALEPRICE", B746), "")</f>
        <v/>
      </c>
      <c r="D746" s="10">
        <f>IFERROR(_xll.ciqfunctions.udf.CIQ(mh_ticker, "IQ_SHARESOUTSTANDING_OUT", B746), "")</f>
        <v/>
      </c>
      <c r="E746" s="11">
        <f>IFERROR(_xll.ciqfunctions.udf.CIQ(mh_ticker, "IQ_CASH_EQUIV", , B746), "")</f>
        <v/>
      </c>
      <c r="F746" s="11">
        <f>IFERROR(_xll.ciqfunctions.udf.CIQ(mh_ticker, "IQ_ST_INVEST", , B746), "")</f>
        <v/>
      </c>
      <c r="G746" s="11">
        <f>IFERROR(_xll.ciqfunctions.udf.CIQ(mh_ticker, "IQ_TOTAL_DEBT_EXCL_OPER_LEASES", , B746), "")</f>
        <v/>
      </c>
      <c r="H746" s="11">
        <f>IFERROR(_xll.ciqfunctions.udf.CIQ(mh_ticker, "IQ_PREF_EQUITY", , B746), "")</f>
        <v/>
      </c>
      <c r="I746" s="11">
        <f>IFERROR(_xll.ciqfunctions.udf.CIQ(mh_ticker, "IQ_MINORITY_INTEREST", , B746), "")</f>
        <v/>
      </c>
      <c r="J746" s="11">
        <f>IFERROR(_xll.ciqfunctions.udf.CIQ(mh_ticker, "IQ_EQUITY_METHOD", , B746), "")</f>
        <v/>
      </c>
      <c r="K746" s="11">
        <f>IFERROR(_xll.ciqfunctions.udf.CIQ(mh_ticker, "IQ_LT_Mark_Securities", , B746), "")</f>
        <v/>
      </c>
      <c r="L746" s="12">
        <f>IFERROR(C746*D746, "")</f>
        <v/>
      </c>
      <c r="M746" s="12">
        <f>IFERROR(L746-E746-F746+G746+H746+I746-J746-K746, "")</f>
        <v/>
      </c>
      <c r="N746" s="11">
        <f>IFERROR(_xll.ciqfunctions.udf.CIQ(mh_ticker, "IQ_EBITDA_EST", IQ_NTM, B746, , , "USD"), "")</f>
        <v/>
      </c>
      <c r="O746" s="13">
        <f>IFERROR(M746/N746, "")</f>
        <v/>
      </c>
    </row>
    <row r="747">
      <c r="B747" s="8" t="n"/>
      <c r="C747" s="9">
        <f>IFERROR(_xll.ciqfunctions.udf.CIQ(mh_ticker, "IQ_LASTSALEPRICE", B747), "")</f>
        <v/>
      </c>
      <c r="D747" s="10">
        <f>IFERROR(_xll.ciqfunctions.udf.CIQ(mh_ticker, "IQ_SHARESOUTSTANDING_OUT", B747), "")</f>
        <v/>
      </c>
      <c r="E747" s="11">
        <f>IFERROR(_xll.ciqfunctions.udf.CIQ(mh_ticker, "IQ_CASH_EQUIV", , B747), "")</f>
        <v/>
      </c>
      <c r="F747" s="11">
        <f>IFERROR(_xll.ciqfunctions.udf.CIQ(mh_ticker, "IQ_ST_INVEST", , B747), "")</f>
        <v/>
      </c>
      <c r="G747" s="11">
        <f>IFERROR(_xll.ciqfunctions.udf.CIQ(mh_ticker, "IQ_TOTAL_DEBT_EXCL_OPER_LEASES", , B747), "")</f>
        <v/>
      </c>
      <c r="H747" s="11">
        <f>IFERROR(_xll.ciqfunctions.udf.CIQ(mh_ticker, "IQ_PREF_EQUITY", , B747), "")</f>
        <v/>
      </c>
      <c r="I747" s="11">
        <f>IFERROR(_xll.ciqfunctions.udf.CIQ(mh_ticker, "IQ_MINORITY_INTEREST", , B747), "")</f>
        <v/>
      </c>
      <c r="J747" s="11">
        <f>IFERROR(_xll.ciqfunctions.udf.CIQ(mh_ticker, "IQ_EQUITY_METHOD", , B747), "")</f>
        <v/>
      </c>
      <c r="K747" s="11">
        <f>IFERROR(_xll.ciqfunctions.udf.CIQ(mh_ticker, "IQ_LT_Mark_Securities", , B747), "")</f>
        <v/>
      </c>
      <c r="L747" s="12">
        <f>IFERROR(C747*D747, "")</f>
        <v/>
      </c>
      <c r="M747" s="12">
        <f>IFERROR(L747-E747-F747+G747+H747+I747-J747-K747, "")</f>
        <v/>
      </c>
      <c r="N747" s="11">
        <f>IFERROR(_xll.ciqfunctions.udf.CIQ(mh_ticker, "IQ_EBITDA_EST", IQ_NTM, B747, , , "USD"), "")</f>
        <v/>
      </c>
      <c r="O747" s="13">
        <f>IFERROR(M747/N747, "")</f>
        <v/>
      </c>
    </row>
    <row r="748">
      <c r="B748" s="8" t="n"/>
      <c r="C748" s="9">
        <f>IFERROR(_xll.ciqfunctions.udf.CIQ(mh_ticker, "IQ_LASTSALEPRICE", B748), "")</f>
        <v/>
      </c>
      <c r="D748" s="10">
        <f>IFERROR(_xll.ciqfunctions.udf.CIQ(mh_ticker, "IQ_SHARESOUTSTANDING_OUT", B748), "")</f>
        <v/>
      </c>
      <c r="E748" s="11">
        <f>IFERROR(_xll.ciqfunctions.udf.CIQ(mh_ticker, "IQ_CASH_EQUIV", , B748), "")</f>
        <v/>
      </c>
      <c r="F748" s="11">
        <f>IFERROR(_xll.ciqfunctions.udf.CIQ(mh_ticker, "IQ_ST_INVEST", , B748), "")</f>
        <v/>
      </c>
      <c r="G748" s="11">
        <f>IFERROR(_xll.ciqfunctions.udf.CIQ(mh_ticker, "IQ_TOTAL_DEBT_EXCL_OPER_LEASES", , B748), "")</f>
        <v/>
      </c>
      <c r="H748" s="11">
        <f>IFERROR(_xll.ciqfunctions.udf.CIQ(mh_ticker, "IQ_PREF_EQUITY", , B748), "")</f>
        <v/>
      </c>
      <c r="I748" s="11">
        <f>IFERROR(_xll.ciqfunctions.udf.CIQ(mh_ticker, "IQ_MINORITY_INTEREST", , B748), "")</f>
        <v/>
      </c>
      <c r="J748" s="11">
        <f>IFERROR(_xll.ciqfunctions.udf.CIQ(mh_ticker, "IQ_EQUITY_METHOD", , B748), "")</f>
        <v/>
      </c>
      <c r="K748" s="11">
        <f>IFERROR(_xll.ciqfunctions.udf.CIQ(mh_ticker, "IQ_LT_Mark_Securities", , B748), "")</f>
        <v/>
      </c>
      <c r="L748" s="12">
        <f>IFERROR(C748*D748, "")</f>
        <v/>
      </c>
      <c r="M748" s="12">
        <f>IFERROR(L748-E748-F748+G748+H748+I748-J748-K748, "")</f>
        <v/>
      </c>
      <c r="N748" s="11">
        <f>IFERROR(_xll.ciqfunctions.udf.CIQ(mh_ticker, "IQ_EBITDA_EST", IQ_NTM, B748, , , "USD"), "")</f>
        <v/>
      </c>
      <c r="O748" s="13">
        <f>IFERROR(M748/N748, "")</f>
        <v/>
      </c>
    </row>
    <row r="749">
      <c r="B749" s="8" t="n"/>
      <c r="C749" s="9">
        <f>IFERROR(_xll.ciqfunctions.udf.CIQ(mh_ticker, "IQ_LASTSALEPRICE", B749), "")</f>
        <v/>
      </c>
      <c r="D749" s="10">
        <f>IFERROR(_xll.ciqfunctions.udf.CIQ(mh_ticker, "IQ_SHARESOUTSTANDING_OUT", B749), "")</f>
        <v/>
      </c>
      <c r="E749" s="11">
        <f>IFERROR(_xll.ciqfunctions.udf.CIQ(mh_ticker, "IQ_CASH_EQUIV", , B749), "")</f>
        <v/>
      </c>
      <c r="F749" s="11">
        <f>IFERROR(_xll.ciqfunctions.udf.CIQ(mh_ticker, "IQ_ST_INVEST", , B749), "")</f>
        <v/>
      </c>
      <c r="G749" s="11">
        <f>IFERROR(_xll.ciqfunctions.udf.CIQ(mh_ticker, "IQ_TOTAL_DEBT_EXCL_OPER_LEASES", , B749), "")</f>
        <v/>
      </c>
      <c r="H749" s="11">
        <f>IFERROR(_xll.ciqfunctions.udf.CIQ(mh_ticker, "IQ_PREF_EQUITY", , B749), "")</f>
        <v/>
      </c>
      <c r="I749" s="11">
        <f>IFERROR(_xll.ciqfunctions.udf.CIQ(mh_ticker, "IQ_MINORITY_INTEREST", , B749), "")</f>
        <v/>
      </c>
      <c r="J749" s="11">
        <f>IFERROR(_xll.ciqfunctions.udf.CIQ(mh_ticker, "IQ_EQUITY_METHOD", , B749), "")</f>
        <v/>
      </c>
      <c r="K749" s="11">
        <f>IFERROR(_xll.ciqfunctions.udf.CIQ(mh_ticker, "IQ_LT_Mark_Securities", , B749), "")</f>
        <v/>
      </c>
      <c r="L749" s="12">
        <f>IFERROR(C749*D749, "")</f>
        <v/>
      </c>
      <c r="M749" s="12">
        <f>IFERROR(L749-E749-F749+G749+H749+I749-J749-K749, "")</f>
        <v/>
      </c>
      <c r="N749" s="11">
        <f>IFERROR(_xll.ciqfunctions.udf.CIQ(mh_ticker, "IQ_EBITDA_EST", IQ_NTM, B749, , , "USD"), "")</f>
        <v/>
      </c>
      <c r="O749" s="13">
        <f>IFERROR(M749/N749, "")</f>
        <v/>
      </c>
    </row>
    <row r="750">
      <c r="B750" s="8" t="n"/>
      <c r="C750" s="9">
        <f>IFERROR(_xll.ciqfunctions.udf.CIQ(mh_ticker, "IQ_LASTSALEPRICE", B750), "")</f>
        <v/>
      </c>
      <c r="D750" s="10">
        <f>IFERROR(_xll.ciqfunctions.udf.CIQ(mh_ticker, "IQ_SHARESOUTSTANDING_OUT", B750), "")</f>
        <v/>
      </c>
      <c r="E750" s="11">
        <f>IFERROR(_xll.ciqfunctions.udf.CIQ(mh_ticker, "IQ_CASH_EQUIV", , B750), "")</f>
        <v/>
      </c>
      <c r="F750" s="11">
        <f>IFERROR(_xll.ciqfunctions.udf.CIQ(mh_ticker, "IQ_ST_INVEST", , B750), "")</f>
        <v/>
      </c>
      <c r="G750" s="11">
        <f>IFERROR(_xll.ciqfunctions.udf.CIQ(mh_ticker, "IQ_TOTAL_DEBT_EXCL_OPER_LEASES", , B750), "")</f>
        <v/>
      </c>
      <c r="H750" s="11">
        <f>IFERROR(_xll.ciqfunctions.udf.CIQ(mh_ticker, "IQ_PREF_EQUITY", , B750), "")</f>
        <v/>
      </c>
      <c r="I750" s="11">
        <f>IFERROR(_xll.ciqfunctions.udf.CIQ(mh_ticker, "IQ_MINORITY_INTEREST", , B750), "")</f>
        <v/>
      </c>
      <c r="J750" s="11">
        <f>IFERROR(_xll.ciqfunctions.udf.CIQ(mh_ticker, "IQ_EQUITY_METHOD", , B750), "")</f>
        <v/>
      </c>
      <c r="K750" s="11">
        <f>IFERROR(_xll.ciqfunctions.udf.CIQ(mh_ticker, "IQ_LT_Mark_Securities", , B750), "")</f>
        <v/>
      </c>
      <c r="L750" s="12">
        <f>IFERROR(C750*D750, "")</f>
        <v/>
      </c>
      <c r="M750" s="12">
        <f>IFERROR(L750-E750-F750+G750+H750+I750-J750-K750, "")</f>
        <v/>
      </c>
      <c r="N750" s="11">
        <f>IFERROR(_xll.ciqfunctions.udf.CIQ(mh_ticker, "IQ_EBITDA_EST", IQ_NTM, B750, , , "USD"), "")</f>
        <v/>
      </c>
      <c r="O750" s="13">
        <f>IFERROR(M750/N750, "")</f>
        <v/>
      </c>
    </row>
    <row r="751">
      <c r="B751" s="8" t="n"/>
      <c r="C751" s="9">
        <f>IFERROR(_xll.ciqfunctions.udf.CIQ(mh_ticker, "IQ_LASTSALEPRICE", B751), "")</f>
        <v/>
      </c>
      <c r="D751" s="10">
        <f>IFERROR(_xll.ciqfunctions.udf.CIQ(mh_ticker, "IQ_SHARESOUTSTANDING_OUT", B751), "")</f>
        <v/>
      </c>
      <c r="E751" s="11">
        <f>IFERROR(_xll.ciqfunctions.udf.CIQ(mh_ticker, "IQ_CASH_EQUIV", , B751), "")</f>
        <v/>
      </c>
      <c r="F751" s="11">
        <f>IFERROR(_xll.ciqfunctions.udf.CIQ(mh_ticker, "IQ_ST_INVEST", , B751), "")</f>
        <v/>
      </c>
      <c r="G751" s="11">
        <f>IFERROR(_xll.ciqfunctions.udf.CIQ(mh_ticker, "IQ_TOTAL_DEBT_EXCL_OPER_LEASES", , B751), "")</f>
        <v/>
      </c>
      <c r="H751" s="11">
        <f>IFERROR(_xll.ciqfunctions.udf.CIQ(mh_ticker, "IQ_PREF_EQUITY", , B751), "")</f>
        <v/>
      </c>
      <c r="I751" s="11">
        <f>IFERROR(_xll.ciqfunctions.udf.CIQ(mh_ticker, "IQ_MINORITY_INTEREST", , B751), "")</f>
        <v/>
      </c>
      <c r="J751" s="11">
        <f>IFERROR(_xll.ciqfunctions.udf.CIQ(mh_ticker, "IQ_EQUITY_METHOD", , B751), "")</f>
        <v/>
      </c>
      <c r="K751" s="11">
        <f>IFERROR(_xll.ciqfunctions.udf.CIQ(mh_ticker, "IQ_LT_Mark_Securities", , B751), "")</f>
        <v/>
      </c>
      <c r="L751" s="12">
        <f>IFERROR(C751*D751, "")</f>
        <v/>
      </c>
      <c r="M751" s="12">
        <f>IFERROR(L751-E751-F751+G751+H751+I751-J751-K751, "")</f>
        <v/>
      </c>
      <c r="N751" s="11">
        <f>IFERROR(_xll.ciqfunctions.udf.CIQ(mh_ticker, "IQ_EBITDA_EST", IQ_NTM, B751, , , "USD"), "")</f>
        <v/>
      </c>
      <c r="O751" s="13">
        <f>IFERROR(M751/N751, "")</f>
        <v/>
      </c>
    </row>
    <row r="752">
      <c r="B752" s="8" t="n"/>
      <c r="C752" s="9">
        <f>IFERROR(_xll.ciqfunctions.udf.CIQ(mh_ticker, "IQ_LASTSALEPRICE", B752), "")</f>
        <v/>
      </c>
      <c r="D752" s="10">
        <f>IFERROR(_xll.ciqfunctions.udf.CIQ(mh_ticker, "IQ_SHARESOUTSTANDING_OUT", B752), "")</f>
        <v/>
      </c>
      <c r="E752" s="11">
        <f>IFERROR(_xll.ciqfunctions.udf.CIQ(mh_ticker, "IQ_CASH_EQUIV", , B752), "")</f>
        <v/>
      </c>
      <c r="F752" s="11">
        <f>IFERROR(_xll.ciqfunctions.udf.CIQ(mh_ticker, "IQ_ST_INVEST", , B752), "")</f>
        <v/>
      </c>
      <c r="G752" s="11">
        <f>IFERROR(_xll.ciqfunctions.udf.CIQ(mh_ticker, "IQ_TOTAL_DEBT_EXCL_OPER_LEASES", , B752), "")</f>
        <v/>
      </c>
      <c r="H752" s="11">
        <f>IFERROR(_xll.ciqfunctions.udf.CIQ(mh_ticker, "IQ_PREF_EQUITY", , B752), "")</f>
        <v/>
      </c>
      <c r="I752" s="11">
        <f>IFERROR(_xll.ciqfunctions.udf.CIQ(mh_ticker, "IQ_MINORITY_INTEREST", , B752), "")</f>
        <v/>
      </c>
      <c r="J752" s="11">
        <f>IFERROR(_xll.ciqfunctions.udf.CIQ(mh_ticker, "IQ_EQUITY_METHOD", , B752), "")</f>
        <v/>
      </c>
      <c r="K752" s="11">
        <f>IFERROR(_xll.ciqfunctions.udf.CIQ(mh_ticker, "IQ_LT_Mark_Securities", , B752), "")</f>
        <v/>
      </c>
      <c r="L752" s="12">
        <f>IFERROR(C752*D752, "")</f>
        <v/>
      </c>
      <c r="M752" s="12">
        <f>IFERROR(L752-E752-F752+G752+H752+I752-J752-K752, "")</f>
        <v/>
      </c>
      <c r="N752" s="11">
        <f>IFERROR(_xll.ciqfunctions.udf.CIQ(mh_ticker, "IQ_EBITDA_EST", IQ_NTM, B752, , , "USD"), "")</f>
        <v/>
      </c>
      <c r="O752" s="13">
        <f>IFERROR(M752/N752, "")</f>
        <v/>
      </c>
    </row>
    <row r="753">
      <c r="B753" s="8" t="n"/>
      <c r="C753" s="9">
        <f>IFERROR(_xll.ciqfunctions.udf.CIQ(mh_ticker, "IQ_LASTSALEPRICE", B753), "")</f>
        <v/>
      </c>
      <c r="D753" s="10">
        <f>IFERROR(_xll.ciqfunctions.udf.CIQ(mh_ticker, "IQ_SHARESOUTSTANDING_OUT", B753), "")</f>
        <v/>
      </c>
      <c r="E753" s="11">
        <f>IFERROR(_xll.ciqfunctions.udf.CIQ(mh_ticker, "IQ_CASH_EQUIV", , B753), "")</f>
        <v/>
      </c>
      <c r="F753" s="11">
        <f>IFERROR(_xll.ciqfunctions.udf.CIQ(mh_ticker, "IQ_ST_INVEST", , B753), "")</f>
        <v/>
      </c>
      <c r="G753" s="11">
        <f>IFERROR(_xll.ciqfunctions.udf.CIQ(mh_ticker, "IQ_TOTAL_DEBT_EXCL_OPER_LEASES", , B753), "")</f>
        <v/>
      </c>
      <c r="H753" s="11">
        <f>IFERROR(_xll.ciqfunctions.udf.CIQ(mh_ticker, "IQ_PREF_EQUITY", , B753), "")</f>
        <v/>
      </c>
      <c r="I753" s="11">
        <f>IFERROR(_xll.ciqfunctions.udf.CIQ(mh_ticker, "IQ_MINORITY_INTEREST", , B753), "")</f>
        <v/>
      </c>
      <c r="J753" s="11">
        <f>IFERROR(_xll.ciqfunctions.udf.CIQ(mh_ticker, "IQ_EQUITY_METHOD", , B753), "")</f>
        <v/>
      </c>
      <c r="K753" s="11">
        <f>IFERROR(_xll.ciqfunctions.udf.CIQ(mh_ticker, "IQ_LT_Mark_Securities", , B753), "")</f>
        <v/>
      </c>
      <c r="L753" s="12">
        <f>IFERROR(C753*D753, "")</f>
        <v/>
      </c>
      <c r="M753" s="12">
        <f>IFERROR(L753-E753-F753+G753+H753+I753-J753-K753, "")</f>
        <v/>
      </c>
      <c r="N753" s="11">
        <f>IFERROR(_xll.ciqfunctions.udf.CIQ(mh_ticker, "IQ_EBITDA_EST", IQ_NTM, B753, , , "USD"), "")</f>
        <v/>
      </c>
      <c r="O753" s="13">
        <f>IFERROR(M753/N753, "")</f>
        <v/>
      </c>
    </row>
    <row r="754">
      <c r="B754" s="8" t="n"/>
      <c r="C754" s="9">
        <f>IFERROR(_xll.ciqfunctions.udf.CIQ(mh_ticker, "IQ_LASTSALEPRICE", B754), "")</f>
        <v/>
      </c>
      <c r="D754" s="10">
        <f>IFERROR(_xll.ciqfunctions.udf.CIQ(mh_ticker, "IQ_SHARESOUTSTANDING_OUT", B754), "")</f>
        <v/>
      </c>
      <c r="E754" s="11">
        <f>IFERROR(_xll.ciqfunctions.udf.CIQ(mh_ticker, "IQ_CASH_EQUIV", , B754), "")</f>
        <v/>
      </c>
      <c r="F754" s="11">
        <f>IFERROR(_xll.ciqfunctions.udf.CIQ(mh_ticker, "IQ_ST_INVEST", , B754), "")</f>
        <v/>
      </c>
      <c r="G754" s="11">
        <f>IFERROR(_xll.ciqfunctions.udf.CIQ(mh_ticker, "IQ_TOTAL_DEBT_EXCL_OPER_LEASES", , B754), "")</f>
        <v/>
      </c>
      <c r="H754" s="11">
        <f>IFERROR(_xll.ciqfunctions.udf.CIQ(mh_ticker, "IQ_PREF_EQUITY", , B754), "")</f>
        <v/>
      </c>
      <c r="I754" s="11">
        <f>IFERROR(_xll.ciqfunctions.udf.CIQ(mh_ticker, "IQ_MINORITY_INTEREST", , B754), "")</f>
        <v/>
      </c>
      <c r="J754" s="11">
        <f>IFERROR(_xll.ciqfunctions.udf.CIQ(mh_ticker, "IQ_EQUITY_METHOD", , B754), "")</f>
        <v/>
      </c>
      <c r="K754" s="11">
        <f>IFERROR(_xll.ciqfunctions.udf.CIQ(mh_ticker, "IQ_LT_Mark_Securities", , B754), "")</f>
        <v/>
      </c>
      <c r="L754" s="12">
        <f>IFERROR(C754*D754, "")</f>
        <v/>
      </c>
      <c r="M754" s="12">
        <f>IFERROR(L754-E754-F754+G754+H754+I754-J754-K754, "")</f>
        <v/>
      </c>
      <c r="N754" s="11">
        <f>IFERROR(_xll.ciqfunctions.udf.CIQ(mh_ticker, "IQ_EBITDA_EST", IQ_NTM, B754, , , "USD"), "")</f>
        <v/>
      </c>
      <c r="O754" s="13">
        <f>IFERROR(M754/N754, "")</f>
        <v/>
      </c>
    </row>
    <row r="755">
      <c r="B755" s="8" t="n"/>
      <c r="C755" s="9">
        <f>IFERROR(_xll.ciqfunctions.udf.CIQ(mh_ticker, "IQ_LASTSALEPRICE", B755), "")</f>
        <v/>
      </c>
      <c r="D755" s="10">
        <f>IFERROR(_xll.ciqfunctions.udf.CIQ(mh_ticker, "IQ_SHARESOUTSTANDING_OUT", B755), "")</f>
        <v/>
      </c>
      <c r="E755" s="11">
        <f>IFERROR(_xll.ciqfunctions.udf.CIQ(mh_ticker, "IQ_CASH_EQUIV", , B755), "")</f>
        <v/>
      </c>
      <c r="F755" s="11">
        <f>IFERROR(_xll.ciqfunctions.udf.CIQ(mh_ticker, "IQ_ST_INVEST", , B755), "")</f>
        <v/>
      </c>
      <c r="G755" s="11">
        <f>IFERROR(_xll.ciqfunctions.udf.CIQ(mh_ticker, "IQ_TOTAL_DEBT_EXCL_OPER_LEASES", , B755), "")</f>
        <v/>
      </c>
      <c r="H755" s="11">
        <f>IFERROR(_xll.ciqfunctions.udf.CIQ(mh_ticker, "IQ_PREF_EQUITY", , B755), "")</f>
        <v/>
      </c>
      <c r="I755" s="11">
        <f>IFERROR(_xll.ciqfunctions.udf.CIQ(mh_ticker, "IQ_MINORITY_INTEREST", , B755), "")</f>
        <v/>
      </c>
      <c r="J755" s="11">
        <f>IFERROR(_xll.ciqfunctions.udf.CIQ(mh_ticker, "IQ_EQUITY_METHOD", , B755), "")</f>
        <v/>
      </c>
      <c r="K755" s="11">
        <f>IFERROR(_xll.ciqfunctions.udf.CIQ(mh_ticker, "IQ_LT_Mark_Securities", , B755), "")</f>
        <v/>
      </c>
      <c r="L755" s="12">
        <f>IFERROR(C755*D755, "")</f>
        <v/>
      </c>
      <c r="M755" s="12">
        <f>IFERROR(L755-E755-F755+G755+H755+I755-J755-K755, "")</f>
        <v/>
      </c>
      <c r="N755" s="11">
        <f>IFERROR(_xll.ciqfunctions.udf.CIQ(mh_ticker, "IQ_EBITDA_EST", IQ_NTM, B755, , , "USD"), "")</f>
        <v/>
      </c>
      <c r="O755" s="13">
        <f>IFERROR(M755/N755, "")</f>
        <v/>
      </c>
    </row>
    <row r="756">
      <c r="B756" s="8" t="n"/>
      <c r="C756" s="9">
        <f>IFERROR(_xll.ciqfunctions.udf.CIQ(mh_ticker, "IQ_LASTSALEPRICE", B756), "")</f>
        <v/>
      </c>
      <c r="D756" s="10">
        <f>IFERROR(_xll.ciqfunctions.udf.CIQ(mh_ticker, "IQ_SHARESOUTSTANDING_OUT", B756), "")</f>
        <v/>
      </c>
      <c r="E756" s="11">
        <f>IFERROR(_xll.ciqfunctions.udf.CIQ(mh_ticker, "IQ_CASH_EQUIV", , B756), "")</f>
        <v/>
      </c>
      <c r="F756" s="11">
        <f>IFERROR(_xll.ciqfunctions.udf.CIQ(mh_ticker, "IQ_ST_INVEST", , B756), "")</f>
        <v/>
      </c>
      <c r="G756" s="11">
        <f>IFERROR(_xll.ciqfunctions.udf.CIQ(mh_ticker, "IQ_TOTAL_DEBT_EXCL_OPER_LEASES", , B756), "")</f>
        <v/>
      </c>
      <c r="H756" s="11">
        <f>IFERROR(_xll.ciqfunctions.udf.CIQ(mh_ticker, "IQ_PREF_EQUITY", , B756), "")</f>
        <v/>
      </c>
      <c r="I756" s="11">
        <f>IFERROR(_xll.ciqfunctions.udf.CIQ(mh_ticker, "IQ_MINORITY_INTEREST", , B756), "")</f>
        <v/>
      </c>
      <c r="J756" s="11">
        <f>IFERROR(_xll.ciqfunctions.udf.CIQ(mh_ticker, "IQ_EQUITY_METHOD", , B756), "")</f>
        <v/>
      </c>
      <c r="K756" s="11">
        <f>IFERROR(_xll.ciqfunctions.udf.CIQ(mh_ticker, "IQ_LT_Mark_Securities", , B756), "")</f>
        <v/>
      </c>
      <c r="L756" s="12">
        <f>IFERROR(C756*D756, "")</f>
        <v/>
      </c>
      <c r="M756" s="12">
        <f>IFERROR(L756-E756-F756+G756+H756+I756-J756-K756, "")</f>
        <v/>
      </c>
      <c r="N756" s="11">
        <f>IFERROR(_xll.ciqfunctions.udf.CIQ(mh_ticker, "IQ_EBITDA_EST", IQ_NTM, B756, , , "USD"), "")</f>
        <v/>
      </c>
      <c r="O756" s="13">
        <f>IFERROR(M756/N756, "")</f>
        <v/>
      </c>
    </row>
    <row r="757">
      <c r="B757" s="8" t="n"/>
      <c r="C757" s="9">
        <f>IFERROR(_xll.ciqfunctions.udf.CIQ(mh_ticker, "IQ_LASTSALEPRICE", B757), "")</f>
        <v/>
      </c>
      <c r="D757" s="10">
        <f>IFERROR(_xll.ciqfunctions.udf.CIQ(mh_ticker, "IQ_SHARESOUTSTANDING_OUT", B757), "")</f>
        <v/>
      </c>
      <c r="E757" s="11">
        <f>IFERROR(_xll.ciqfunctions.udf.CIQ(mh_ticker, "IQ_CASH_EQUIV", , B757), "")</f>
        <v/>
      </c>
      <c r="F757" s="11">
        <f>IFERROR(_xll.ciqfunctions.udf.CIQ(mh_ticker, "IQ_ST_INVEST", , B757), "")</f>
        <v/>
      </c>
      <c r="G757" s="11">
        <f>IFERROR(_xll.ciqfunctions.udf.CIQ(mh_ticker, "IQ_TOTAL_DEBT_EXCL_OPER_LEASES", , B757), "")</f>
        <v/>
      </c>
      <c r="H757" s="11">
        <f>IFERROR(_xll.ciqfunctions.udf.CIQ(mh_ticker, "IQ_PREF_EQUITY", , B757), "")</f>
        <v/>
      </c>
      <c r="I757" s="11">
        <f>IFERROR(_xll.ciqfunctions.udf.CIQ(mh_ticker, "IQ_MINORITY_INTEREST", , B757), "")</f>
        <v/>
      </c>
      <c r="J757" s="11">
        <f>IFERROR(_xll.ciqfunctions.udf.CIQ(mh_ticker, "IQ_EQUITY_METHOD", , B757), "")</f>
        <v/>
      </c>
      <c r="K757" s="11">
        <f>IFERROR(_xll.ciqfunctions.udf.CIQ(mh_ticker, "IQ_LT_Mark_Securities", , B757), "")</f>
        <v/>
      </c>
      <c r="L757" s="12">
        <f>IFERROR(C757*D757, "")</f>
        <v/>
      </c>
      <c r="M757" s="12">
        <f>IFERROR(L757-E757-F757+G757+H757+I757-J757-K757, "")</f>
        <v/>
      </c>
      <c r="N757" s="11">
        <f>IFERROR(_xll.ciqfunctions.udf.CIQ(mh_ticker, "IQ_EBITDA_EST", IQ_NTM, B757, , , "USD"), "")</f>
        <v/>
      </c>
      <c r="O757" s="13">
        <f>IFERROR(M757/N757, "")</f>
        <v/>
      </c>
    </row>
    <row r="758">
      <c r="B758" s="8" t="n"/>
      <c r="C758" s="9">
        <f>IFERROR(_xll.ciqfunctions.udf.CIQ(mh_ticker, "IQ_LASTSALEPRICE", B758), "")</f>
        <v/>
      </c>
      <c r="D758" s="10">
        <f>IFERROR(_xll.ciqfunctions.udf.CIQ(mh_ticker, "IQ_SHARESOUTSTANDING_OUT", B758), "")</f>
        <v/>
      </c>
      <c r="E758" s="11">
        <f>IFERROR(_xll.ciqfunctions.udf.CIQ(mh_ticker, "IQ_CASH_EQUIV", , B758), "")</f>
        <v/>
      </c>
      <c r="F758" s="11">
        <f>IFERROR(_xll.ciqfunctions.udf.CIQ(mh_ticker, "IQ_ST_INVEST", , B758), "")</f>
        <v/>
      </c>
      <c r="G758" s="11">
        <f>IFERROR(_xll.ciqfunctions.udf.CIQ(mh_ticker, "IQ_TOTAL_DEBT_EXCL_OPER_LEASES", , B758), "")</f>
        <v/>
      </c>
      <c r="H758" s="11">
        <f>IFERROR(_xll.ciqfunctions.udf.CIQ(mh_ticker, "IQ_PREF_EQUITY", , B758), "")</f>
        <v/>
      </c>
      <c r="I758" s="11">
        <f>IFERROR(_xll.ciqfunctions.udf.CIQ(mh_ticker, "IQ_MINORITY_INTEREST", , B758), "")</f>
        <v/>
      </c>
      <c r="J758" s="11">
        <f>IFERROR(_xll.ciqfunctions.udf.CIQ(mh_ticker, "IQ_EQUITY_METHOD", , B758), "")</f>
        <v/>
      </c>
      <c r="K758" s="11">
        <f>IFERROR(_xll.ciqfunctions.udf.CIQ(mh_ticker, "IQ_LT_Mark_Securities", , B758), "")</f>
        <v/>
      </c>
      <c r="L758" s="12">
        <f>IFERROR(C758*D758, "")</f>
        <v/>
      </c>
      <c r="M758" s="12">
        <f>IFERROR(L758-E758-F758+G758+H758+I758-J758-K758, "")</f>
        <v/>
      </c>
      <c r="N758" s="11">
        <f>IFERROR(_xll.ciqfunctions.udf.CIQ(mh_ticker, "IQ_EBITDA_EST", IQ_NTM, B758, , , "USD"), "")</f>
        <v/>
      </c>
      <c r="O758" s="13">
        <f>IFERROR(M758/N758, "")</f>
        <v/>
      </c>
    </row>
    <row r="759">
      <c r="B759" s="8" t="n"/>
      <c r="C759" s="9">
        <f>IFERROR(_xll.ciqfunctions.udf.CIQ(mh_ticker, "IQ_LASTSALEPRICE", B759), "")</f>
        <v/>
      </c>
      <c r="D759" s="10">
        <f>IFERROR(_xll.ciqfunctions.udf.CIQ(mh_ticker, "IQ_SHARESOUTSTANDING_OUT", B759), "")</f>
        <v/>
      </c>
      <c r="E759" s="11">
        <f>IFERROR(_xll.ciqfunctions.udf.CIQ(mh_ticker, "IQ_CASH_EQUIV", , B759), "")</f>
        <v/>
      </c>
      <c r="F759" s="11">
        <f>IFERROR(_xll.ciqfunctions.udf.CIQ(mh_ticker, "IQ_ST_INVEST", , B759), "")</f>
        <v/>
      </c>
      <c r="G759" s="11">
        <f>IFERROR(_xll.ciqfunctions.udf.CIQ(mh_ticker, "IQ_TOTAL_DEBT_EXCL_OPER_LEASES", , B759), "")</f>
        <v/>
      </c>
      <c r="H759" s="11">
        <f>IFERROR(_xll.ciqfunctions.udf.CIQ(mh_ticker, "IQ_PREF_EQUITY", , B759), "")</f>
        <v/>
      </c>
      <c r="I759" s="11">
        <f>IFERROR(_xll.ciqfunctions.udf.CIQ(mh_ticker, "IQ_MINORITY_INTEREST", , B759), "")</f>
        <v/>
      </c>
      <c r="J759" s="11">
        <f>IFERROR(_xll.ciqfunctions.udf.CIQ(mh_ticker, "IQ_EQUITY_METHOD", , B759), "")</f>
        <v/>
      </c>
      <c r="K759" s="11">
        <f>IFERROR(_xll.ciqfunctions.udf.CIQ(mh_ticker, "IQ_LT_Mark_Securities", , B759), "")</f>
        <v/>
      </c>
      <c r="L759" s="12">
        <f>IFERROR(C759*D759, "")</f>
        <v/>
      </c>
      <c r="M759" s="12">
        <f>IFERROR(L759-E759-F759+G759+H759+I759-J759-K759, "")</f>
        <v/>
      </c>
      <c r="N759" s="11">
        <f>IFERROR(_xll.ciqfunctions.udf.CIQ(mh_ticker, "IQ_EBITDA_EST", IQ_NTM, B759, , , "USD"), "")</f>
        <v/>
      </c>
      <c r="O759" s="13">
        <f>IFERROR(M759/N759, "")</f>
        <v/>
      </c>
    </row>
    <row r="760">
      <c r="B760" s="8" t="n"/>
      <c r="C760" s="9">
        <f>IFERROR(_xll.ciqfunctions.udf.CIQ(mh_ticker, "IQ_LASTSALEPRICE", B760), "")</f>
        <v/>
      </c>
      <c r="D760" s="10">
        <f>IFERROR(_xll.ciqfunctions.udf.CIQ(mh_ticker, "IQ_SHARESOUTSTANDING_OUT", B760), "")</f>
        <v/>
      </c>
      <c r="E760" s="11">
        <f>IFERROR(_xll.ciqfunctions.udf.CIQ(mh_ticker, "IQ_CASH_EQUIV", , B760), "")</f>
        <v/>
      </c>
      <c r="F760" s="11">
        <f>IFERROR(_xll.ciqfunctions.udf.CIQ(mh_ticker, "IQ_ST_INVEST", , B760), "")</f>
        <v/>
      </c>
      <c r="G760" s="11">
        <f>IFERROR(_xll.ciqfunctions.udf.CIQ(mh_ticker, "IQ_TOTAL_DEBT_EXCL_OPER_LEASES", , B760), "")</f>
        <v/>
      </c>
      <c r="H760" s="11">
        <f>IFERROR(_xll.ciqfunctions.udf.CIQ(mh_ticker, "IQ_PREF_EQUITY", , B760), "")</f>
        <v/>
      </c>
      <c r="I760" s="11">
        <f>IFERROR(_xll.ciqfunctions.udf.CIQ(mh_ticker, "IQ_MINORITY_INTEREST", , B760), "")</f>
        <v/>
      </c>
      <c r="J760" s="11">
        <f>IFERROR(_xll.ciqfunctions.udf.CIQ(mh_ticker, "IQ_EQUITY_METHOD", , B760), "")</f>
        <v/>
      </c>
      <c r="K760" s="11">
        <f>IFERROR(_xll.ciqfunctions.udf.CIQ(mh_ticker, "IQ_LT_Mark_Securities", , B760), "")</f>
        <v/>
      </c>
      <c r="L760" s="12">
        <f>IFERROR(C760*D760, "")</f>
        <v/>
      </c>
      <c r="M760" s="12">
        <f>IFERROR(L760-E760-F760+G760+H760+I760-J760-K760, "")</f>
        <v/>
      </c>
      <c r="N760" s="11">
        <f>IFERROR(_xll.ciqfunctions.udf.CIQ(mh_ticker, "IQ_EBITDA_EST", IQ_NTM, B760, , , "USD"), "")</f>
        <v/>
      </c>
      <c r="O760" s="13">
        <f>IFERROR(M760/N760, "")</f>
        <v/>
      </c>
    </row>
    <row r="761">
      <c r="B761" s="8" t="n"/>
      <c r="C761" s="9">
        <f>IFERROR(_xll.ciqfunctions.udf.CIQ(mh_ticker, "IQ_LASTSALEPRICE", B761), "")</f>
        <v/>
      </c>
      <c r="D761" s="10">
        <f>IFERROR(_xll.ciqfunctions.udf.CIQ(mh_ticker, "IQ_SHARESOUTSTANDING_OUT", B761), "")</f>
        <v/>
      </c>
      <c r="E761" s="11">
        <f>IFERROR(_xll.ciqfunctions.udf.CIQ(mh_ticker, "IQ_CASH_EQUIV", , B761), "")</f>
        <v/>
      </c>
      <c r="F761" s="11">
        <f>IFERROR(_xll.ciqfunctions.udf.CIQ(mh_ticker, "IQ_ST_INVEST", , B761), "")</f>
        <v/>
      </c>
      <c r="G761" s="11">
        <f>IFERROR(_xll.ciqfunctions.udf.CIQ(mh_ticker, "IQ_TOTAL_DEBT_EXCL_OPER_LEASES", , B761), "")</f>
        <v/>
      </c>
      <c r="H761" s="11">
        <f>IFERROR(_xll.ciqfunctions.udf.CIQ(mh_ticker, "IQ_PREF_EQUITY", , B761), "")</f>
        <v/>
      </c>
      <c r="I761" s="11">
        <f>IFERROR(_xll.ciqfunctions.udf.CIQ(mh_ticker, "IQ_MINORITY_INTEREST", , B761), "")</f>
        <v/>
      </c>
      <c r="J761" s="11">
        <f>IFERROR(_xll.ciqfunctions.udf.CIQ(mh_ticker, "IQ_EQUITY_METHOD", , B761), "")</f>
        <v/>
      </c>
      <c r="K761" s="11">
        <f>IFERROR(_xll.ciqfunctions.udf.CIQ(mh_ticker, "IQ_LT_Mark_Securities", , B761), "")</f>
        <v/>
      </c>
      <c r="L761" s="12">
        <f>IFERROR(C761*D761, "")</f>
        <v/>
      </c>
      <c r="M761" s="12">
        <f>IFERROR(L761-E761-F761+G761+H761+I761-J761-K761, "")</f>
        <v/>
      </c>
      <c r="N761" s="11">
        <f>IFERROR(_xll.ciqfunctions.udf.CIQ(mh_ticker, "IQ_EBITDA_EST", IQ_NTM, B761, , , "USD"), "")</f>
        <v/>
      </c>
      <c r="O761" s="13">
        <f>IFERROR(M761/N761, "")</f>
        <v/>
      </c>
    </row>
    <row r="762">
      <c r="B762" s="8" t="n"/>
      <c r="C762" s="9">
        <f>IFERROR(_xll.ciqfunctions.udf.CIQ(mh_ticker, "IQ_LASTSALEPRICE", B762), "")</f>
        <v/>
      </c>
      <c r="D762" s="10">
        <f>IFERROR(_xll.ciqfunctions.udf.CIQ(mh_ticker, "IQ_SHARESOUTSTANDING_OUT", B762), "")</f>
        <v/>
      </c>
      <c r="E762" s="11">
        <f>IFERROR(_xll.ciqfunctions.udf.CIQ(mh_ticker, "IQ_CASH_EQUIV", , B762), "")</f>
        <v/>
      </c>
      <c r="F762" s="11">
        <f>IFERROR(_xll.ciqfunctions.udf.CIQ(mh_ticker, "IQ_ST_INVEST", , B762), "")</f>
        <v/>
      </c>
      <c r="G762" s="11">
        <f>IFERROR(_xll.ciqfunctions.udf.CIQ(mh_ticker, "IQ_TOTAL_DEBT_EXCL_OPER_LEASES", , B762), "")</f>
        <v/>
      </c>
      <c r="H762" s="11">
        <f>IFERROR(_xll.ciqfunctions.udf.CIQ(mh_ticker, "IQ_PREF_EQUITY", , B762), "")</f>
        <v/>
      </c>
      <c r="I762" s="11">
        <f>IFERROR(_xll.ciqfunctions.udf.CIQ(mh_ticker, "IQ_MINORITY_INTEREST", , B762), "")</f>
        <v/>
      </c>
      <c r="J762" s="11">
        <f>IFERROR(_xll.ciqfunctions.udf.CIQ(mh_ticker, "IQ_EQUITY_METHOD", , B762), "")</f>
        <v/>
      </c>
      <c r="K762" s="11">
        <f>IFERROR(_xll.ciqfunctions.udf.CIQ(mh_ticker, "IQ_LT_Mark_Securities", , B762), "")</f>
        <v/>
      </c>
      <c r="L762" s="12">
        <f>IFERROR(C762*D762, "")</f>
        <v/>
      </c>
      <c r="M762" s="12">
        <f>IFERROR(L762-E762-F762+G762+H762+I762-J762-K762, "")</f>
        <v/>
      </c>
      <c r="N762" s="11">
        <f>IFERROR(_xll.ciqfunctions.udf.CIQ(mh_ticker, "IQ_EBITDA_EST", IQ_NTM, B762, , , "USD"), "")</f>
        <v/>
      </c>
      <c r="O762" s="13">
        <f>IFERROR(M762/N762, "")</f>
        <v/>
      </c>
    </row>
    <row r="763">
      <c r="B763" s="8" t="n"/>
      <c r="C763" s="9">
        <f>IFERROR(_xll.ciqfunctions.udf.CIQ(mh_ticker, "IQ_LASTSALEPRICE", B763), "")</f>
        <v/>
      </c>
      <c r="D763" s="10">
        <f>IFERROR(_xll.ciqfunctions.udf.CIQ(mh_ticker, "IQ_SHARESOUTSTANDING_OUT", B763), "")</f>
        <v/>
      </c>
      <c r="E763" s="11">
        <f>IFERROR(_xll.ciqfunctions.udf.CIQ(mh_ticker, "IQ_CASH_EQUIV", , B763), "")</f>
        <v/>
      </c>
      <c r="F763" s="11">
        <f>IFERROR(_xll.ciqfunctions.udf.CIQ(mh_ticker, "IQ_ST_INVEST", , B763), "")</f>
        <v/>
      </c>
      <c r="G763" s="11">
        <f>IFERROR(_xll.ciqfunctions.udf.CIQ(mh_ticker, "IQ_TOTAL_DEBT_EXCL_OPER_LEASES", , B763), "")</f>
        <v/>
      </c>
      <c r="H763" s="11">
        <f>IFERROR(_xll.ciqfunctions.udf.CIQ(mh_ticker, "IQ_PREF_EQUITY", , B763), "")</f>
        <v/>
      </c>
      <c r="I763" s="11">
        <f>IFERROR(_xll.ciqfunctions.udf.CIQ(mh_ticker, "IQ_MINORITY_INTEREST", , B763), "")</f>
        <v/>
      </c>
      <c r="J763" s="11">
        <f>IFERROR(_xll.ciqfunctions.udf.CIQ(mh_ticker, "IQ_EQUITY_METHOD", , B763), "")</f>
        <v/>
      </c>
      <c r="K763" s="11">
        <f>IFERROR(_xll.ciqfunctions.udf.CIQ(mh_ticker, "IQ_LT_Mark_Securities", , B763), "")</f>
        <v/>
      </c>
      <c r="L763" s="12">
        <f>IFERROR(C763*D763, "")</f>
        <v/>
      </c>
      <c r="M763" s="12">
        <f>IFERROR(L763-E763-F763+G763+H763+I763-J763-K763, "")</f>
        <v/>
      </c>
      <c r="N763" s="11">
        <f>IFERROR(_xll.ciqfunctions.udf.CIQ(mh_ticker, "IQ_EBITDA_EST", IQ_NTM, B763, , , "USD"), "")</f>
        <v/>
      </c>
      <c r="O763" s="13">
        <f>IFERROR(M763/N763, "")</f>
        <v/>
      </c>
    </row>
    <row r="764">
      <c r="B764" s="8" t="n"/>
      <c r="C764" s="9">
        <f>IFERROR(_xll.ciqfunctions.udf.CIQ(mh_ticker, "IQ_LASTSALEPRICE", B764), "")</f>
        <v/>
      </c>
      <c r="D764" s="10">
        <f>IFERROR(_xll.ciqfunctions.udf.CIQ(mh_ticker, "IQ_SHARESOUTSTANDING_OUT", B764), "")</f>
        <v/>
      </c>
      <c r="E764" s="11">
        <f>IFERROR(_xll.ciqfunctions.udf.CIQ(mh_ticker, "IQ_CASH_EQUIV", , B764), "")</f>
        <v/>
      </c>
      <c r="F764" s="11">
        <f>IFERROR(_xll.ciqfunctions.udf.CIQ(mh_ticker, "IQ_ST_INVEST", , B764), "")</f>
        <v/>
      </c>
      <c r="G764" s="11">
        <f>IFERROR(_xll.ciqfunctions.udf.CIQ(mh_ticker, "IQ_TOTAL_DEBT_EXCL_OPER_LEASES", , B764), "")</f>
        <v/>
      </c>
      <c r="H764" s="11">
        <f>IFERROR(_xll.ciqfunctions.udf.CIQ(mh_ticker, "IQ_PREF_EQUITY", , B764), "")</f>
        <v/>
      </c>
      <c r="I764" s="11">
        <f>IFERROR(_xll.ciqfunctions.udf.CIQ(mh_ticker, "IQ_MINORITY_INTEREST", , B764), "")</f>
        <v/>
      </c>
      <c r="J764" s="11">
        <f>IFERROR(_xll.ciqfunctions.udf.CIQ(mh_ticker, "IQ_EQUITY_METHOD", , B764), "")</f>
        <v/>
      </c>
      <c r="K764" s="11">
        <f>IFERROR(_xll.ciqfunctions.udf.CIQ(mh_ticker, "IQ_LT_Mark_Securities", , B764), "")</f>
        <v/>
      </c>
      <c r="L764" s="12">
        <f>IFERROR(C764*D764, "")</f>
        <v/>
      </c>
      <c r="M764" s="12">
        <f>IFERROR(L764-E764-F764+G764+H764+I764-J764-K764, "")</f>
        <v/>
      </c>
      <c r="N764" s="11">
        <f>IFERROR(_xll.ciqfunctions.udf.CIQ(mh_ticker, "IQ_EBITDA_EST", IQ_NTM, B764, , , "USD"), "")</f>
        <v/>
      </c>
      <c r="O764" s="13">
        <f>IFERROR(M764/N764, "")</f>
        <v/>
      </c>
    </row>
    <row r="765">
      <c r="B765" s="8" t="n"/>
      <c r="C765" s="9">
        <f>IFERROR(_xll.ciqfunctions.udf.CIQ(mh_ticker, "IQ_LASTSALEPRICE", B765), "")</f>
        <v/>
      </c>
      <c r="D765" s="10">
        <f>IFERROR(_xll.ciqfunctions.udf.CIQ(mh_ticker, "IQ_SHARESOUTSTANDING_OUT", B765), "")</f>
        <v/>
      </c>
      <c r="E765" s="11">
        <f>IFERROR(_xll.ciqfunctions.udf.CIQ(mh_ticker, "IQ_CASH_EQUIV", , B765), "")</f>
        <v/>
      </c>
      <c r="F765" s="11">
        <f>IFERROR(_xll.ciqfunctions.udf.CIQ(mh_ticker, "IQ_ST_INVEST", , B765), "")</f>
        <v/>
      </c>
      <c r="G765" s="11">
        <f>IFERROR(_xll.ciqfunctions.udf.CIQ(mh_ticker, "IQ_TOTAL_DEBT_EXCL_OPER_LEASES", , B765), "")</f>
        <v/>
      </c>
      <c r="H765" s="11">
        <f>IFERROR(_xll.ciqfunctions.udf.CIQ(mh_ticker, "IQ_PREF_EQUITY", , B765), "")</f>
        <v/>
      </c>
      <c r="I765" s="11">
        <f>IFERROR(_xll.ciqfunctions.udf.CIQ(mh_ticker, "IQ_MINORITY_INTEREST", , B765), "")</f>
        <v/>
      </c>
      <c r="J765" s="11">
        <f>IFERROR(_xll.ciqfunctions.udf.CIQ(mh_ticker, "IQ_EQUITY_METHOD", , B765), "")</f>
        <v/>
      </c>
      <c r="K765" s="11">
        <f>IFERROR(_xll.ciqfunctions.udf.CIQ(mh_ticker, "IQ_LT_Mark_Securities", , B765), "")</f>
        <v/>
      </c>
      <c r="L765" s="12">
        <f>IFERROR(C765*D765, "")</f>
        <v/>
      </c>
      <c r="M765" s="12">
        <f>IFERROR(L765-E765-F765+G765+H765+I765-J765-K765, "")</f>
        <v/>
      </c>
      <c r="N765" s="11">
        <f>IFERROR(_xll.ciqfunctions.udf.CIQ(mh_ticker, "IQ_EBITDA_EST", IQ_NTM, B765, , , "USD"), "")</f>
        <v/>
      </c>
      <c r="O765" s="13">
        <f>IFERROR(M765/N765, "")</f>
        <v/>
      </c>
    </row>
    <row r="766">
      <c r="B766" s="8" t="n"/>
      <c r="C766" s="9">
        <f>IFERROR(_xll.ciqfunctions.udf.CIQ(mh_ticker, "IQ_LASTSALEPRICE", B766), "")</f>
        <v/>
      </c>
      <c r="D766" s="10">
        <f>IFERROR(_xll.ciqfunctions.udf.CIQ(mh_ticker, "IQ_SHARESOUTSTANDING_OUT", B766), "")</f>
        <v/>
      </c>
      <c r="E766" s="11">
        <f>IFERROR(_xll.ciqfunctions.udf.CIQ(mh_ticker, "IQ_CASH_EQUIV", , B766), "")</f>
        <v/>
      </c>
      <c r="F766" s="11">
        <f>IFERROR(_xll.ciqfunctions.udf.CIQ(mh_ticker, "IQ_ST_INVEST", , B766), "")</f>
        <v/>
      </c>
      <c r="G766" s="11">
        <f>IFERROR(_xll.ciqfunctions.udf.CIQ(mh_ticker, "IQ_TOTAL_DEBT_EXCL_OPER_LEASES", , B766), "")</f>
        <v/>
      </c>
      <c r="H766" s="11">
        <f>IFERROR(_xll.ciqfunctions.udf.CIQ(mh_ticker, "IQ_PREF_EQUITY", , B766), "")</f>
        <v/>
      </c>
      <c r="I766" s="11">
        <f>IFERROR(_xll.ciqfunctions.udf.CIQ(mh_ticker, "IQ_MINORITY_INTEREST", , B766), "")</f>
        <v/>
      </c>
      <c r="J766" s="11">
        <f>IFERROR(_xll.ciqfunctions.udf.CIQ(mh_ticker, "IQ_EQUITY_METHOD", , B766), "")</f>
        <v/>
      </c>
      <c r="K766" s="11">
        <f>IFERROR(_xll.ciqfunctions.udf.CIQ(mh_ticker, "IQ_LT_Mark_Securities", , B766), "")</f>
        <v/>
      </c>
      <c r="L766" s="12">
        <f>IFERROR(C766*D766, "")</f>
        <v/>
      </c>
      <c r="M766" s="12">
        <f>IFERROR(L766-E766-F766+G766+H766+I766-J766-K766, "")</f>
        <v/>
      </c>
      <c r="N766" s="11">
        <f>IFERROR(_xll.ciqfunctions.udf.CIQ(mh_ticker, "IQ_EBITDA_EST", IQ_NTM, B766, , , "USD"), "")</f>
        <v/>
      </c>
      <c r="O766" s="13">
        <f>IFERROR(M766/N766, "")</f>
        <v/>
      </c>
    </row>
    <row r="767">
      <c r="B767" s="8" t="n"/>
      <c r="C767" s="9">
        <f>IFERROR(_xll.ciqfunctions.udf.CIQ(mh_ticker, "IQ_LASTSALEPRICE", B767), "")</f>
        <v/>
      </c>
      <c r="D767" s="10">
        <f>IFERROR(_xll.ciqfunctions.udf.CIQ(mh_ticker, "IQ_SHARESOUTSTANDING_OUT", B767), "")</f>
        <v/>
      </c>
      <c r="E767" s="11">
        <f>IFERROR(_xll.ciqfunctions.udf.CIQ(mh_ticker, "IQ_CASH_EQUIV", , B767), "")</f>
        <v/>
      </c>
      <c r="F767" s="11">
        <f>IFERROR(_xll.ciqfunctions.udf.CIQ(mh_ticker, "IQ_ST_INVEST", , B767), "")</f>
        <v/>
      </c>
      <c r="G767" s="11">
        <f>IFERROR(_xll.ciqfunctions.udf.CIQ(mh_ticker, "IQ_TOTAL_DEBT_EXCL_OPER_LEASES", , B767), "")</f>
        <v/>
      </c>
      <c r="H767" s="11">
        <f>IFERROR(_xll.ciqfunctions.udf.CIQ(mh_ticker, "IQ_PREF_EQUITY", , B767), "")</f>
        <v/>
      </c>
      <c r="I767" s="11">
        <f>IFERROR(_xll.ciqfunctions.udf.CIQ(mh_ticker, "IQ_MINORITY_INTEREST", , B767), "")</f>
        <v/>
      </c>
      <c r="J767" s="11">
        <f>IFERROR(_xll.ciqfunctions.udf.CIQ(mh_ticker, "IQ_EQUITY_METHOD", , B767), "")</f>
        <v/>
      </c>
      <c r="K767" s="11">
        <f>IFERROR(_xll.ciqfunctions.udf.CIQ(mh_ticker, "IQ_LT_Mark_Securities", , B767), "")</f>
        <v/>
      </c>
      <c r="L767" s="12">
        <f>IFERROR(C767*D767, "")</f>
        <v/>
      </c>
      <c r="M767" s="12">
        <f>IFERROR(L767-E767-F767+G767+H767+I767-J767-K767, "")</f>
        <v/>
      </c>
      <c r="N767" s="11">
        <f>IFERROR(_xll.ciqfunctions.udf.CIQ(mh_ticker, "IQ_EBITDA_EST", IQ_NTM, B767, , , "USD"), "")</f>
        <v/>
      </c>
      <c r="O767" s="13">
        <f>IFERROR(M767/N767, "")</f>
        <v/>
      </c>
    </row>
    <row r="768">
      <c r="B768" s="8" t="n"/>
      <c r="C768" s="9">
        <f>IFERROR(_xll.ciqfunctions.udf.CIQ(mh_ticker, "IQ_LASTSALEPRICE", B768), "")</f>
        <v/>
      </c>
      <c r="D768" s="10">
        <f>IFERROR(_xll.ciqfunctions.udf.CIQ(mh_ticker, "IQ_SHARESOUTSTANDING_OUT", B768), "")</f>
        <v/>
      </c>
      <c r="E768" s="11">
        <f>IFERROR(_xll.ciqfunctions.udf.CIQ(mh_ticker, "IQ_CASH_EQUIV", , B768), "")</f>
        <v/>
      </c>
      <c r="F768" s="11">
        <f>IFERROR(_xll.ciqfunctions.udf.CIQ(mh_ticker, "IQ_ST_INVEST", , B768), "")</f>
        <v/>
      </c>
      <c r="G768" s="11">
        <f>IFERROR(_xll.ciqfunctions.udf.CIQ(mh_ticker, "IQ_TOTAL_DEBT_EXCL_OPER_LEASES", , B768), "")</f>
        <v/>
      </c>
      <c r="H768" s="11">
        <f>IFERROR(_xll.ciqfunctions.udf.CIQ(mh_ticker, "IQ_PREF_EQUITY", , B768), "")</f>
        <v/>
      </c>
      <c r="I768" s="11">
        <f>IFERROR(_xll.ciqfunctions.udf.CIQ(mh_ticker, "IQ_MINORITY_INTEREST", , B768), "")</f>
        <v/>
      </c>
      <c r="J768" s="11">
        <f>IFERROR(_xll.ciqfunctions.udf.CIQ(mh_ticker, "IQ_EQUITY_METHOD", , B768), "")</f>
        <v/>
      </c>
      <c r="K768" s="11">
        <f>IFERROR(_xll.ciqfunctions.udf.CIQ(mh_ticker, "IQ_LT_Mark_Securities", , B768), "")</f>
        <v/>
      </c>
      <c r="L768" s="12">
        <f>IFERROR(C768*D768, "")</f>
        <v/>
      </c>
      <c r="M768" s="12">
        <f>IFERROR(L768-E768-F768+G768+H768+I768-J768-K768, "")</f>
        <v/>
      </c>
      <c r="N768" s="11">
        <f>IFERROR(_xll.ciqfunctions.udf.CIQ(mh_ticker, "IQ_EBITDA_EST", IQ_NTM, B768, , , "USD"), "")</f>
        <v/>
      </c>
      <c r="O768" s="13">
        <f>IFERROR(M768/N768, "")</f>
        <v/>
      </c>
    </row>
    <row r="769">
      <c r="B769" s="8" t="n"/>
      <c r="C769" s="9">
        <f>IFERROR(_xll.ciqfunctions.udf.CIQ(mh_ticker, "IQ_LASTSALEPRICE", B769), "")</f>
        <v/>
      </c>
      <c r="D769" s="10">
        <f>IFERROR(_xll.ciqfunctions.udf.CIQ(mh_ticker, "IQ_SHARESOUTSTANDING_OUT", B769), "")</f>
        <v/>
      </c>
      <c r="E769" s="11">
        <f>IFERROR(_xll.ciqfunctions.udf.CIQ(mh_ticker, "IQ_CASH_EQUIV", , B769), "")</f>
        <v/>
      </c>
      <c r="F769" s="11">
        <f>IFERROR(_xll.ciqfunctions.udf.CIQ(mh_ticker, "IQ_ST_INVEST", , B769), "")</f>
        <v/>
      </c>
      <c r="G769" s="11">
        <f>IFERROR(_xll.ciqfunctions.udf.CIQ(mh_ticker, "IQ_TOTAL_DEBT_EXCL_OPER_LEASES", , B769), "")</f>
        <v/>
      </c>
      <c r="H769" s="11">
        <f>IFERROR(_xll.ciqfunctions.udf.CIQ(mh_ticker, "IQ_PREF_EQUITY", , B769), "")</f>
        <v/>
      </c>
      <c r="I769" s="11">
        <f>IFERROR(_xll.ciqfunctions.udf.CIQ(mh_ticker, "IQ_MINORITY_INTEREST", , B769), "")</f>
        <v/>
      </c>
      <c r="J769" s="11">
        <f>IFERROR(_xll.ciqfunctions.udf.CIQ(mh_ticker, "IQ_EQUITY_METHOD", , B769), "")</f>
        <v/>
      </c>
      <c r="K769" s="11">
        <f>IFERROR(_xll.ciqfunctions.udf.CIQ(mh_ticker, "IQ_LT_Mark_Securities", , B769), "")</f>
        <v/>
      </c>
      <c r="L769" s="12">
        <f>IFERROR(C769*D769, "")</f>
        <v/>
      </c>
      <c r="M769" s="12">
        <f>IFERROR(L769-E769-F769+G769+H769+I769-J769-K769, "")</f>
        <v/>
      </c>
      <c r="N769" s="11">
        <f>IFERROR(_xll.ciqfunctions.udf.CIQ(mh_ticker, "IQ_EBITDA_EST", IQ_NTM, B769, , , "USD"), "")</f>
        <v/>
      </c>
      <c r="O769" s="13">
        <f>IFERROR(M769/N769, "")</f>
        <v/>
      </c>
    </row>
    <row r="770">
      <c r="B770" s="8" t="n"/>
      <c r="C770" s="9">
        <f>IFERROR(_xll.ciqfunctions.udf.CIQ(mh_ticker, "IQ_LASTSALEPRICE", B770), "")</f>
        <v/>
      </c>
      <c r="D770" s="10">
        <f>IFERROR(_xll.ciqfunctions.udf.CIQ(mh_ticker, "IQ_SHARESOUTSTANDING_OUT", B770), "")</f>
        <v/>
      </c>
      <c r="E770" s="11">
        <f>IFERROR(_xll.ciqfunctions.udf.CIQ(mh_ticker, "IQ_CASH_EQUIV", , B770), "")</f>
        <v/>
      </c>
      <c r="F770" s="11">
        <f>IFERROR(_xll.ciqfunctions.udf.CIQ(mh_ticker, "IQ_ST_INVEST", , B770), "")</f>
        <v/>
      </c>
      <c r="G770" s="11">
        <f>IFERROR(_xll.ciqfunctions.udf.CIQ(mh_ticker, "IQ_TOTAL_DEBT_EXCL_OPER_LEASES", , B770), "")</f>
        <v/>
      </c>
      <c r="H770" s="11">
        <f>IFERROR(_xll.ciqfunctions.udf.CIQ(mh_ticker, "IQ_PREF_EQUITY", , B770), "")</f>
        <v/>
      </c>
      <c r="I770" s="11">
        <f>IFERROR(_xll.ciqfunctions.udf.CIQ(mh_ticker, "IQ_MINORITY_INTEREST", , B770), "")</f>
        <v/>
      </c>
      <c r="J770" s="11">
        <f>IFERROR(_xll.ciqfunctions.udf.CIQ(mh_ticker, "IQ_EQUITY_METHOD", , B770), "")</f>
        <v/>
      </c>
      <c r="K770" s="11">
        <f>IFERROR(_xll.ciqfunctions.udf.CIQ(mh_ticker, "IQ_LT_Mark_Securities", , B770), "")</f>
        <v/>
      </c>
      <c r="L770" s="12">
        <f>IFERROR(C770*D770, "")</f>
        <v/>
      </c>
      <c r="M770" s="12">
        <f>IFERROR(L770-E770-F770+G770+H770+I770-J770-K770, "")</f>
        <v/>
      </c>
      <c r="N770" s="11">
        <f>IFERROR(_xll.ciqfunctions.udf.CIQ(mh_ticker, "IQ_EBITDA_EST", IQ_NTM, B770, , , "USD"), "")</f>
        <v/>
      </c>
      <c r="O770" s="13">
        <f>IFERROR(M770/N770, "")</f>
        <v/>
      </c>
    </row>
    <row r="771">
      <c r="B771" s="8" t="n"/>
      <c r="C771" s="9">
        <f>IFERROR(_xll.ciqfunctions.udf.CIQ(mh_ticker, "IQ_LASTSALEPRICE", B771), "")</f>
        <v/>
      </c>
      <c r="D771" s="10">
        <f>IFERROR(_xll.ciqfunctions.udf.CIQ(mh_ticker, "IQ_SHARESOUTSTANDING_OUT", B771), "")</f>
        <v/>
      </c>
      <c r="E771" s="11">
        <f>IFERROR(_xll.ciqfunctions.udf.CIQ(mh_ticker, "IQ_CASH_EQUIV", , B771), "")</f>
        <v/>
      </c>
      <c r="F771" s="11">
        <f>IFERROR(_xll.ciqfunctions.udf.CIQ(mh_ticker, "IQ_ST_INVEST", , B771), "")</f>
        <v/>
      </c>
      <c r="G771" s="11">
        <f>IFERROR(_xll.ciqfunctions.udf.CIQ(mh_ticker, "IQ_TOTAL_DEBT_EXCL_OPER_LEASES", , B771), "")</f>
        <v/>
      </c>
      <c r="H771" s="11">
        <f>IFERROR(_xll.ciqfunctions.udf.CIQ(mh_ticker, "IQ_PREF_EQUITY", , B771), "")</f>
        <v/>
      </c>
      <c r="I771" s="11">
        <f>IFERROR(_xll.ciqfunctions.udf.CIQ(mh_ticker, "IQ_MINORITY_INTEREST", , B771), "")</f>
        <v/>
      </c>
      <c r="J771" s="11">
        <f>IFERROR(_xll.ciqfunctions.udf.CIQ(mh_ticker, "IQ_EQUITY_METHOD", , B771), "")</f>
        <v/>
      </c>
      <c r="K771" s="11">
        <f>IFERROR(_xll.ciqfunctions.udf.CIQ(mh_ticker, "IQ_LT_Mark_Securities", , B771), "")</f>
        <v/>
      </c>
      <c r="L771" s="12">
        <f>IFERROR(C771*D771, "")</f>
        <v/>
      </c>
      <c r="M771" s="12">
        <f>IFERROR(L771-E771-F771+G771+H771+I771-J771-K771, "")</f>
        <v/>
      </c>
      <c r="N771" s="11">
        <f>IFERROR(_xll.ciqfunctions.udf.CIQ(mh_ticker, "IQ_EBITDA_EST", IQ_NTM, B771, , , "USD"), "")</f>
        <v/>
      </c>
      <c r="O771" s="13">
        <f>IFERROR(M771/N771, "")</f>
        <v/>
      </c>
    </row>
    <row r="772">
      <c r="B772" s="8" t="n"/>
      <c r="C772" s="9">
        <f>IFERROR(_xll.ciqfunctions.udf.CIQ(mh_ticker, "IQ_LASTSALEPRICE", B772), "")</f>
        <v/>
      </c>
      <c r="D772" s="10">
        <f>IFERROR(_xll.ciqfunctions.udf.CIQ(mh_ticker, "IQ_SHARESOUTSTANDING_OUT", B772), "")</f>
        <v/>
      </c>
      <c r="E772" s="11">
        <f>IFERROR(_xll.ciqfunctions.udf.CIQ(mh_ticker, "IQ_CASH_EQUIV", , B772), "")</f>
        <v/>
      </c>
      <c r="F772" s="11">
        <f>IFERROR(_xll.ciqfunctions.udf.CIQ(mh_ticker, "IQ_ST_INVEST", , B772), "")</f>
        <v/>
      </c>
      <c r="G772" s="11">
        <f>IFERROR(_xll.ciqfunctions.udf.CIQ(mh_ticker, "IQ_TOTAL_DEBT_EXCL_OPER_LEASES", , B772), "")</f>
        <v/>
      </c>
      <c r="H772" s="11">
        <f>IFERROR(_xll.ciqfunctions.udf.CIQ(mh_ticker, "IQ_PREF_EQUITY", , B772), "")</f>
        <v/>
      </c>
      <c r="I772" s="11">
        <f>IFERROR(_xll.ciqfunctions.udf.CIQ(mh_ticker, "IQ_MINORITY_INTEREST", , B772), "")</f>
        <v/>
      </c>
      <c r="J772" s="11">
        <f>IFERROR(_xll.ciqfunctions.udf.CIQ(mh_ticker, "IQ_EQUITY_METHOD", , B772), "")</f>
        <v/>
      </c>
      <c r="K772" s="11">
        <f>IFERROR(_xll.ciqfunctions.udf.CIQ(mh_ticker, "IQ_LT_Mark_Securities", , B772), "")</f>
        <v/>
      </c>
      <c r="L772" s="12">
        <f>IFERROR(C772*D772, "")</f>
        <v/>
      </c>
      <c r="M772" s="12">
        <f>IFERROR(L772-E772-F772+G772+H772+I772-J772-K772, "")</f>
        <v/>
      </c>
      <c r="N772" s="11">
        <f>IFERROR(_xll.ciqfunctions.udf.CIQ(mh_ticker, "IQ_EBITDA_EST", IQ_NTM, B772, , , "USD"), "")</f>
        <v/>
      </c>
      <c r="O772" s="13">
        <f>IFERROR(M772/N772, "")</f>
        <v/>
      </c>
    </row>
    <row r="773">
      <c r="B773" s="8" t="n"/>
      <c r="C773" s="9">
        <f>IFERROR(_xll.ciqfunctions.udf.CIQ(mh_ticker, "IQ_LASTSALEPRICE", B773), "")</f>
        <v/>
      </c>
      <c r="D773" s="10">
        <f>IFERROR(_xll.ciqfunctions.udf.CIQ(mh_ticker, "IQ_SHARESOUTSTANDING_OUT", B773), "")</f>
        <v/>
      </c>
      <c r="E773" s="11">
        <f>IFERROR(_xll.ciqfunctions.udf.CIQ(mh_ticker, "IQ_CASH_EQUIV", , B773), "")</f>
        <v/>
      </c>
      <c r="F773" s="11">
        <f>IFERROR(_xll.ciqfunctions.udf.CIQ(mh_ticker, "IQ_ST_INVEST", , B773), "")</f>
        <v/>
      </c>
      <c r="G773" s="11">
        <f>IFERROR(_xll.ciqfunctions.udf.CIQ(mh_ticker, "IQ_TOTAL_DEBT_EXCL_OPER_LEASES", , B773), "")</f>
        <v/>
      </c>
      <c r="H773" s="11">
        <f>IFERROR(_xll.ciqfunctions.udf.CIQ(mh_ticker, "IQ_PREF_EQUITY", , B773), "")</f>
        <v/>
      </c>
      <c r="I773" s="11">
        <f>IFERROR(_xll.ciqfunctions.udf.CIQ(mh_ticker, "IQ_MINORITY_INTEREST", , B773), "")</f>
        <v/>
      </c>
      <c r="J773" s="11">
        <f>IFERROR(_xll.ciqfunctions.udf.CIQ(mh_ticker, "IQ_EQUITY_METHOD", , B773), "")</f>
        <v/>
      </c>
      <c r="K773" s="11">
        <f>IFERROR(_xll.ciqfunctions.udf.CIQ(mh_ticker, "IQ_LT_Mark_Securities", , B773), "")</f>
        <v/>
      </c>
      <c r="L773" s="12">
        <f>IFERROR(C773*D773, "")</f>
        <v/>
      </c>
      <c r="M773" s="12">
        <f>IFERROR(L773-E773-F773+G773+H773+I773-J773-K773, "")</f>
        <v/>
      </c>
      <c r="N773" s="11">
        <f>IFERROR(_xll.ciqfunctions.udf.CIQ(mh_ticker, "IQ_EBITDA_EST", IQ_NTM, B773, , , "USD"), "")</f>
        <v/>
      </c>
      <c r="O773" s="13">
        <f>IFERROR(M773/N773, "")</f>
        <v/>
      </c>
    </row>
    <row r="774">
      <c r="B774" s="8" t="n"/>
      <c r="C774" s="9">
        <f>IFERROR(_xll.ciqfunctions.udf.CIQ(mh_ticker, "IQ_LASTSALEPRICE", B774), "")</f>
        <v/>
      </c>
      <c r="D774" s="10">
        <f>IFERROR(_xll.ciqfunctions.udf.CIQ(mh_ticker, "IQ_SHARESOUTSTANDING_OUT", B774), "")</f>
        <v/>
      </c>
      <c r="E774" s="11">
        <f>IFERROR(_xll.ciqfunctions.udf.CIQ(mh_ticker, "IQ_CASH_EQUIV", , B774), "")</f>
        <v/>
      </c>
      <c r="F774" s="11">
        <f>IFERROR(_xll.ciqfunctions.udf.CIQ(mh_ticker, "IQ_ST_INVEST", , B774), "")</f>
        <v/>
      </c>
      <c r="G774" s="11">
        <f>IFERROR(_xll.ciqfunctions.udf.CIQ(mh_ticker, "IQ_TOTAL_DEBT_EXCL_OPER_LEASES", , B774), "")</f>
        <v/>
      </c>
      <c r="H774" s="11">
        <f>IFERROR(_xll.ciqfunctions.udf.CIQ(mh_ticker, "IQ_PREF_EQUITY", , B774), "")</f>
        <v/>
      </c>
      <c r="I774" s="11">
        <f>IFERROR(_xll.ciqfunctions.udf.CIQ(mh_ticker, "IQ_MINORITY_INTEREST", , B774), "")</f>
        <v/>
      </c>
      <c r="J774" s="11">
        <f>IFERROR(_xll.ciqfunctions.udf.CIQ(mh_ticker, "IQ_EQUITY_METHOD", , B774), "")</f>
        <v/>
      </c>
      <c r="K774" s="11">
        <f>IFERROR(_xll.ciqfunctions.udf.CIQ(mh_ticker, "IQ_LT_Mark_Securities", , B774), "")</f>
        <v/>
      </c>
      <c r="L774" s="12">
        <f>IFERROR(C774*D774, "")</f>
        <v/>
      </c>
      <c r="M774" s="12">
        <f>IFERROR(L774-E774-F774+G774+H774+I774-J774-K774, "")</f>
        <v/>
      </c>
      <c r="N774" s="11">
        <f>IFERROR(_xll.ciqfunctions.udf.CIQ(mh_ticker, "IQ_EBITDA_EST", IQ_NTM, B774, , , "USD"), "")</f>
        <v/>
      </c>
      <c r="O774" s="13">
        <f>IFERROR(M774/N774, "")</f>
        <v/>
      </c>
    </row>
    <row r="775">
      <c r="B775" s="8" t="n"/>
      <c r="C775" s="9">
        <f>IFERROR(_xll.ciqfunctions.udf.CIQ(mh_ticker, "IQ_LASTSALEPRICE", B775), "")</f>
        <v/>
      </c>
      <c r="D775" s="10">
        <f>IFERROR(_xll.ciqfunctions.udf.CIQ(mh_ticker, "IQ_SHARESOUTSTANDING_OUT", B775), "")</f>
        <v/>
      </c>
      <c r="E775" s="11">
        <f>IFERROR(_xll.ciqfunctions.udf.CIQ(mh_ticker, "IQ_CASH_EQUIV", , B775), "")</f>
        <v/>
      </c>
      <c r="F775" s="11">
        <f>IFERROR(_xll.ciqfunctions.udf.CIQ(mh_ticker, "IQ_ST_INVEST", , B775), "")</f>
        <v/>
      </c>
      <c r="G775" s="11">
        <f>IFERROR(_xll.ciqfunctions.udf.CIQ(mh_ticker, "IQ_TOTAL_DEBT_EXCL_OPER_LEASES", , B775), "")</f>
        <v/>
      </c>
      <c r="H775" s="11">
        <f>IFERROR(_xll.ciqfunctions.udf.CIQ(mh_ticker, "IQ_PREF_EQUITY", , B775), "")</f>
        <v/>
      </c>
      <c r="I775" s="11">
        <f>IFERROR(_xll.ciqfunctions.udf.CIQ(mh_ticker, "IQ_MINORITY_INTEREST", , B775), "")</f>
        <v/>
      </c>
      <c r="J775" s="11">
        <f>IFERROR(_xll.ciqfunctions.udf.CIQ(mh_ticker, "IQ_EQUITY_METHOD", , B775), "")</f>
        <v/>
      </c>
      <c r="K775" s="11">
        <f>IFERROR(_xll.ciqfunctions.udf.CIQ(mh_ticker, "IQ_LT_Mark_Securities", , B775), "")</f>
        <v/>
      </c>
      <c r="L775" s="12">
        <f>IFERROR(C775*D775, "")</f>
        <v/>
      </c>
      <c r="M775" s="12">
        <f>IFERROR(L775-E775-F775+G775+H775+I775-J775-K775, "")</f>
        <v/>
      </c>
      <c r="N775" s="11">
        <f>IFERROR(_xll.ciqfunctions.udf.CIQ(mh_ticker, "IQ_EBITDA_EST", IQ_NTM, B775, , , "USD"), "")</f>
        <v/>
      </c>
      <c r="O775" s="13">
        <f>IFERROR(M775/N775, "")</f>
        <v/>
      </c>
    </row>
    <row r="776">
      <c r="B776" s="8" t="n"/>
      <c r="C776" s="9">
        <f>IFERROR(_xll.ciqfunctions.udf.CIQ(mh_ticker, "IQ_LASTSALEPRICE", B776), "")</f>
        <v/>
      </c>
      <c r="D776" s="10">
        <f>IFERROR(_xll.ciqfunctions.udf.CIQ(mh_ticker, "IQ_SHARESOUTSTANDING_OUT", B776), "")</f>
        <v/>
      </c>
      <c r="E776" s="11">
        <f>IFERROR(_xll.ciqfunctions.udf.CIQ(mh_ticker, "IQ_CASH_EQUIV", , B776), "")</f>
        <v/>
      </c>
      <c r="F776" s="11">
        <f>IFERROR(_xll.ciqfunctions.udf.CIQ(mh_ticker, "IQ_ST_INVEST", , B776), "")</f>
        <v/>
      </c>
      <c r="G776" s="11">
        <f>IFERROR(_xll.ciqfunctions.udf.CIQ(mh_ticker, "IQ_TOTAL_DEBT_EXCL_OPER_LEASES", , B776), "")</f>
        <v/>
      </c>
      <c r="H776" s="11">
        <f>IFERROR(_xll.ciqfunctions.udf.CIQ(mh_ticker, "IQ_PREF_EQUITY", , B776), "")</f>
        <v/>
      </c>
      <c r="I776" s="11">
        <f>IFERROR(_xll.ciqfunctions.udf.CIQ(mh_ticker, "IQ_MINORITY_INTEREST", , B776), "")</f>
        <v/>
      </c>
      <c r="J776" s="11">
        <f>IFERROR(_xll.ciqfunctions.udf.CIQ(mh_ticker, "IQ_EQUITY_METHOD", , B776), "")</f>
        <v/>
      </c>
      <c r="K776" s="11">
        <f>IFERROR(_xll.ciqfunctions.udf.CIQ(mh_ticker, "IQ_LT_Mark_Securities", , B776), "")</f>
        <v/>
      </c>
      <c r="L776" s="12">
        <f>IFERROR(C776*D776, "")</f>
        <v/>
      </c>
      <c r="M776" s="12">
        <f>IFERROR(L776-E776-F776+G776+H776+I776-J776-K776, "")</f>
        <v/>
      </c>
      <c r="N776" s="11">
        <f>IFERROR(_xll.ciqfunctions.udf.CIQ(mh_ticker, "IQ_EBITDA_EST", IQ_NTM, B776, , , "USD"), "")</f>
        <v/>
      </c>
      <c r="O776" s="13">
        <f>IFERROR(M776/N776, "")</f>
        <v/>
      </c>
    </row>
    <row r="777">
      <c r="B777" s="8" t="n"/>
      <c r="C777" s="9">
        <f>IFERROR(_xll.ciqfunctions.udf.CIQ(mh_ticker, "IQ_LASTSALEPRICE", B777), "")</f>
        <v/>
      </c>
      <c r="D777" s="10">
        <f>IFERROR(_xll.ciqfunctions.udf.CIQ(mh_ticker, "IQ_SHARESOUTSTANDING_OUT", B777), "")</f>
        <v/>
      </c>
      <c r="E777" s="11">
        <f>IFERROR(_xll.ciqfunctions.udf.CIQ(mh_ticker, "IQ_CASH_EQUIV", , B777), "")</f>
        <v/>
      </c>
      <c r="F777" s="11">
        <f>IFERROR(_xll.ciqfunctions.udf.CIQ(mh_ticker, "IQ_ST_INVEST", , B777), "")</f>
        <v/>
      </c>
      <c r="G777" s="11">
        <f>IFERROR(_xll.ciqfunctions.udf.CIQ(mh_ticker, "IQ_TOTAL_DEBT_EXCL_OPER_LEASES", , B777), "")</f>
        <v/>
      </c>
      <c r="H777" s="11">
        <f>IFERROR(_xll.ciqfunctions.udf.CIQ(mh_ticker, "IQ_PREF_EQUITY", , B777), "")</f>
        <v/>
      </c>
      <c r="I777" s="11">
        <f>IFERROR(_xll.ciqfunctions.udf.CIQ(mh_ticker, "IQ_MINORITY_INTEREST", , B777), "")</f>
        <v/>
      </c>
      <c r="J777" s="11">
        <f>IFERROR(_xll.ciqfunctions.udf.CIQ(mh_ticker, "IQ_EQUITY_METHOD", , B777), "")</f>
        <v/>
      </c>
      <c r="K777" s="11">
        <f>IFERROR(_xll.ciqfunctions.udf.CIQ(mh_ticker, "IQ_LT_Mark_Securities", , B777), "")</f>
        <v/>
      </c>
      <c r="L777" s="12">
        <f>IFERROR(C777*D777, "")</f>
        <v/>
      </c>
      <c r="M777" s="12">
        <f>IFERROR(L777-E777-F777+G777+H777+I777-J777-K777, "")</f>
        <v/>
      </c>
      <c r="N777" s="11">
        <f>IFERROR(_xll.ciqfunctions.udf.CIQ(mh_ticker, "IQ_EBITDA_EST", IQ_NTM, B777, , , "USD"), "")</f>
        <v/>
      </c>
      <c r="O777" s="13">
        <f>IFERROR(M777/N777, "")</f>
        <v/>
      </c>
    </row>
    <row r="778">
      <c r="B778" s="8" t="n"/>
      <c r="C778" s="9">
        <f>IFERROR(_xll.ciqfunctions.udf.CIQ(mh_ticker, "IQ_LASTSALEPRICE", B778), "")</f>
        <v/>
      </c>
      <c r="D778" s="10">
        <f>IFERROR(_xll.ciqfunctions.udf.CIQ(mh_ticker, "IQ_SHARESOUTSTANDING_OUT", B778), "")</f>
        <v/>
      </c>
      <c r="E778" s="11">
        <f>IFERROR(_xll.ciqfunctions.udf.CIQ(mh_ticker, "IQ_CASH_EQUIV", , B778), "")</f>
        <v/>
      </c>
      <c r="F778" s="11">
        <f>IFERROR(_xll.ciqfunctions.udf.CIQ(mh_ticker, "IQ_ST_INVEST", , B778), "")</f>
        <v/>
      </c>
      <c r="G778" s="11">
        <f>IFERROR(_xll.ciqfunctions.udf.CIQ(mh_ticker, "IQ_TOTAL_DEBT_EXCL_OPER_LEASES", , B778), "")</f>
        <v/>
      </c>
      <c r="H778" s="11">
        <f>IFERROR(_xll.ciqfunctions.udf.CIQ(mh_ticker, "IQ_PREF_EQUITY", , B778), "")</f>
        <v/>
      </c>
      <c r="I778" s="11">
        <f>IFERROR(_xll.ciqfunctions.udf.CIQ(mh_ticker, "IQ_MINORITY_INTEREST", , B778), "")</f>
        <v/>
      </c>
      <c r="J778" s="11">
        <f>IFERROR(_xll.ciqfunctions.udf.CIQ(mh_ticker, "IQ_EQUITY_METHOD", , B778), "")</f>
        <v/>
      </c>
      <c r="K778" s="11">
        <f>IFERROR(_xll.ciqfunctions.udf.CIQ(mh_ticker, "IQ_LT_Mark_Securities", , B778), "")</f>
        <v/>
      </c>
      <c r="L778" s="12">
        <f>IFERROR(C778*D778, "")</f>
        <v/>
      </c>
      <c r="M778" s="12">
        <f>IFERROR(L778-E778-F778+G778+H778+I778-J778-K778, "")</f>
        <v/>
      </c>
      <c r="N778" s="11">
        <f>IFERROR(_xll.ciqfunctions.udf.CIQ(mh_ticker, "IQ_EBITDA_EST", IQ_NTM, B778, , , "USD"), "")</f>
        <v/>
      </c>
      <c r="O778" s="13">
        <f>IFERROR(M778/N778, "")</f>
        <v/>
      </c>
    </row>
    <row r="779">
      <c r="B779" s="8" t="n"/>
      <c r="C779" s="9">
        <f>IFERROR(_xll.ciqfunctions.udf.CIQ(mh_ticker, "IQ_LASTSALEPRICE", B779), "")</f>
        <v/>
      </c>
      <c r="D779" s="10">
        <f>IFERROR(_xll.ciqfunctions.udf.CIQ(mh_ticker, "IQ_SHARESOUTSTANDING_OUT", B779), "")</f>
        <v/>
      </c>
      <c r="E779" s="11">
        <f>IFERROR(_xll.ciqfunctions.udf.CIQ(mh_ticker, "IQ_CASH_EQUIV", , B779), "")</f>
        <v/>
      </c>
      <c r="F779" s="11">
        <f>IFERROR(_xll.ciqfunctions.udf.CIQ(mh_ticker, "IQ_ST_INVEST", , B779), "")</f>
        <v/>
      </c>
      <c r="G779" s="11">
        <f>IFERROR(_xll.ciqfunctions.udf.CIQ(mh_ticker, "IQ_TOTAL_DEBT_EXCL_OPER_LEASES", , B779), "")</f>
        <v/>
      </c>
      <c r="H779" s="11">
        <f>IFERROR(_xll.ciqfunctions.udf.CIQ(mh_ticker, "IQ_PREF_EQUITY", , B779), "")</f>
        <v/>
      </c>
      <c r="I779" s="11">
        <f>IFERROR(_xll.ciqfunctions.udf.CIQ(mh_ticker, "IQ_MINORITY_INTEREST", , B779), "")</f>
        <v/>
      </c>
      <c r="J779" s="11">
        <f>IFERROR(_xll.ciqfunctions.udf.CIQ(mh_ticker, "IQ_EQUITY_METHOD", , B779), "")</f>
        <v/>
      </c>
      <c r="K779" s="11">
        <f>IFERROR(_xll.ciqfunctions.udf.CIQ(mh_ticker, "IQ_LT_Mark_Securities", , B779), "")</f>
        <v/>
      </c>
      <c r="L779" s="12">
        <f>IFERROR(C779*D779, "")</f>
        <v/>
      </c>
      <c r="M779" s="12">
        <f>IFERROR(L779-E779-F779+G779+H779+I779-J779-K779, "")</f>
        <v/>
      </c>
      <c r="N779" s="11">
        <f>IFERROR(_xll.ciqfunctions.udf.CIQ(mh_ticker, "IQ_EBITDA_EST", IQ_NTM, B779, , , "USD"), "")</f>
        <v/>
      </c>
      <c r="O779" s="13">
        <f>IFERROR(M779/N779, "")</f>
        <v/>
      </c>
    </row>
    <row r="780">
      <c r="B780" s="8" t="n"/>
      <c r="C780" s="9">
        <f>IFERROR(_xll.ciqfunctions.udf.CIQ(mh_ticker, "IQ_LASTSALEPRICE", B780), "")</f>
        <v/>
      </c>
      <c r="D780" s="10">
        <f>IFERROR(_xll.ciqfunctions.udf.CIQ(mh_ticker, "IQ_SHARESOUTSTANDING_OUT", B780), "")</f>
        <v/>
      </c>
      <c r="E780" s="11">
        <f>IFERROR(_xll.ciqfunctions.udf.CIQ(mh_ticker, "IQ_CASH_EQUIV", , B780), "")</f>
        <v/>
      </c>
      <c r="F780" s="11">
        <f>IFERROR(_xll.ciqfunctions.udf.CIQ(mh_ticker, "IQ_ST_INVEST", , B780), "")</f>
        <v/>
      </c>
      <c r="G780" s="11">
        <f>IFERROR(_xll.ciqfunctions.udf.CIQ(mh_ticker, "IQ_TOTAL_DEBT_EXCL_OPER_LEASES", , B780), "")</f>
        <v/>
      </c>
      <c r="H780" s="11">
        <f>IFERROR(_xll.ciqfunctions.udf.CIQ(mh_ticker, "IQ_PREF_EQUITY", , B780), "")</f>
        <v/>
      </c>
      <c r="I780" s="11">
        <f>IFERROR(_xll.ciqfunctions.udf.CIQ(mh_ticker, "IQ_MINORITY_INTEREST", , B780), "")</f>
        <v/>
      </c>
      <c r="J780" s="11">
        <f>IFERROR(_xll.ciqfunctions.udf.CIQ(mh_ticker, "IQ_EQUITY_METHOD", , B780), "")</f>
        <v/>
      </c>
      <c r="K780" s="11">
        <f>IFERROR(_xll.ciqfunctions.udf.CIQ(mh_ticker, "IQ_LT_Mark_Securities", , B780), "")</f>
        <v/>
      </c>
      <c r="L780" s="12">
        <f>IFERROR(C780*D780, "")</f>
        <v/>
      </c>
      <c r="M780" s="12">
        <f>IFERROR(L780-E780-F780+G780+H780+I780-J780-K780, "")</f>
        <v/>
      </c>
      <c r="N780" s="11">
        <f>IFERROR(_xll.ciqfunctions.udf.CIQ(mh_ticker, "IQ_EBITDA_EST", IQ_NTM, B780, , , "USD"), "")</f>
        <v/>
      </c>
      <c r="O780" s="13">
        <f>IFERROR(M780/N780, "")</f>
        <v/>
      </c>
    </row>
    <row r="781">
      <c r="B781" s="8" t="n"/>
      <c r="C781" s="9">
        <f>IFERROR(_xll.ciqfunctions.udf.CIQ(mh_ticker, "IQ_LASTSALEPRICE", B781), "")</f>
        <v/>
      </c>
      <c r="D781" s="10">
        <f>IFERROR(_xll.ciqfunctions.udf.CIQ(mh_ticker, "IQ_SHARESOUTSTANDING_OUT", B781), "")</f>
        <v/>
      </c>
      <c r="E781" s="11">
        <f>IFERROR(_xll.ciqfunctions.udf.CIQ(mh_ticker, "IQ_CASH_EQUIV", , B781), "")</f>
        <v/>
      </c>
      <c r="F781" s="11">
        <f>IFERROR(_xll.ciqfunctions.udf.CIQ(mh_ticker, "IQ_ST_INVEST", , B781), "")</f>
        <v/>
      </c>
      <c r="G781" s="11">
        <f>IFERROR(_xll.ciqfunctions.udf.CIQ(mh_ticker, "IQ_TOTAL_DEBT_EXCL_OPER_LEASES", , B781), "")</f>
        <v/>
      </c>
      <c r="H781" s="11">
        <f>IFERROR(_xll.ciqfunctions.udf.CIQ(mh_ticker, "IQ_PREF_EQUITY", , B781), "")</f>
        <v/>
      </c>
      <c r="I781" s="11">
        <f>IFERROR(_xll.ciqfunctions.udf.CIQ(mh_ticker, "IQ_MINORITY_INTEREST", , B781), "")</f>
        <v/>
      </c>
      <c r="J781" s="11">
        <f>IFERROR(_xll.ciqfunctions.udf.CIQ(mh_ticker, "IQ_EQUITY_METHOD", , B781), "")</f>
        <v/>
      </c>
      <c r="K781" s="11">
        <f>IFERROR(_xll.ciqfunctions.udf.CIQ(mh_ticker, "IQ_LT_Mark_Securities", , B781), "")</f>
        <v/>
      </c>
      <c r="L781" s="12">
        <f>IFERROR(C781*D781, "")</f>
        <v/>
      </c>
      <c r="M781" s="12">
        <f>IFERROR(L781-E781-F781+G781+H781+I781-J781-K781, "")</f>
        <v/>
      </c>
      <c r="N781" s="11">
        <f>IFERROR(_xll.ciqfunctions.udf.CIQ(mh_ticker, "IQ_EBITDA_EST", IQ_NTM, B781, , , "USD"), "")</f>
        <v/>
      </c>
      <c r="O781" s="13">
        <f>IFERROR(M781/N781, "")</f>
        <v/>
      </c>
    </row>
    <row r="782">
      <c r="B782" s="8" t="n"/>
      <c r="C782" s="9">
        <f>IFERROR(_xll.ciqfunctions.udf.CIQ(mh_ticker, "IQ_LASTSALEPRICE", B782), "")</f>
        <v/>
      </c>
      <c r="D782" s="10">
        <f>IFERROR(_xll.ciqfunctions.udf.CIQ(mh_ticker, "IQ_SHARESOUTSTANDING_OUT", B782), "")</f>
        <v/>
      </c>
      <c r="E782" s="11">
        <f>IFERROR(_xll.ciqfunctions.udf.CIQ(mh_ticker, "IQ_CASH_EQUIV", , B782), "")</f>
        <v/>
      </c>
      <c r="F782" s="11">
        <f>IFERROR(_xll.ciqfunctions.udf.CIQ(mh_ticker, "IQ_ST_INVEST", , B782), "")</f>
        <v/>
      </c>
      <c r="G782" s="11">
        <f>IFERROR(_xll.ciqfunctions.udf.CIQ(mh_ticker, "IQ_TOTAL_DEBT_EXCL_OPER_LEASES", , B782), "")</f>
        <v/>
      </c>
      <c r="H782" s="11">
        <f>IFERROR(_xll.ciqfunctions.udf.CIQ(mh_ticker, "IQ_PREF_EQUITY", , B782), "")</f>
        <v/>
      </c>
      <c r="I782" s="11">
        <f>IFERROR(_xll.ciqfunctions.udf.CIQ(mh_ticker, "IQ_MINORITY_INTEREST", , B782), "")</f>
        <v/>
      </c>
      <c r="J782" s="11">
        <f>IFERROR(_xll.ciqfunctions.udf.CIQ(mh_ticker, "IQ_EQUITY_METHOD", , B782), "")</f>
        <v/>
      </c>
      <c r="K782" s="11">
        <f>IFERROR(_xll.ciqfunctions.udf.CIQ(mh_ticker, "IQ_LT_Mark_Securities", , B782), "")</f>
        <v/>
      </c>
      <c r="L782" s="12">
        <f>IFERROR(C782*D782, "")</f>
        <v/>
      </c>
      <c r="M782" s="12">
        <f>IFERROR(L782-E782-F782+G782+H782+I782-J782-K782, "")</f>
        <v/>
      </c>
      <c r="N782" s="11">
        <f>IFERROR(_xll.ciqfunctions.udf.CIQ(mh_ticker, "IQ_EBITDA_EST", IQ_NTM, B782, , , "USD"), "")</f>
        <v/>
      </c>
      <c r="O782" s="13">
        <f>IFERROR(M782/N782, "")</f>
        <v/>
      </c>
    </row>
    <row r="783">
      <c r="B783" s="8" t="n"/>
      <c r="C783" s="9">
        <f>IFERROR(_xll.ciqfunctions.udf.CIQ(mh_ticker, "IQ_LASTSALEPRICE", B783), "")</f>
        <v/>
      </c>
      <c r="D783" s="10">
        <f>IFERROR(_xll.ciqfunctions.udf.CIQ(mh_ticker, "IQ_SHARESOUTSTANDING_OUT", B783), "")</f>
        <v/>
      </c>
      <c r="E783" s="11">
        <f>IFERROR(_xll.ciqfunctions.udf.CIQ(mh_ticker, "IQ_CASH_EQUIV", , B783), "")</f>
        <v/>
      </c>
      <c r="F783" s="11">
        <f>IFERROR(_xll.ciqfunctions.udf.CIQ(mh_ticker, "IQ_ST_INVEST", , B783), "")</f>
        <v/>
      </c>
      <c r="G783" s="11">
        <f>IFERROR(_xll.ciqfunctions.udf.CIQ(mh_ticker, "IQ_TOTAL_DEBT_EXCL_OPER_LEASES", , B783), "")</f>
        <v/>
      </c>
      <c r="H783" s="11">
        <f>IFERROR(_xll.ciqfunctions.udf.CIQ(mh_ticker, "IQ_PREF_EQUITY", , B783), "")</f>
        <v/>
      </c>
      <c r="I783" s="11">
        <f>IFERROR(_xll.ciqfunctions.udf.CIQ(mh_ticker, "IQ_MINORITY_INTEREST", , B783), "")</f>
        <v/>
      </c>
      <c r="J783" s="11">
        <f>IFERROR(_xll.ciqfunctions.udf.CIQ(mh_ticker, "IQ_EQUITY_METHOD", , B783), "")</f>
        <v/>
      </c>
      <c r="K783" s="11">
        <f>IFERROR(_xll.ciqfunctions.udf.CIQ(mh_ticker, "IQ_LT_Mark_Securities", , B783), "")</f>
        <v/>
      </c>
      <c r="L783" s="12">
        <f>IFERROR(C783*D783, "")</f>
        <v/>
      </c>
      <c r="M783" s="12">
        <f>IFERROR(L783-E783-F783+G783+H783+I783-J783-K783, "")</f>
        <v/>
      </c>
      <c r="N783" s="11">
        <f>IFERROR(_xll.ciqfunctions.udf.CIQ(mh_ticker, "IQ_EBITDA_EST", IQ_NTM, B783, , , "USD"), "")</f>
        <v/>
      </c>
      <c r="O783" s="13">
        <f>IFERROR(M783/N783, "")</f>
        <v/>
      </c>
    </row>
    <row r="784">
      <c r="B784" s="8" t="n"/>
      <c r="C784" s="9">
        <f>IFERROR(_xll.ciqfunctions.udf.CIQ(mh_ticker, "IQ_LASTSALEPRICE", B784), "")</f>
        <v/>
      </c>
      <c r="D784" s="10">
        <f>IFERROR(_xll.ciqfunctions.udf.CIQ(mh_ticker, "IQ_SHARESOUTSTANDING_OUT", B784), "")</f>
        <v/>
      </c>
      <c r="E784" s="11">
        <f>IFERROR(_xll.ciqfunctions.udf.CIQ(mh_ticker, "IQ_CASH_EQUIV", , B784), "")</f>
        <v/>
      </c>
      <c r="F784" s="11">
        <f>IFERROR(_xll.ciqfunctions.udf.CIQ(mh_ticker, "IQ_ST_INVEST", , B784), "")</f>
        <v/>
      </c>
      <c r="G784" s="11">
        <f>IFERROR(_xll.ciqfunctions.udf.CIQ(mh_ticker, "IQ_TOTAL_DEBT_EXCL_OPER_LEASES", , B784), "")</f>
        <v/>
      </c>
      <c r="H784" s="11">
        <f>IFERROR(_xll.ciqfunctions.udf.CIQ(mh_ticker, "IQ_PREF_EQUITY", , B784), "")</f>
        <v/>
      </c>
      <c r="I784" s="11">
        <f>IFERROR(_xll.ciqfunctions.udf.CIQ(mh_ticker, "IQ_MINORITY_INTEREST", , B784), "")</f>
        <v/>
      </c>
      <c r="J784" s="11">
        <f>IFERROR(_xll.ciqfunctions.udf.CIQ(mh_ticker, "IQ_EQUITY_METHOD", , B784), "")</f>
        <v/>
      </c>
      <c r="K784" s="11">
        <f>IFERROR(_xll.ciqfunctions.udf.CIQ(mh_ticker, "IQ_LT_Mark_Securities", , B784), "")</f>
        <v/>
      </c>
      <c r="L784" s="12">
        <f>IFERROR(C784*D784, "")</f>
        <v/>
      </c>
      <c r="M784" s="12">
        <f>IFERROR(L784-E784-F784+G784+H784+I784-J784-K784, "")</f>
        <v/>
      </c>
      <c r="N784" s="11">
        <f>IFERROR(_xll.ciqfunctions.udf.CIQ(mh_ticker, "IQ_EBITDA_EST", IQ_NTM, B784, , , "USD"), "")</f>
        <v/>
      </c>
      <c r="O784" s="13">
        <f>IFERROR(M784/N784, "")</f>
        <v/>
      </c>
    </row>
    <row r="785">
      <c r="B785" s="8" t="n"/>
      <c r="C785" s="9">
        <f>IFERROR(_xll.ciqfunctions.udf.CIQ(mh_ticker, "IQ_LASTSALEPRICE", B785), "")</f>
        <v/>
      </c>
      <c r="D785" s="10">
        <f>IFERROR(_xll.ciqfunctions.udf.CIQ(mh_ticker, "IQ_SHARESOUTSTANDING_OUT", B785), "")</f>
        <v/>
      </c>
      <c r="E785" s="11">
        <f>IFERROR(_xll.ciqfunctions.udf.CIQ(mh_ticker, "IQ_CASH_EQUIV", , B785), "")</f>
        <v/>
      </c>
      <c r="F785" s="11">
        <f>IFERROR(_xll.ciqfunctions.udf.CIQ(mh_ticker, "IQ_ST_INVEST", , B785), "")</f>
        <v/>
      </c>
      <c r="G785" s="11">
        <f>IFERROR(_xll.ciqfunctions.udf.CIQ(mh_ticker, "IQ_TOTAL_DEBT_EXCL_OPER_LEASES", , B785), "")</f>
        <v/>
      </c>
      <c r="H785" s="11">
        <f>IFERROR(_xll.ciqfunctions.udf.CIQ(mh_ticker, "IQ_PREF_EQUITY", , B785), "")</f>
        <v/>
      </c>
      <c r="I785" s="11">
        <f>IFERROR(_xll.ciqfunctions.udf.CIQ(mh_ticker, "IQ_MINORITY_INTEREST", , B785), "")</f>
        <v/>
      </c>
      <c r="J785" s="11">
        <f>IFERROR(_xll.ciqfunctions.udf.CIQ(mh_ticker, "IQ_EQUITY_METHOD", , B785), "")</f>
        <v/>
      </c>
      <c r="K785" s="11">
        <f>IFERROR(_xll.ciqfunctions.udf.CIQ(mh_ticker, "IQ_LT_Mark_Securities", , B785), "")</f>
        <v/>
      </c>
      <c r="L785" s="12">
        <f>IFERROR(C785*D785, "")</f>
        <v/>
      </c>
      <c r="M785" s="12">
        <f>IFERROR(L785-E785-F785+G785+H785+I785-J785-K785, "")</f>
        <v/>
      </c>
      <c r="N785" s="11">
        <f>IFERROR(_xll.ciqfunctions.udf.CIQ(mh_ticker, "IQ_EBITDA_EST", IQ_NTM, B785, , , "USD"), "")</f>
        <v/>
      </c>
      <c r="O785" s="13">
        <f>IFERROR(M785/N785, "")</f>
        <v/>
      </c>
    </row>
    <row r="786">
      <c r="B786" s="8" t="n"/>
      <c r="C786" s="9">
        <f>IFERROR(_xll.ciqfunctions.udf.CIQ(mh_ticker, "IQ_LASTSALEPRICE", B786), "")</f>
        <v/>
      </c>
      <c r="D786" s="10">
        <f>IFERROR(_xll.ciqfunctions.udf.CIQ(mh_ticker, "IQ_SHARESOUTSTANDING_OUT", B786), "")</f>
        <v/>
      </c>
      <c r="E786" s="11">
        <f>IFERROR(_xll.ciqfunctions.udf.CIQ(mh_ticker, "IQ_CASH_EQUIV", , B786), "")</f>
        <v/>
      </c>
      <c r="F786" s="11">
        <f>IFERROR(_xll.ciqfunctions.udf.CIQ(mh_ticker, "IQ_ST_INVEST", , B786), "")</f>
        <v/>
      </c>
      <c r="G786" s="11">
        <f>IFERROR(_xll.ciqfunctions.udf.CIQ(mh_ticker, "IQ_TOTAL_DEBT_EXCL_OPER_LEASES", , B786), "")</f>
        <v/>
      </c>
      <c r="H786" s="11">
        <f>IFERROR(_xll.ciqfunctions.udf.CIQ(mh_ticker, "IQ_PREF_EQUITY", , B786), "")</f>
        <v/>
      </c>
      <c r="I786" s="11">
        <f>IFERROR(_xll.ciqfunctions.udf.CIQ(mh_ticker, "IQ_MINORITY_INTEREST", , B786), "")</f>
        <v/>
      </c>
      <c r="J786" s="11">
        <f>IFERROR(_xll.ciqfunctions.udf.CIQ(mh_ticker, "IQ_EQUITY_METHOD", , B786), "")</f>
        <v/>
      </c>
      <c r="K786" s="11">
        <f>IFERROR(_xll.ciqfunctions.udf.CIQ(mh_ticker, "IQ_LT_Mark_Securities", , B786), "")</f>
        <v/>
      </c>
      <c r="L786" s="12">
        <f>IFERROR(C786*D786, "")</f>
        <v/>
      </c>
      <c r="M786" s="12">
        <f>IFERROR(L786-E786-F786+G786+H786+I786-J786-K786, "")</f>
        <v/>
      </c>
      <c r="N786" s="11">
        <f>IFERROR(_xll.ciqfunctions.udf.CIQ(mh_ticker, "IQ_EBITDA_EST", IQ_NTM, B786, , , "USD"), "")</f>
        <v/>
      </c>
      <c r="O786" s="13">
        <f>IFERROR(M786/N786, "")</f>
        <v/>
      </c>
    </row>
    <row r="787">
      <c r="B787" s="8" t="n"/>
      <c r="C787" s="9">
        <f>IFERROR(_xll.ciqfunctions.udf.CIQ(mh_ticker, "IQ_LASTSALEPRICE", B787), "")</f>
        <v/>
      </c>
      <c r="D787" s="10">
        <f>IFERROR(_xll.ciqfunctions.udf.CIQ(mh_ticker, "IQ_SHARESOUTSTANDING_OUT", B787), "")</f>
        <v/>
      </c>
      <c r="E787" s="11">
        <f>IFERROR(_xll.ciqfunctions.udf.CIQ(mh_ticker, "IQ_CASH_EQUIV", , B787), "")</f>
        <v/>
      </c>
      <c r="F787" s="11">
        <f>IFERROR(_xll.ciqfunctions.udf.CIQ(mh_ticker, "IQ_ST_INVEST", , B787), "")</f>
        <v/>
      </c>
      <c r="G787" s="11">
        <f>IFERROR(_xll.ciqfunctions.udf.CIQ(mh_ticker, "IQ_TOTAL_DEBT_EXCL_OPER_LEASES", , B787), "")</f>
        <v/>
      </c>
      <c r="H787" s="11">
        <f>IFERROR(_xll.ciqfunctions.udf.CIQ(mh_ticker, "IQ_PREF_EQUITY", , B787), "")</f>
        <v/>
      </c>
      <c r="I787" s="11">
        <f>IFERROR(_xll.ciqfunctions.udf.CIQ(mh_ticker, "IQ_MINORITY_INTEREST", , B787), "")</f>
        <v/>
      </c>
      <c r="J787" s="11">
        <f>IFERROR(_xll.ciqfunctions.udf.CIQ(mh_ticker, "IQ_EQUITY_METHOD", , B787), "")</f>
        <v/>
      </c>
      <c r="K787" s="11">
        <f>IFERROR(_xll.ciqfunctions.udf.CIQ(mh_ticker, "IQ_LT_Mark_Securities", , B787), "")</f>
        <v/>
      </c>
      <c r="L787" s="12">
        <f>IFERROR(C787*D787, "")</f>
        <v/>
      </c>
      <c r="M787" s="12">
        <f>IFERROR(L787-E787-F787+G787+H787+I787-J787-K787, "")</f>
        <v/>
      </c>
      <c r="N787" s="11">
        <f>IFERROR(_xll.ciqfunctions.udf.CIQ(mh_ticker, "IQ_EBITDA_EST", IQ_NTM, B787, , , "USD"), "")</f>
        <v/>
      </c>
      <c r="O787" s="13">
        <f>IFERROR(M787/N787, "")</f>
        <v/>
      </c>
    </row>
    <row r="788">
      <c r="B788" s="8" t="n"/>
      <c r="C788" s="9">
        <f>IFERROR(_xll.ciqfunctions.udf.CIQ(mh_ticker, "IQ_LASTSALEPRICE", B788), "")</f>
        <v/>
      </c>
      <c r="D788" s="10">
        <f>IFERROR(_xll.ciqfunctions.udf.CIQ(mh_ticker, "IQ_SHARESOUTSTANDING_OUT", B788), "")</f>
        <v/>
      </c>
      <c r="E788" s="11">
        <f>IFERROR(_xll.ciqfunctions.udf.CIQ(mh_ticker, "IQ_CASH_EQUIV", , B788), "")</f>
        <v/>
      </c>
      <c r="F788" s="11">
        <f>IFERROR(_xll.ciqfunctions.udf.CIQ(mh_ticker, "IQ_ST_INVEST", , B788), "")</f>
        <v/>
      </c>
      <c r="G788" s="11">
        <f>IFERROR(_xll.ciqfunctions.udf.CIQ(mh_ticker, "IQ_TOTAL_DEBT_EXCL_OPER_LEASES", , B788), "")</f>
        <v/>
      </c>
      <c r="H788" s="11">
        <f>IFERROR(_xll.ciqfunctions.udf.CIQ(mh_ticker, "IQ_PREF_EQUITY", , B788), "")</f>
        <v/>
      </c>
      <c r="I788" s="11">
        <f>IFERROR(_xll.ciqfunctions.udf.CIQ(mh_ticker, "IQ_MINORITY_INTEREST", , B788), "")</f>
        <v/>
      </c>
      <c r="J788" s="11">
        <f>IFERROR(_xll.ciqfunctions.udf.CIQ(mh_ticker, "IQ_EQUITY_METHOD", , B788), "")</f>
        <v/>
      </c>
      <c r="K788" s="11">
        <f>IFERROR(_xll.ciqfunctions.udf.CIQ(mh_ticker, "IQ_LT_Mark_Securities", , B788), "")</f>
        <v/>
      </c>
      <c r="L788" s="12">
        <f>IFERROR(C788*D788, "")</f>
        <v/>
      </c>
      <c r="M788" s="12">
        <f>IFERROR(L788-E788-F788+G788+H788+I788-J788-K788, "")</f>
        <v/>
      </c>
      <c r="N788" s="11">
        <f>IFERROR(_xll.ciqfunctions.udf.CIQ(mh_ticker, "IQ_EBITDA_EST", IQ_NTM, B788, , , "USD"), "")</f>
        <v/>
      </c>
      <c r="O788" s="13">
        <f>IFERROR(M788/N788, "")</f>
        <v/>
      </c>
    </row>
    <row r="789">
      <c r="B789" s="8" t="n"/>
      <c r="C789" s="9">
        <f>IFERROR(_xll.ciqfunctions.udf.CIQ(mh_ticker, "IQ_LASTSALEPRICE", B789), "")</f>
        <v/>
      </c>
      <c r="D789" s="10">
        <f>IFERROR(_xll.ciqfunctions.udf.CIQ(mh_ticker, "IQ_SHARESOUTSTANDING_OUT", B789), "")</f>
        <v/>
      </c>
      <c r="E789" s="11">
        <f>IFERROR(_xll.ciqfunctions.udf.CIQ(mh_ticker, "IQ_CASH_EQUIV", , B789), "")</f>
        <v/>
      </c>
      <c r="F789" s="11">
        <f>IFERROR(_xll.ciqfunctions.udf.CIQ(mh_ticker, "IQ_ST_INVEST", , B789), "")</f>
        <v/>
      </c>
      <c r="G789" s="11">
        <f>IFERROR(_xll.ciqfunctions.udf.CIQ(mh_ticker, "IQ_TOTAL_DEBT_EXCL_OPER_LEASES", , B789), "")</f>
        <v/>
      </c>
      <c r="H789" s="11">
        <f>IFERROR(_xll.ciqfunctions.udf.CIQ(mh_ticker, "IQ_PREF_EQUITY", , B789), "")</f>
        <v/>
      </c>
      <c r="I789" s="11">
        <f>IFERROR(_xll.ciqfunctions.udf.CIQ(mh_ticker, "IQ_MINORITY_INTEREST", , B789), "")</f>
        <v/>
      </c>
      <c r="J789" s="11">
        <f>IFERROR(_xll.ciqfunctions.udf.CIQ(mh_ticker, "IQ_EQUITY_METHOD", , B789), "")</f>
        <v/>
      </c>
      <c r="K789" s="11">
        <f>IFERROR(_xll.ciqfunctions.udf.CIQ(mh_ticker, "IQ_LT_Mark_Securities", , B789), "")</f>
        <v/>
      </c>
      <c r="L789" s="12">
        <f>IFERROR(C789*D789, "")</f>
        <v/>
      </c>
      <c r="M789" s="12">
        <f>IFERROR(L789-E789-F789+G789+H789+I789-J789-K789, "")</f>
        <v/>
      </c>
      <c r="N789" s="11">
        <f>IFERROR(_xll.ciqfunctions.udf.CIQ(mh_ticker, "IQ_EBITDA_EST", IQ_NTM, B789, , , "USD"), "")</f>
        <v/>
      </c>
      <c r="O789" s="13">
        <f>IFERROR(M789/N789, "")</f>
        <v/>
      </c>
    </row>
    <row r="790">
      <c r="B790" s="8" t="n"/>
      <c r="C790" s="9">
        <f>IFERROR(_xll.ciqfunctions.udf.CIQ(mh_ticker, "IQ_LASTSALEPRICE", B790), "")</f>
        <v/>
      </c>
      <c r="D790" s="10">
        <f>IFERROR(_xll.ciqfunctions.udf.CIQ(mh_ticker, "IQ_SHARESOUTSTANDING_OUT", B790), "")</f>
        <v/>
      </c>
      <c r="E790" s="11">
        <f>IFERROR(_xll.ciqfunctions.udf.CIQ(mh_ticker, "IQ_CASH_EQUIV", , B790), "")</f>
        <v/>
      </c>
      <c r="F790" s="11">
        <f>IFERROR(_xll.ciqfunctions.udf.CIQ(mh_ticker, "IQ_ST_INVEST", , B790), "")</f>
        <v/>
      </c>
      <c r="G790" s="11">
        <f>IFERROR(_xll.ciqfunctions.udf.CIQ(mh_ticker, "IQ_TOTAL_DEBT_EXCL_OPER_LEASES", , B790), "")</f>
        <v/>
      </c>
      <c r="H790" s="11">
        <f>IFERROR(_xll.ciqfunctions.udf.CIQ(mh_ticker, "IQ_PREF_EQUITY", , B790), "")</f>
        <v/>
      </c>
      <c r="I790" s="11">
        <f>IFERROR(_xll.ciqfunctions.udf.CIQ(mh_ticker, "IQ_MINORITY_INTEREST", , B790), "")</f>
        <v/>
      </c>
      <c r="J790" s="11">
        <f>IFERROR(_xll.ciqfunctions.udf.CIQ(mh_ticker, "IQ_EQUITY_METHOD", , B790), "")</f>
        <v/>
      </c>
      <c r="K790" s="11">
        <f>IFERROR(_xll.ciqfunctions.udf.CIQ(mh_ticker, "IQ_LT_Mark_Securities", , B790), "")</f>
        <v/>
      </c>
      <c r="L790" s="12">
        <f>IFERROR(C790*D790, "")</f>
        <v/>
      </c>
      <c r="M790" s="12">
        <f>IFERROR(L790-E790-F790+G790+H790+I790-J790-K790, "")</f>
        <v/>
      </c>
      <c r="N790" s="11">
        <f>IFERROR(_xll.ciqfunctions.udf.CIQ(mh_ticker, "IQ_EBITDA_EST", IQ_NTM, B790, , , "USD"), "")</f>
        <v/>
      </c>
      <c r="O790" s="13">
        <f>IFERROR(M790/N790, "")</f>
        <v/>
      </c>
    </row>
    <row r="791">
      <c r="B791" s="8" t="n"/>
      <c r="C791" s="9">
        <f>IFERROR(_xll.ciqfunctions.udf.CIQ(mh_ticker, "IQ_LASTSALEPRICE", B791), "")</f>
        <v/>
      </c>
      <c r="D791" s="10">
        <f>IFERROR(_xll.ciqfunctions.udf.CIQ(mh_ticker, "IQ_SHARESOUTSTANDING_OUT", B791), "")</f>
        <v/>
      </c>
      <c r="E791" s="11">
        <f>IFERROR(_xll.ciqfunctions.udf.CIQ(mh_ticker, "IQ_CASH_EQUIV", , B791), "")</f>
        <v/>
      </c>
      <c r="F791" s="11">
        <f>IFERROR(_xll.ciqfunctions.udf.CIQ(mh_ticker, "IQ_ST_INVEST", , B791), "")</f>
        <v/>
      </c>
      <c r="G791" s="11">
        <f>IFERROR(_xll.ciqfunctions.udf.CIQ(mh_ticker, "IQ_TOTAL_DEBT_EXCL_OPER_LEASES", , B791), "")</f>
        <v/>
      </c>
      <c r="H791" s="11">
        <f>IFERROR(_xll.ciqfunctions.udf.CIQ(mh_ticker, "IQ_PREF_EQUITY", , B791), "")</f>
        <v/>
      </c>
      <c r="I791" s="11">
        <f>IFERROR(_xll.ciqfunctions.udf.CIQ(mh_ticker, "IQ_MINORITY_INTEREST", , B791), "")</f>
        <v/>
      </c>
      <c r="J791" s="11">
        <f>IFERROR(_xll.ciqfunctions.udf.CIQ(mh_ticker, "IQ_EQUITY_METHOD", , B791), "")</f>
        <v/>
      </c>
      <c r="K791" s="11">
        <f>IFERROR(_xll.ciqfunctions.udf.CIQ(mh_ticker, "IQ_LT_Mark_Securities", , B791), "")</f>
        <v/>
      </c>
      <c r="L791" s="12">
        <f>IFERROR(C791*D791, "")</f>
        <v/>
      </c>
      <c r="M791" s="12">
        <f>IFERROR(L791-E791-F791+G791+H791+I791-J791-K791, "")</f>
        <v/>
      </c>
      <c r="N791" s="11">
        <f>IFERROR(_xll.ciqfunctions.udf.CIQ(mh_ticker, "IQ_EBITDA_EST", IQ_NTM, B791, , , "USD"), "")</f>
        <v/>
      </c>
      <c r="O791" s="13">
        <f>IFERROR(M791/N791, "")</f>
        <v/>
      </c>
    </row>
    <row r="792">
      <c r="B792" s="8" t="n"/>
      <c r="C792" s="9">
        <f>IFERROR(_xll.ciqfunctions.udf.CIQ(mh_ticker, "IQ_LASTSALEPRICE", B792), "")</f>
        <v/>
      </c>
      <c r="D792" s="10">
        <f>IFERROR(_xll.ciqfunctions.udf.CIQ(mh_ticker, "IQ_SHARESOUTSTANDING_OUT", B792), "")</f>
        <v/>
      </c>
      <c r="E792" s="11">
        <f>IFERROR(_xll.ciqfunctions.udf.CIQ(mh_ticker, "IQ_CASH_EQUIV", , B792), "")</f>
        <v/>
      </c>
      <c r="F792" s="11">
        <f>IFERROR(_xll.ciqfunctions.udf.CIQ(mh_ticker, "IQ_ST_INVEST", , B792), "")</f>
        <v/>
      </c>
      <c r="G792" s="11">
        <f>IFERROR(_xll.ciqfunctions.udf.CIQ(mh_ticker, "IQ_TOTAL_DEBT_EXCL_OPER_LEASES", , B792), "")</f>
        <v/>
      </c>
      <c r="H792" s="11">
        <f>IFERROR(_xll.ciqfunctions.udf.CIQ(mh_ticker, "IQ_PREF_EQUITY", , B792), "")</f>
        <v/>
      </c>
      <c r="I792" s="11">
        <f>IFERROR(_xll.ciqfunctions.udf.CIQ(mh_ticker, "IQ_MINORITY_INTEREST", , B792), "")</f>
        <v/>
      </c>
      <c r="J792" s="11">
        <f>IFERROR(_xll.ciqfunctions.udf.CIQ(mh_ticker, "IQ_EQUITY_METHOD", , B792), "")</f>
        <v/>
      </c>
      <c r="K792" s="11">
        <f>IFERROR(_xll.ciqfunctions.udf.CIQ(mh_ticker, "IQ_LT_Mark_Securities", , B792), "")</f>
        <v/>
      </c>
      <c r="L792" s="12">
        <f>IFERROR(C792*D792, "")</f>
        <v/>
      </c>
      <c r="M792" s="12">
        <f>IFERROR(L792-E792-F792+G792+H792+I792-J792-K792, "")</f>
        <v/>
      </c>
      <c r="N792" s="11">
        <f>IFERROR(_xll.ciqfunctions.udf.CIQ(mh_ticker, "IQ_EBITDA_EST", IQ_NTM, B792, , , "USD"), "")</f>
        <v/>
      </c>
      <c r="O792" s="13">
        <f>IFERROR(M792/N792, "")</f>
        <v/>
      </c>
    </row>
    <row r="793">
      <c r="B793" s="8" t="n"/>
      <c r="C793" s="9">
        <f>IFERROR(_xll.ciqfunctions.udf.CIQ(mh_ticker, "IQ_LASTSALEPRICE", B793), "")</f>
        <v/>
      </c>
      <c r="D793" s="10">
        <f>IFERROR(_xll.ciqfunctions.udf.CIQ(mh_ticker, "IQ_SHARESOUTSTANDING_OUT", B793), "")</f>
        <v/>
      </c>
      <c r="E793" s="11">
        <f>IFERROR(_xll.ciqfunctions.udf.CIQ(mh_ticker, "IQ_CASH_EQUIV", , B793), "")</f>
        <v/>
      </c>
      <c r="F793" s="11">
        <f>IFERROR(_xll.ciqfunctions.udf.CIQ(mh_ticker, "IQ_ST_INVEST", , B793), "")</f>
        <v/>
      </c>
      <c r="G793" s="11">
        <f>IFERROR(_xll.ciqfunctions.udf.CIQ(mh_ticker, "IQ_TOTAL_DEBT_EXCL_OPER_LEASES", , B793), "")</f>
        <v/>
      </c>
      <c r="H793" s="11">
        <f>IFERROR(_xll.ciqfunctions.udf.CIQ(mh_ticker, "IQ_PREF_EQUITY", , B793), "")</f>
        <v/>
      </c>
      <c r="I793" s="11">
        <f>IFERROR(_xll.ciqfunctions.udf.CIQ(mh_ticker, "IQ_MINORITY_INTEREST", , B793), "")</f>
        <v/>
      </c>
      <c r="J793" s="11">
        <f>IFERROR(_xll.ciqfunctions.udf.CIQ(mh_ticker, "IQ_EQUITY_METHOD", , B793), "")</f>
        <v/>
      </c>
      <c r="K793" s="11">
        <f>IFERROR(_xll.ciqfunctions.udf.CIQ(mh_ticker, "IQ_LT_Mark_Securities", , B793), "")</f>
        <v/>
      </c>
      <c r="L793" s="12">
        <f>IFERROR(C793*D793, "")</f>
        <v/>
      </c>
      <c r="M793" s="12">
        <f>IFERROR(L793-E793-F793+G793+H793+I793-J793-K793, "")</f>
        <v/>
      </c>
      <c r="N793" s="11">
        <f>IFERROR(_xll.ciqfunctions.udf.CIQ(mh_ticker, "IQ_EBITDA_EST", IQ_NTM, B793, , , "USD"), "")</f>
        <v/>
      </c>
      <c r="O793" s="13">
        <f>IFERROR(M793/N793, "")</f>
        <v/>
      </c>
    </row>
    <row r="794">
      <c r="B794" s="8" t="n"/>
      <c r="C794" s="9">
        <f>IFERROR(_xll.ciqfunctions.udf.CIQ(mh_ticker, "IQ_LASTSALEPRICE", B794), "")</f>
        <v/>
      </c>
      <c r="D794" s="10">
        <f>IFERROR(_xll.ciqfunctions.udf.CIQ(mh_ticker, "IQ_SHARESOUTSTANDING_OUT", B794), "")</f>
        <v/>
      </c>
      <c r="E794" s="11">
        <f>IFERROR(_xll.ciqfunctions.udf.CIQ(mh_ticker, "IQ_CASH_EQUIV", , B794), "")</f>
        <v/>
      </c>
      <c r="F794" s="11">
        <f>IFERROR(_xll.ciqfunctions.udf.CIQ(mh_ticker, "IQ_ST_INVEST", , B794), "")</f>
        <v/>
      </c>
      <c r="G794" s="11">
        <f>IFERROR(_xll.ciqfunctions.udf.CIQ(mh_ticker, "IQ_TOTAL_DEBT_EXCL_OPER_LEASES", , B794), "")</f>
        <v/>
      </c>
      <c r="H794" s="11">
        <f>IFERROR(_xll.ciqfunctions.udf.CIQ(mh_ticker, "IQ_PREF_EQUITY", , B794), "")</f>
        <v/>
      </c>
      <c r="I794" s="11">
        <f>IFERROR(_xll.ciqfunctions.udf.CIQ(mh_ticker, "IQ_MINORITY_INTEREST", , B794), "")</f>
        <v/>
      </c>
      <c r="J794" s="11">
        <f>IFERROR(_xll.ciqfunctions.udf.CIQ(mh_ticker, "IQ_EQUITY_METHOD", , B794), "")</f>
        <v/>
      </c>
      <c r="K794" s="11">
        <f>IFERROR(_xll.ciqfunctions.udf.CIQ(mh_ticker, "IQ_LT_Mark_Securities", , B794), "")</f>
        <v/>
      </c>
      <c r="L794" s="12">
        <f>IFERROR(C794*D794, "")</f>
        <v/>
      </c>
      <c r="M794" s="12">
        <f>IFERROR(L794-E794-F794+G794+H794+I794-J794-K794, "")</f>
        <v/>
      </c>
      <c r="N794" s="11">
        <f>IFERROR(_xll.ciqfunctions.udf.CIQ(mh_ticker, "IQ_EBITDA_EST", IQ_NTM, B794, , , "USD"), "")</f>
        <v/>
      </c>
      <c r="O794" s="13">
        <f>IFERROR(M794/N794, "")</f>
        <v/>
      </c>
    </row>
    <row r="795">
      <c r="B795" s="8" t="n"/>
      <c r="C795" s="9">
        <f>IFERROR(_xll.ciqfunctions.udf.CIQ(mh_ticker, "IQ_LASTSALEPRICE", B795), "")</f>
        <v/>
      </c>
      <c r="D795" s="10">
        <f>IFERROR(_xll.ciqfunctions.udf.CIQ(mh_ticker, "IQ_SHARESOUTSTANDING_OUT", B795), "")</f>
        <v/>
      </c>
      <c r="E795" s="11">
        <f>IFERROR(_xll.ciqfunctions.udf.CIQ(mh_ticker, "IQ_CASH_EQUIV", , B795), "")</f>
        <v/>
      </c>
      <c r="F795" s="11">
        <f>IFERROR(_xll.ciqfunctions.udf.CIQ(mh_ticker, "IQ_ST_INVEST", , B795), "")</f>
        <v/>
      </c>
      <c r="G795" s="11">
        <f>IFERROR(_xll.ciqfunctions.udf.CIQ(mh_ticker, "IQ_TOTAL_DEBT_EXCL_OPER_LEASES", , B795), "")</f>
        <v/>
      </c>
      <c r="H795" s="11">
        <f>IFERROR(_xll.ciqfunctions.udf.CIQ(mh_ticker, "IQ_PREF_EQUITY", , B795), "")</f>
        <v/>
      </c>
      <c r="I795" s="11">
        <f>IFERROR(_xll.ciqfunctions.udf.CIQ(mh_ticker, "IQ_MINORITY_INTEREST", , B795), "")</f>
        <v/>
      </c>
      <c r="J795" s="11">
        <f>IFERROR(_xll.ciqfunctions.udf.CIQ(mh_ticker, "IQ_EQUITY_METHOD", , B795), "")</f>
        <v/>
      </c>
      <c r="K795" s="11">
        <f>IFERROR(_xll.ciqfunctions.udf.CIQ(mh_ticker, "IQ_LT_Mark_Securities", , B795), "")</f>
        <v/>
      </c>
      <c r="L795" s="12">
        <f>IFERROR(C795*D795, "")</f>
        <v/>
      </c>
      <c r="M795" s="12">
        <f>IFERROR(L795-E795-F795+G795+H795+I795-J795-K795, "")</f>
        <v/>
      </c>
      <c r="N795" s="11">
        <f>IFERROR(_xll.ciqfunctions.udf.CIQ(mh_ticker, "IQ_EBITDA_EST", IQ_NTM, B795, , , "USD"), "")</f>
        <v/>
      </c>
      <c r="O795" s="13">
        <f>IFERROR(M795/N795, "")</f>
        <v/>
      </c>
    </row>
    <row r="796">
      <c r="B796" s="8" t="n"/>
      <c r="C796" s="9">
        <f>IFERROR(_xll.ciqfunctions.udf.CIQ(mh_ticker, "IQ_LASTSALEPRICE", B796), "")</f>
        <v/>
      </c>
      <c r="D796" s="10">
        <f>IFERROR(_xll.ciqfunctions.udf.CIQ(mh_ticker, "IQ_SHARESOUTSTANDING_OUT", B796), "")</f>
        <v/>
      </c>
      <c r="E796" s="11">
        <f>IFERROR(_xll.ciqfunctions.udf.CIQ(mh_ticker, "IQ_CASH_EQUIV", , B796), "")</f>
        <v/>
      </c>
      <c r="F796" s="11">
        <f>IFERROR(_xll.ciqfunctions.udf.CIQ(mh_ticker, "IQ_ST_INVEST", , B796), "")</f>
        <v/>
      </c>
      <c r="G796" s="11">
        <f>IFERROR(_xll.ciqfunctions.udf.CIQ(mh_ticker, "IQ_TOTAL_DEBT_EXCL_OPER_LEASES", , B796), "")</f>
        <v/>
      </c>
      <c r="H796" s="11">
        <f>IFERROR(_xll.ciqfunctions.udf.CIQ(mh_ticker, "IQ_PREF_EQUITY", , B796), "")</f>
        <v/>
      </c>
      <c r="I796" s="11">
        <f>IFERROR(_xll.ciqfunctions.udf.CIQ(mh_ticker, "IQ_MINORITY_INTEREST", , B796), "")</f>
        <v/>
      </c>
      <c r="J796" s="11">
        <f>IFERROR(_xll.ciqfunctions.udf.CIQ(mh_ticker, "IQ_EQUITY_METHOD", , B796), "")</f>
        <v/>
      </c>
      <c r="K796" s="11">
        <f>IFERROR(_xll.ciqfunctions.udf.CIQ(mh_ticker, "IQ_LT_Mark_Securities", , B796), "")</f>
        <v/>
      </c>
      <c r="L796" s="12">
        <f>IFERROR(C796*D796, "")</f>
        <v/>
      </c>
      <c r="M796" s="12">
        <f>IFERROR(L796-E796-F796+G796+H796+I796-J796-K796, "")</f>
        <v/>
      </c>
      <c r="N796" s="11">
        <f>IFERROR(_xll.ciqfunctions.udf.CIQ(mh_ticker, "IQ_EBITDA_EST", IQ_NTM, B796, , , "USD"), "")</f>
        <v/>
      </c>
      <c r="O796" s="13">
        <f>IFERROR(M796/N796, "")</f>
        <v/>
      </c>
    </row>
    <row r="797">
      <c r="B797" s="8" t="n"/>
      <c r="C797" s="9">
        <f>IFERROR(_xll.ciqfunctions.udf.CIQ(mh_ticker, "IQ_LASTSALEPRICE", B797), "")</f>
        <v/>
      </c>
      <c r="D797" s="10">
        <f>IFERROR(_xll.ciqfunctions.udf.CIQ(mh_ticker, "IQ_SHARESOUTSTANDING_OUT", B797), "")</f>
        <v/>
      </c>
      <c r="E797" s="11">
        <f>IFERROR(_xll.ciqfunctions.udf.CIQ(mh_ticker, "IQ_CASH_EQUIV", , B797), "")</f>
        <v/>
      </c>
      <c r="F797" s="11">
        <f>IFERROR(_xll.ciqfunctions.udf.CIQ(mh_ticker, "IQ_ST_INVEST", , B797), "")</f>
        <v/>
      </c>
      <c r="G797" s="11">
        <f>IFERROR(_xll.ciqfunctions.udf.CIQ(mh_ticker, "IQ_TOTAL_DEBT_EXCL_OPER_LEASES", , B797), "")</f>
        <v/>
      </c>
      <c r="H797" s="11">
        <f>IFERROR(_xll.ciqfunctions.udf.CIQ(mh_ticker, "IQ_PREF_EQUITY", , B797), "")</f>
        <v/>
      </c>
      <c r="I797" s="11">
        <f>IFERROR(_xll.ciqfunctions.udf.CIQ(mh_ticker, "IQ_MINORITY_INTEREST", , B797), "")</f>
        <v/>
      </c>
      <c r="J797" s="11">
        <f>IFERROR(_xll.ciqfunctions.udf.CIQ(mh_ticker, "IQ_EQUITY_METHOD", , B797), "")</f>
        <v/>
      </c>
      <c r="K797" s="11">
        <f>IFERROR(_xll.ciqfunctions.udf.CIQ(mh_ticker, "IQ_LT_Mark_Securities", , B797), "")</f>
        <v/>
      </c>
      <c r="L797" s="12">
        <f>IFERROR(C797*D797, "")</f>
        <v/>
      </c>
      <c r="M797" s="12">
        <f>IFERROR(L797-E797-F797+G797+H797+I797-J797-K797, "")</f>
        <v/>
      </c>
      <c r="N797" s="11">
        <f>IFERROR(_xll.ciqfunctions.udf.CIQ(mh_ticker, "IQ_EBITDA_EST", IQ_NTM, B797, , , "USD"), "")</f>
        <v/>
      </c>
      <c r="O797" s="13">
        <f>IFERROR(M797/N797, "")</f>
        <v/>
      </c>
    </row>
    <row r="798">
      <c r="B798" s="8" t="n"/>
      <c r="C798" s="9">
        <f>IFERROR(_xll.ciqfunctions.udf.CIQ(mh_ticker, "IQ_LASTSALEPRICE", B798), "")</f>
        <v/>
      </c>
      <c r="D798" s="10">
        <f>IFERROR(_xll.ciqfunctions.udf.CIQ(mh_ticker, "IQ_SHARESOUTSTANDING_OUT", B798), "")</f>
        <v/>
      </c>
      <c r="E798" s="11">
        <f>IFERROR(_xll.ciqfunctions.udf.CIQ(mh_ticker, "IQ_CASH_EQUIV", , B798), "")</f>
        <v/>
      </c>
      <c r="F798" s="11">
        <f>IFERROR(_xll.ciqfunctions.udf.CIQ(mh_ticker, "IQ_ST_INVEST", , B798), "")</f>
        <v/>
      </c>
      <c r="G798" s="11">
        <f>IFERROR(_xll.ciqfunctions.udf.CIQ(mh_ticker, "IQ_TOTAL_DEBT_EXCL_OPER_LEASES", , B798), "")</f>
        <v/>
      </c>
      <c r="H798" s="11">
        <f>IFERROR(_xll.ciqfunctions.udf.CIQ(mh_ticker, "IQ_PREF_EQUITY", , B798), "")</f>
        <v/>
      </c>
      <c r="I798" s="11">
        <f>IFERROR(_xll.ciqfunctions.udf.CIQ(mh_ticker, "IQ_MINORITY_INTEREST", , B798), "")</f>
        <v/>
      </c>
      <c r="J798" s="11">
        <f>IFERROR(_xll.ciqfunctions.udf.CIQ(mh_ticker, "IQ_EQUITY_METHOD", , B798), "")</f>
        <v/>
      </c>
      <c r="K798" s="11">
        <f>IFERROR(_xll.ciqfunctions.udf.CIQ(mh_ticker, "IQ_LT_Mark_Securities", , B798), "")</f>
        <v/>
      </c>
      <c r="L798" s="12">
        <f>IFERROR(C798*D798, "")</f>
        <v/>
      </c>
      <c r="M798" s="12">
        <f>IFERROR(L798-E798-F798+G798+H798+I798-J798-K798, "")</f>
        <v/>
      </c>
      <c r="N798" s="11">
        <f>IFERROR(_xll.ciqfunctions.udf.CIQ(mh_ticker, "IQ_EBITDA_EST", IQ_NTM, B798, , , "USD"), "")</f>
        <v/>
      </c>
      <c r="O798" s="13">
        <f>IFERROR(M798/N798, "")</f>
        <v/>
      </c>
    </row>
    <row r="799">
      <c r="B799" s="8" t="n"/>
      <c r="C799" s="9">
        <f>IFERROR(_xll.ciqfunctions.udf.CIQ(mh_ticker, "IQ_LASTSALEPRICE", B799), "")</f>
        <v/>
      </c>
      <c r="D799" s="10">
        <f>IFERROR(_xll.ciqfunctions.udf.CIQ(mh_ticker, "IQ_SHARESOUTSTANDING_OUT", B799), "")</f>
        <v/>
      </c>
      <c r="E799" s="11">
        <f>IFERROR(_xll.ciqfunctions.udf.CIQ(mh_ticker, "IQ_CASH_EQUIV", , B799), "")</f>
        <v/>
      </c>
      <c r="F799" s="11">
        <f>IFERROR(_xll.ciqfunctions.udf.CIQ(mh_ticker, "IQ_ST_INVEST", , B799), "")</f>
        <v/>
      </c>
      <c r="G799" s="11">
        <f>IFERROR(_xll.ciqfunctions.udf.CIQ(mh_ticker, "IQ_TOTAL_DEBT_EXCL_OPER_LEASES", , B799), "")</f>
        <v/>
      </c>
      <c r="H799" s="11">
        <f>IFERROR(_xll.ciqfunctions.udf.CIQ(mh_ticker, "IQ_PREF_EQUITY", , B799), "")</f>
        <v/>
      </c>
      <c r="I799" s="11">
        <f>IFERROR(_xll.ciqfunctions.udf.CIQ(mh_ticker, "IQ_MINORITY_INTEREST", , B799), "")</f>
        <v/>
      </c>
      <c r="J799" s="11">
        <f>IFERROR(_xll.ciqfunctions.udf.CIQ(mh_ticker, "IQ_EQUITY_METHOD", , B799), "")</f>
        <v/>
      </c>
      <c r="K799" s="11">
        <f>IFERROR(_xll.ciqfunctions.udf.CIQ(mh_ticker, "IQ_LT_Mark_Securities", , B799), "")</f>
        <v/>
      </c>
      <c r="L799" s="12">
        <f>IFERROR(C799*D799, "")</f>
        <v/>
      </c>
      <c r="M799" s="12">
        <f>IFERROR(L799-E799-F799+G799+H799+I799-J799-K799, "")</f>
        <v/>
      </c>
      <c r="N799" s="11">
        <f>IFERROR(_xll.ciqfunctions.udf.CIQ(mh_ticker, "IQ_EBITDA_EST", IQ_NTM, B799, , , "USD"), "")</f>
        <v/>
      </c>
      <c r="O799" s="13">
        <f>IFERROR(M799/N799, "")</f>
        <v/>
      </c>
    </row>
    <row r="800">
      <c r="B800" s="8" t="n"/>
      <c r="C800" s="9">
        <f>IFERROR(_xll.ciqfunctions.udf.CIQ(mh_ticker, "IQ_LASTSALEPRICE", B800), "")</f>
        <v/>
      </c>
      <c r="D800" s="10">
        <f>IFERROR(_xll.ciqfunctions.udf.CIQ(mh_ticker, "IQ_SHARESOUTSTANDING_OUT", B800), "")</f>
        <v/>
      </c>
      <c r="E800" s="11">
        <f>IFERROR(_xll.ciqfunctions.udf.CIQ(mh_ticker, "IQ_CASH_EQUIV", , B800), "")</f>
        <v/>
      </c>
      <c r="F800" s="11">
        <f>IFERROR(_xll.ciqfunctions.udf.CIQ(mh_ticker, "IQ_ST_INVEST", , B800), "")</f>
        <v/>
      </c>
      <c r="G800" s="11">
        <f>IFERROR(_xll.ciqfunctions.udf.CIQ(mh_ticker, "IQ_TOTAL_DEBT_EXCL_OPER_LEASES", , B800), "")</f>
        <v/>
      </c>
      <c r="H800" s="11">
        <f>IFERROR(_xll.ciqfunctions.udf.CIQ(mh_ticker, "IQ_PREF_EQUITY", , B800), "")</f>
        <v/>
      </c>
      <c r="I800" s="11">
        <f>IFERROR(_xll.ciqfunctions.udf.CIQ(mh_ticker, "IQ_MINORITY_INTEREST", , B800), "")</f>
        <v/>
      </c>
      <c r="J800" s="11">
        <f>IFERROR(_xll.ciqfunctions.udf.CIQ(mh_ticker, "IQ_EQUITY_METHOD", , B800), "")</f>
        <v/>
      </c>
      <c r="K800" s="11">
        <f>IFERROR(_xll.ciqfunctions.udf.CIQ(mh_ticker, "IQ_LT_Mark_Securities", , B800), "")</f>
        <v/>
      </c>
      <c r="L800" s="12">
        <f>IFERROR(C800*D800, "")</f>
        <v/>
      </c>
      <c r="M800" s="12">
        <f>IFERROR(L800-E800-F800+G800+H800+I800-J800-K800, "")</f>
        <v/>
      </c>
      <c r="N800" s="11">
        <f>IFERROR(_xll.ciqfunctions.udf.CIQ(mh_ticker, "IQ_EBITDA_EST", IQ_NTM, B800, , , "USD"), "")</f>
        <v/>
      </c>
      <c r="O800" s="13">
        <f>IFERROR(M800/N800, "")</f>
        <v/>
      </c>
    </row>
    <row r="801">
      <c r="B801" s="8" t="n"/>
      <c r="C801" s="9">
        <f>IFERROR(_xll.ciqfunctions.udf.CIQ(mh_ticker, "IQ_LASTSALEPRICE", B801), "")</f>
        <v/>
      </c>
      <c r="D801" s="10">
        <f>IFERROR(_xll.ciqfunctions.udf.CIQ(mh_ticker, "IQ_SHARESOUTSTANDING_OUT", B801), "")</f>
        <v/>
      </c>
      <c r="E801" s="11">
        <f>IFERROR(_xll.ciqfunctions.udf.CIQ(mh_ticker, "IQ_CASH_EQUIV", , B801), "")</f>
        <v/>
      </c>
      <c r="F801" s="11">
        <f>IFERROR(_xll.ciqfunctions.udf.CIQ(mh_ticker, "IQ_ST_INVEST", , B801), "")</f>
        <v/>
      </c>
      <c r="G801" s="11">
        <f>IFERROR(_xll.ciqfunctions.udf.CIQ(mh_ticker, "IQ_TOTAL_DEBT_EXCL_OPER_LEASES", , B801), "")</f>
        <v/>
      </c>
      <c r="H801" s="11">
        <f>IFERROR(_xll.ciqfunctions.udf.CIQ(mh_ticker, "IQ_PREF_EQUITY", , B801), "")</f>
        <v/>
      </c>
      <c r="I801" s="11">
        <f>IFERROR(_xll.ciqfunctions.udf.CIQ(mh_ticker, "IQ_MINORITY_INTEREST", , B801), "")</f>
        <v/>
      </c>
      <c r="J801" s="11">
        <f>IFERROR(_xll.ciqfunctions.udf.CIQ(mh_ticker, "IQ_EQUITY_METHOD", , B801), "")</f>
        <v/>
      </c>
      <c r="K801" s="11">
        <f>IFERROR(_xll.ciqfunctions.udf.CIQ(mh_ticker, "IQ_LT_Mark_Securities", , B801), "")</f>
        <v/>
      </c>
      <c r="L801" s="12">
        <f>IFERROR(C801*D801, "")</f>
        <v/>
      </c>
      <c r="M801" s="12">
        <f>IFERROR(L801-E801-F801+G801+H801+I801-J801-K801, "")</f>
        <v/>
      </c>
      <c r="N801" s="11">
        <f>IFERROR(_xll.ciqfunctions.udf.CIQ(mh_ticker, "IQ_EBITDA_EST", IQ_NTM, B801, , , "USD"), "")</f>
        <v/>
      </c>
      <c r="O801" s="13">
        <f>IFERROR(M801/N801, "")</f>
        <v/>
      </c>
    </row>
    <row r="802">
      <c r="B802" s="8" t="n"/>
      <c r="C802" s="9">
        <f>IFERROR(_xll.ciqfunctions.udf.CIQ(mh_ticker, "IQ_LASTSALEPRICE", B802), "")</f>
        <v/>
      </c>
      <c r="D802" s="10">
        <f>IFERROR(_xll.ciqfunctions.udf.CIQ(mh_ticker, "IQ_SHARESOUTSTANDING_OUT", B802), "")</f>
        <v/>
      </c>
      <c r="E802" s="11">
        <f>IFERROR(_xll.ciqfunctions.udf.CIQ(mh_ticker, "IQ_CASH_EQUIV", , B802), "")</f>
        <v/>
      </c>
      <c r="F802" s="11">
        <f>IFERROR(_xll.ciqfunctions.udf.CIQ(mh_ticker, "IQ_ST_INVEST", , B802), "")</f>
        <v/>
      </c>
      <c r="G802" s="11">
        <f>IFERROR(_xll.ciqfunctions.udf.CIQ(mh_ticker, "IQ_TOTAL_DEBT_EXCL_OPER_LEASES", , B802), "")</f>
        <v/>
      </c>
      <c r="H802" s="11">
        <f>IFERROR(_xll.ciqfunctions.udf.CIQ(mh_ticker, "IQ_PREF_EQUITY", , B802), "")</f>
        <v/>
      </c>
      <c r="I802" s="11">
        <f>IFERROR(_xll.ciqfunctions.udf.CIQ(mh_ticker, "IQ_MINORITY_INTEREST", , B802), "")</f>
        <v/>
      </c>
      <c r="J802" s="11">
        <f>IFERROR(_xll.ciqfunctions.udf.CIQ(mh_ticker, "IQ_EQUITY_METHOD", , B802), "")</f>
        <v/>
      </c>
      <c r="K802" s="11">
        <f>IFERROR(_xll.ciqfunctions.udf.CIQ(mh_ticker, "IQ_LT_Mark_Securities", , B802), "")</f>
        <v/>
      </c>
      <c r="L802" s="12">
        <f>IFERROR(C802*D802, "")</f>
        <v/>
      </c>
      <c r="M802" s="12">
        <f>IFERROR(L802-E802-F802+G802+H802+I802-J802-K802, "")</f>
        <v/>
      </c>
      <c r="N802" s="11">
        <f>IFERROR(_xll.ciqfunctions.udf.CIQ(mh_ticker, "IQ_EBITDA_EST", IQ_NTM, B802, , , "USD"), "")</f>
        <v/>
      </c>
      <c r="O802" s="13">
        <f>IFERROR(M802/N802, "")</f>
        <v/>
      </c>
    </row>
    <row r="803">
      <c r="B803" s="8" t="n"/>
      <c r="C803" s="9">
        <f>IFERROR(_xll.ciqfunctions.udf.CIQ(mh_ticker, "IQ_LASTSALEPRICE", B803), "")</f>
        <v/>
      </c>
      <c r="D803" s="10">
        <f>IFERROR(_xll.ciqfunctions.udf.CIQ(mh_ticker, "IQ_SHARESOUTSTANDING_OUT", B803), "")</f>
        <v/>
      </c>
      <c r="E803" s="11">
        <f>IFERROR(_xll.ciqfunctions.udf.CIQ(mh_ticker, "IQ_CASH_EQUIV", , B803), "")</f>
        <v/>
      </c>
      <c r="F803" s="11">
        <f>IFERROR(_xll.ciqfunctions.udf.CIQ(mh_ticker, "IQ_ST_INVEST", , B803), "")</f>
        <v/>
      </c>
      <c r="G803" s="11">
        <f>IFERROR(_xll.ciqfunctions.udf.CIQ(mh_ticker, "IQ_TOTAL_DEBT_EXCL_OPER_LEASES", , B803), "")</f>
        <v/>
      </c>
      <c r="H803" s="11">
        <f>IFERROR(_xll.ciqfunctions.udf.CIQ(mh_ticker, "IQ_PREF_EQUITY", , B803), "")</f>
        <v/>
      </c>
      <c r="I803" s="11">
        <f>IFERROR(_xll.ciqfunctions.udf.CIQ(mh_ticker, "IQ_MINORITY_INTEREST", , B803), "")</f>
        <v/>
      </c>
      <c r="J803" s="11">
        <f>IFERROR(_xll.ciqfunctions.udf.CIQ(mh_ticker, "IQ_EQUITY_METHOD", , B803), "")</f>
        <v/>
      </c>
      <c r="K803" s="11">
        <f>IFERROR(_xll.ciqfunctions.udf.CIQ(mh_ticker, "IQ_LT_Mark_Securities", , B803), "")</f>
        <v/>
      </c>
      <c r="L803" s="12">
        <f>IFERROR(C803*D803, "")</f>
        <v/>
      </c>
      <c r="M803" s="12">
        <f>IFERROR(L803-E803-F803+G803+H803+I803-J803-K803, "")</f>
        <v/>
      </c>
      <c r="N803" s="11">
        <f>IFERROR(_xll.ciqfunctions.udf.CIQ(mh_ticker, "IQ_EBITDA_EST", IQ_NTM, B803, , , "USD"), "")</f>
        <v/>
      </c>
      <c r="O803" s="13">
        <f>IFERROR(M803/N803, "")</f>
        <v/>
      </c>
    </row>
    <row r="804">
      <c r="B804" s="8" t="n"/>
      <c r="C804" s="9">
        <f>IFERROR(_xll.ciqfunctions.udf.CIQ(mh_ticker, "IQ_LASTSALEPRICE", B804), "")</f>
        <v/>
      </c>
      <c r="D804" s="10">
        <f>IFERROR(_xll.ciqfunctions.udf.CIQ(mh_ticker, "IQ_SHARESOUTSTANDING_OUT", B804), "")</f>
        <v/>
      </c>
      <c r="E804" s="11">
        <f>IFERROR(_xll.ciqfunctions.udf.CIQ(mh_ticker, "IQ_CASH_EQUIV", , B804), "")</f>
        <v/>
      </c>
      <c r="F804" s="11">
        <f>IFERROR(_xll.ciqfunctions.udf.CIQ(mh_ticker, "IQ_ST_INVEST", , B804), "")</f>
        <v/>
      </c>
      <c r="G804" s="11">
        <f>IFERROR(_xll.ciqfunctions.udf.CIQ(mh_ticker, "IQ_TOTAL_DEBT_EXCL_OPER_LEASES", , B804), "")</f>
        <v/>
      </c>
      <c r="H804" s="11">
        <f>IFERROR(_xll.ciqfunctions.udf.CIQ(mh_ticker, "IQ_PREF_EQUITY", , B804), "")</f>
        <v/>
      </c>
      <c r="I804" s="11">
        <f>IFERROR(_xll.ciqfunctions.udf.CIQ(mh_ticker, "IQ_MINORITY_INTEREST", , B804), "")</f>
        <v/>
      </c>
      <c r="J804" s="11">
        <f>IFERROR(_xll.ciqfunctions.udf.CIQ(mh_ticker, "IQ_EQUITY_METHOD", , B804), "")</f>
        <v/>
      </c>
      <c r="K804" s="11">
        <f>IFERROR(_xll.ciqfunctions.udf.CIQ(mh_ticker, "IQ_LT_Mark_Securities", , B804), "")</f>
        <v/>
      </c>
      <c r="L804" s="12">
        <f>IFERROR(C804*D804, "")</f>
        <v/>
      </c>
      <c r="M804" s="12">
        <f>IFERROR(L804-E804-F804+G804+H804+I804-J804-K804, "")</f>
        <v/>
      </c>
      <c r="N804" s="11">
        <f>IFERROR(_xll.ciqfunctions.udf.CIQ(mh_ticker, "IQ_EBITDA_EST", IQ_NTM, B804, , , "USD"), "")</f>
        <v/>
      </c>
      <c r="O804" s="13">
        <f>IFERROR(M804/N804, "")</f>
        <v/>
      </c>
    </row>
    <row r="805">
      <c r="B805" s="8" t="n"/>
      <c r="C805" s="9">
        <f>IFERROR(_xll.ciqfunctions.udf.CIQ(mh_ticker, "IQ_LASTSALEPRICE", B805), "")</f>
        <v/>
      </c>
      <c r="D805" s="10">
        <f>IFERROR(_xll.ciqfunctions.udf.CIQ(mh_ticker, "IQ_SHARESOUTSTANDING_OUT", B805), "")</f>
        <v/>
      </c>
      <c r="E805" s="11">
        <f>IFERROR(_xll.ciqfunctions.udf.CIQ(mh_ticker, "IQ_CASH_EQUIV", , B805), "")</f>
        <v/>
      </c>
      <c r="F805" s="11">
        <f>IFERROR(_xll.ciqfunctions.udf.CIQ(mh_ticker, "IQ_ST_INVEST", , B805), "")</f>
        <v/>
      </c>
      <c r="G805" s="11">
        <f>IFERROR(_xll.ciqfunctions.udf.CIQ(mh_ticker, "IQ_TOTAL_DEBT_EXCL_OPER_LEASES", , B805), "")</f>
        <v/>
      </c>
      <c r="H805" s="11">
        <f>IFERROR(_xll.ciqfunctions.udf.CIQ(mh_ticker, "IQ_PREF_EQUITY", , B805), "")</f>
        <v/>
      </c>
      <c r="I805" s="11">
        <f>IFERROR(_xll.ciqfunctions.udf.CIQ(mh_ticker, "IQ_MINORITY_INTEREST", , B805), "")</f>
        <v/>
      </c>
      <c r="J805" s="11">
        <f>IFERROR(_xll.ciqfunctions.udf.CIQ(mh_ticker, "IQ_EQUITY_METHOD", , B805), "")</f>
        <v/>
      </c>
      <c r="K805" s="11">
        <f>IFERROR(_xll.ciqfunctions.udf.CIQ(mh_ticker, "IQ_LT_Mark_Securities", , B805), "")</f>
        <v/>
      </c>
      <c r="L805" s="12">
        <f>IFERROR(C805*D805, "")</f>
        <v/>
      </c>
      <c r="M805" s="12">
        <f>IFERROR(L805-E805-F805+G805+H805+I805-J805-K805, "")</f>
        <v/>
      </c>
      <c r="N805" s="11">
        <f>IFERROR(_xll.ciqfunctions.udf.CIQ(mh_ticker, "IQ_EBITDA_EST", IQ_NTM, B805, , , "USD"), "")</f>
        <v/>
      </c>
      <c r="O805" s="13">
        <f>IFERROR(M805/N805, "")</f>
        <v/>
      </c>
    </row>
    <row r="806">
      <c r="B806" s="8" t="n"/>
      <c r="C806" s="9">
        <f>IFERROR(_xll.ciqfunctions.udf.CIQ(mh_ticker, "IQ_LASTSALEPRICE", B806), "")</f>
        <v/>
      </c>
      <c r="D806" s="10">
        <f>IFERROR(_xll.ciqfunctions.udf.CIQ(mh_ticker, "IQ_SHARESOUTSTANDING_OUT", B806), "")</f>
        <v/>
      </c>
      <c r="E806" s="11">
        <f>IFERROR(_xll.ciqfunctions.udf.CIQ(mh_ticker, "IQ_CASH_EQUIV", , B806), "")</f>
        <v/>
      </c>
      <c r="F806" s="11">
        <f>IFERROR(_xll.ciqfunctions.udf.CIQ(mh_ticker, "IQ_ST_INVEST", , B806), "")</f>
        <v/>
      </c>
      <c r="G806" s="11">
        <f>IFERROR(_xll.ciqfunctions.udf.CIQ(mh_ticker, "IQ_TOTAL_DEBT_EXCL_OPER_LEASES", , B806), "")</f>
        <v/>
      </c>
      <c r="H806" s="11">
        <f>IFERROR(_xll.ciqfunctions.udf.CIQ(mh_ticker, "IQ_PREF_EQUITY", , B806), "")</f>
        <v/>
      </c>
      <c r="I806" s="11">
        <f>IFERROR(_xll.ciqfunctions.udf.CIQ(mh_ticker, "IQ_MINORITY_INTEREST", , B806), "")</f>
        <v/>
      </c>
      <c r="J806" s="11">
        <f>IFERROR(_xll.ciqfunctions.udf.CIQ(mh_ticker, "IQ_EQUITY_METHOD", , B806), "")</f>
        <v/>
      </c>
      <c r="K806" s="11">
        <f>IFERROR(_xll.ciqfunctions.udf.CIQ(mh_ticker, "IQ_LT_Mark_Securities", , B806), "")</f>
        <v/>
      </c>
      <c r="L806" s="12">
        <f>IFERROR(C806*D806, "")</f>
        <v/>
      </c>
      <c r="M806" s="12">
        <f>IFERROR(L806-E806-F806+G806+H806+I806-J806-K806, "")</f>
        <v/>
      </c>
      <c r="N806" s="11">
        <f>IFERROR(_xll.ciqfunctions.udf.CIQ(mh_ticker, "IQ_EBITDA_EST", IQ_NTM, B806, , , "USD"), "")</f>
        <v/>
      </c>
      <c r="O806" s="13">
        <f>IFERROR(M806/N806, "")</f>
        <v/>
      </c>
    </row>
    <row r="807">
      <c r="B807" s="8" t="n"/>
      <c r="C807" s="9">
        <f>IFERROR(_xll.ciqfunctions.udf.CIQ(mh_ticker, "IQ_LASTSALEPRICE", B807), "")</f>
        <v/>
      </c>
      <c r="D807" s="10">
        <f>IFERROR(_xll.ciqfunctions.udf.CIQ(mh_ticker, "IQ_SHARESOUTSTANDING_OUT", B807), "")</f>
        <v/>
      </c>
      <c r="E807" s="11">
        <f>IFERROR(_xll.ciqfunctions.udf.CIQ(mh_ticker, "IQ_CASH_EQUIV", , B807), "")</f>
        <v/>
      </c>
      <c r="F807" s="11">
        <f>IFERROR(_xll.ciqfunctions.udf.CIQ(mh_ticker, "IQ_ST_INVEST", , B807), "")</f>
        <v/>
      </c>
      <c r="G807" s="11">
        <f>IFERROR(_xll.ciqfunctions.udf.CIQ(mh_ticker, "IQ_TOTAL_DEBT_EXCL_OPER_LEASES", , B807), "")</f>
        <v/>
      </c>
      <c r="H807" s="11">
        <f>IFERROR(_xll.ciqfunctions.udf.CIQ(mh_ticker, "IQ_PREF_EQUITY", , B807), "")</f>
        <v/>
      </c>
      <c r="I807" s="11">
        <f>IFERROR(_xll.ciqfunctions.udf.CIQ(mh_ticker, "IQ_MINORITY_INTEREST", , B807), "")</f>
        <v/>
      </c>
      <c r="J807" s="11">
        <f>IFERROR(_xll.ciqfunctions.udf.CIQ(mh_ticker, "IQ_EQUITY_METHOD", , B807), "")</f>
        <v/>
      </c>
      <c r="K807" s="11">
        <f>IFERROR(_xll.ciqfunctions.udf.CIQ(mh_ticker, "IQ_LT_Mark_Securities", , B807), "")</f>
        <v/>
      </c>
      <c r="L807" s="12">
        <f>IFERROR(C807*D807, "")</f>
        <v/>
      </c>
      <c r="M807" s="12">
        <f>IFERROR(L807-E807-F807+G807+H807+I807-J807-K807, "")</f>
        <v/>
      </c>
      <c r="N807" s="11">
        <f>IFERROR(_xll.ciqfunctions.udf.CIQ(mh_ticker, "IQ_EBITDA_EST", IQ_NTM, B807, , , "USD"), "")</f>
        <v/>
      </c>
      <c r="O807" s="13">
        <f>IFERROR(M807/N807, "")</f>
        <v/>
      </c>
    </row>
    <row r="808">
      <c r="B808" s="8" t="n"/>
      <c r="C808" s="9">
        <f>IFERROR(_xll.ciqfunctions.udf.CIQ(mh_ticker, "IQ_LASTSALEPRICE", B808), "")</f>
        <v/>
      </c>
      <c r="D808" s="10">
        <f>IFERROR(_xll.ciqfunctions.udf.CIQ(mh_ticker, "IQ_SHARESOUTSTANDING_OUT", B808), "")</f>
        <v/>
      </c>
      <c r="E808" s="11">
        <f>IFERROR(_xll.ciqfunctions.udf.CIQ(mh_ticker, "IQ_CASH_EQUIV", , B808), "")</f>
        <v/>
      </c>
      <c r="F808" s="11">
        <f>IFERROR(_xll.ciqfunctions.udf.CIQ(mh_ticker, "IQ_ST_INVEST", , B808), "")</f>
        <v/>
      </c>
      <c r="G808" s="11">
        <f>IFERROR(_xll.ciqfunctions.udf.CIQ(mh_ticker, "IQ_TOTAL_DEBT_EXCL_OPER_LEASES", , B808), "")</f>
        <v/>
      </c>
      <c r="H808" s="11">
        <f>IFERROR(_xll.ciqfunctions.udf.CIQ(mh_ticker, "IQ_PREF_EQUITY", , B808), "")</f>
        <v/>
      </c>
      <c r="I808" s="11">
        <f>IFERROR(_xll.ciqfunctions.udf.CIQ(mh_ticker, "IQ_MINORITY_INTEREST", , B808), "")</f>
        <v/>
      </c>
      <c r="J808" s="11">
        <f>IFERROR(_xll.ciqfunctions.udf.CIQ(mh_ticker, "IQ_EQUITY_METHOD", , B808), "")</f>
        <v/>
      </c>
      <c r="K808" s="11">
        <f>IFERROR(_xll.ciqfunctions.udf.CIQ(mh_ticker, "IQ_LT_Mark_Securities", , B808), "")</f>
        <v/>
      </c>
      <c r="L808" s="12">
        <f>IFERROR(C808*D808, "")</f>
        <v/>
      </c>
      <c r="M808" s="12">
        <f>IFERROR(L808-E808-F808+G808+H808+I808-J808-K808, "")</f>
        <v/>
      </c>
      <c r="N808" s="11">
        <f>IFERROR(_xll.ciqfunctions.udf.CIQ(mh_ticker, "IQ_EBITDA_EST", IQ_NTM, B808, , , "USD"), "")</f>
        <v/>
      </c>
      <c r="O808" s="13">
        <f>IFERROR(M808/N808, "")</f>
        <v/>
      </c>
    </row>
    <row r="809">
      <c r="B809" s="8" t="n"/>
      <c r="C809" s="9">
        <f>IFERROR(_xll.ciqfunctions.udf.CIQ(mh_ticker, "IQ_LASTSALEPRICE", B809), "")</f>
        <v/>
      </c>
      <c r="D809" s="10">
        <f>IFERROR(_xll.ciqfunctions.udf.CIQ(mh_ticker, "IQ_SHARESOUTSTANDING_OUT", B809), "")</f>
        <v/>
      </c>
      <c r="E809" s="11">
        <f>IFERROR(_xll.ciqfunctions.udf.CIQ(mh_ticker, "IQ_CASH_EQUIV", , B809), "")</f>
        <v/>
      </c>
      <c r="F809" s="11">
        <f>IFERROR(_xll.ciqfunctions.udf.CIQ(mh_ticker, "IQ_ST_INVEST", , B809), "")</f>
        <v/>
      </c>
      <c r="G809" s="11">
        <f>IFERROR(_xll.ciqfunctions.udf.CIQ(mh_ticker, "IQ_TOTAL_DEBT_EXCL_OPER_LEASES", , B809), "")</f>
        <v/>
      </c>
      <c r="H809" s="11">
        <f>IFERROR(_xll.ciqfunctions.udf.CIQ(mh_ticker, "IQ_PREF_EQUITY", , B809), "")</f>
        <v/>
      </c>
      <c r="I809" s="11">
        <f>IFERROR(_xll.ciqfunctions.udf.CIQ(mh_ticker, "IQ_MINORITY_INTEREST", , B809), "")</f>
        <v/>
      </c>
      <c r="J809" s="11">
        <f>IFERROR(_xll.ciqfunctions.udf.CIQ(mh_ticker, "IQ_EQUITY_METHOD", , B809), "")</f>
        <v/>
      </c>
      <c r="K809" s="11">
        <f>IFERROR(_xll.ciqfunctions.udf.CIQ(mh_ticker, "IQ_LT_Mark_Securities", , B809), "")</f>
        <v/>
      </c>
      <c r="L809" s="12">
        <f>IFERROR(C809*D809, "")</f>
        <v/>
      </c>
      <c r="M809" s="12">
        <f>IFERROR(L809-E809-F809+G809+H809+I809-J809-K809, "")</f>
        <v/>
      </c>
      <c r="N809" s="11">
        <f>IFERROR(_xll.ciqfunctions.udf.CIQ(mh_ticker, "IQ_EBITDA_EST", IQ_NTM, B809, , , "USD"), "")</f>
        <v/>
      </c>
      <c r="O809" s="13">
        <f>IFERROR(M809/N809, "")</f>
        <v/>
      </c>
    </row>
    <row r="810">
      <c r="B810" s="8" t="n"/>
      <c r="C810" s="9">
        <f>IFERROR(_xll.ciqfunctions.udf.CIQ(mh_ticker, "IQ_LASTSALEPRICE", B810), "")</f>
        <v/>
      </c>
      <c r="D810" s="10">
        <f>IFERROR(_xll.ciqfunctions.udf.CIQ(mh_ticker, "IQ_SHARESOUTSTANDING_OUT", B810), "")</f>
        <v/>
      </c>
      <c r="E810" s="11">
        <f>IFERROR(_xll.ciqfunctions.udf.CIQ(mh_ticker, "IQ_CASH_EQUIV", , B810), "")</f>
        <v/>
      </c>
      <c r="F810" s="11">
        <f>IFERROR(_xll.ciqfunctions.udf.CIQ(mh_ticker, "IQ_ST_INVEST", , B810), "")</f>
        <v/>
      </c>
      <c r="G810" s="11">
        <f>IFERROR(_xll.ciqfunctions.udf.CIQ(mh_ticker, "IQ_TOTAL_DEBT_EXCL_OPER_LEASES", , B810), "")</f>
        <v/>
      </c>
      <c r="H810" s="11">
        <f>IFERROR(_xll.ciqfunctions.udf.CIQ(mh_ticker, "IQ_PREF_EQUITY", , B810), "")</f>
        <v/>
      </c>
      <c r="I810" s="11">
        <f>IFERROR(_xll.ciqfunctions.udf.CIQ(mh_ticker, "IQ_MINORITY_INTEREST", , B810), "")</f>
        <v/>
      </c>
      <c r="J810" s="11">
        <f>IFERROR(_xll.ciqfunctions.udf.CIQ(mh_ticker, "IQ_EQUITY_METHOD", , B810), "")</f>
        <v/>
      </c>
      <c r="K810" s="11">
        <f>IFERROR(_xll.ciqfunctions.udf.CIQ(mh_ticker, "IQ_LT_Mark_Securities", , B810), "")</f>
        <v/>
      </c>
      <c r="L810" s="12">
        <f>IFERROR(C810*D810, "")</f>
        <v/>
      </c>
      <c r="M810" s="12">
        <f>IFERROR(L810-E810-F810+G810+H810+I810-J810-K810, "")</f>
        <v/>
      </c>
      <c r="N810" s="11">
        <f>IFERROR(_xll.ciqfunctions.udf.CIQ(mh_ticker, "IQ_EBITDA_EST", IQ_NTM, B810, , , "USD"), "")</f>
        <v/>
      </c>
      <c r="O810" s="13">
        <f>IFERROR(M810/N810, "")</f>
        <v/>
      </c>
    </row>
    <row r="811">
      <c r="B811" s="8" t="n"/>
      <c r="C811" s="9">
        <f>IFERROR(_xll.ciqfunctions.udf.CIQ(mh_ticker, "IQ_LASTSALEPRICE", B811), "")</f>
        <v/>
      </c>
      <c r="D811" s="10">
        <f>IFERROR(_xll.ciqfunctions.udf.CIQ(mh_ticker, "IQ_SHARESOUTSTANDING_OUT", B811), "")</f>
        <v/>
      </c>
      <c r="E811" s="11">
        <f>IFERROR(_xll.ciqfunctions.udf.CIQ(mh_ticker, "IQ_CASH_EQUIV", , B811), "")</f>
        <v/>
      </c>
      <c r="F811" s="11">
        <f>IFERROR(_xll.ciqfunctions.udf.CIQ(mh_ticker, "IQ_ST_INVEST", , B811), "")</f>
        <v/>
      </c>
      <c r="G811" s="11">
        <f>IFERROR(_xll.ciqfunctions.udf.CIQ(mh_ticker, "IQ_TOTAL_DEBT_EXCL_OPER_LEASES", , B811), "")</f>
        <v/>
      </c>
      <c r="H811" s="11">
        <f>IFERROR(_xll.ciqfunctions.udf.CIQ(mh_ticker, "IQ_PREF_EQUITY", , B811), "")</f>
        <v/>
      </c>
      <c r="I811" s="11">
        <f>IFERROR(_xll.ciqfunctions.udf.CIQ(mh_ticker, "IQ_MINORITY_INTEREST", , B811), "")</f>
        <v/>
      </c>
      <c r="J811" s="11">
        <f>IFERROR(_xll.ciqfunctions.udf.CIQ(mh_ticker, "IQ_EQUITY_METHOD", , B811), "")</f>
        <v/>
      </c>
      <c r="K811" s="11">
        <f>IFERROR(_xll.ciqfunctions.udf.CIQ(mh_ticker, "IQ_LT_Mark_Securities", , B811), "")</f>
        <v/>
      </c>
      <c r="L811" s="12">
        <f>IFERROR(C811*D811, "")</f>
        <v/>
      </c>
      <c r="M811" s="12">
        <f>IFERROR(L811-E811-F811+G811+H811+I811-J811-K811, "")</f>
        <v/>
      </c>
      <c r="N811" s="11">
        <f>IFERROR(_xll.ciqfunctions.udf.CIQ(mh_ticker, "IQ_EBITDA_EST", IQ_NTM, B811, , , "USD"), "")</f>
        <v/>
      </c>
      <c r="O811" s="13">
        <f>IFERROR(M811/N811, "")</f>
        <v/>
      </c>
    </row>
    <row r="812">
      <c r="B812" s="8" t="n"/>
      <c r="C812" s="9">
        <f>IFERROR(_xll.ciqfunctions.udf.CIQ(mh_ticker, "IQ_LASTSALEPRICE", B812), "")</f>
        <v/>
      </c>
      <c r="D812" s="10">
        <f>IFERROR(_xll.ciqfunctions.udf.CIQ(mh_ticker, "IQ_SHARESOUTSTANDING_OUT", B812), "")</f>
        <v/>
      </c>
      <c r="E812" s="11">
        <f>IFERROR(_xll.ciqfunctions.udf.CIQ(mh_ticker, "IQ_CASH_EQUIV", , B812), "")</f>
        <v/>
      </c>
      <c r="F812" s="11">
        <f>IFERROR(_xll.ciqfunctions.udf.CIQ(mh_ticker, "IQ_ST_INVEST", , B812), "")</f>
        <v/>
      </c>
      <c r="G812" s="11">
        <f>IFERROR(_xll.ciqfunctions.udf.CIQ(mh_ticker, "IQ_TOTAL_DEBT_EXCL_OPER_LEASES", , B812), "")</f>
        <v/>
      </c>
      <c r="H812" s="11">
        <f>IFERROR(_xll.ciqfunctions.udf.CIQ(mh_ticker, "IQ_PREF_EQUITY", , B812), "")</f>
        <v/>
      </c>
      <c r="I812" s="11">
        <f>IFERROR(_xll.ciqfunctions.udf.CIQ(mh_ticker, "IQ_MINORITY_INTEREST", , B812), "")</f>
        <v/>
      </c>
      <c r="J812" s="11">
        <f>IFERROR(_xll.ciqfunctions.udf.CIQ(mh_ticker, "IQ_EQUITY_METHOD", , B812), "")</f>
        <v/>
      </c>
      <c r="K812" s="11">
        <f>IFERROR(_xll.ciqfunctions.udf.CIQ(mh_ticker, "IQ_LT_Mark_Securities", , B812), "")</f>
        <v/>
      </c>
      <c r="L812" s="12">
        <f>IFERROR(C812*D812, "")</f>
        <v/>
      </c>
      <c r="M812" s="12">
        <f>IFERROR(L812-E812-F812+G812+H812+I812-J812-K812, "")</f>
        <v/>
      </c>
      <c r="N812" s="11">
        <f>IFERROR(_xll.ciqfunctions.udf.CIQ(mh_ticker, "IQ_EBITDA_EST", IQ_NTM, B812, , , "USD"), "")</f>
        <v/>
      </c>
      <c r="O812" s="13">
        <f>IFERROR(M812/N812, "")</f>
        <v/>
      </c>
    </row>
    <row r="813">
      <c r="B813" s="8" t="n"/>
      <c r="C813" s="9">
        <f>IFERROR(_xll.ciqfunctions.udf.CIQ(mh_ticker, "IQ_LASTSALEPRICE", B813), "")</f>
        <v/>
      </c>
      <c r="D813" s="10">
        <f>IFERROR(_xll.ciqfunctions.udf.CIQ(mh_ticker, "IQ_SHARESOUTSTANDING_OUT", B813), "")</f>
        <v/>
      </c>
      <c r="E813" s="11">
        <f>IFERROR(_xll.ciqfunctions.udf.CIQ(mh_ticker, "IQ_CASH_EQUIV", , B813), "")</f>
        <v/>
      </c>
      <c r="F813" s="11">
        <f>IFERROR(_xll.ciqfunctions.udf.CIQ(mh_ticker, "IQ_ST_INVEST", , B813), "")</f>
        <v/>
      </c>
      <c r="G813" s="11">
        <f>IFERROR(_xll.ciqfunctions.udf.CIQ(mh_ticker, "IQ_TOTAL_DEBT_EXCL_OPER_LEASES", , B813), "")</f>
        <v/>
      </c>
      <c r="H813" s="11">
        <f>IFERROR(_xll.ciqfunctions.udf.CIQ(mh_ticker, "IQ_PREF_EQUITY", , B813), "")</f>
        <v/>
      </c>
      <c r="I813" s="11">
        <f>IFERROR(_xll.ciqfunctions.udf.CIQ(mh_ticker, "IQ_MINORITY_INTEREST", , B813), "")</f>
        <v/>
      </c>
      <c r="J813" s="11">
        <f>IFERROR(_xll.ciqfunctions.udf.CIQ(mh_ticker, "IQ_EQUITY_METHOD", , B813), "")</f>
        <v/>
      </c>
      <c r="K813" s="11">
        <f>IFERROR(_xll.ciqfunctions.udf.CIQ(mh_ticker, "IQ_LT_Mark_Securities", , B813), "")</f>
        <v/>
      </c>
      <c r="L813" s="12">
        <f>IFERROR(C813*D813, "")</f>
        <v/>
      </c>
      <c r="M813" s="12">
        <f>IFERROR(L813-E813-F813+G813+H813+I813-J813-K813, "")</f>
        <v/>
      </c>
      <c r="N813" s="11">
        <f>IFERROR(_xll.ciqfunctions.udf.CIQ(mh_ticker, "IQ_EBITDA_EST", IQ_NTM, B813, , , "USD"), "")</f>
        <v/>
      </c>
      <c r="O813" s="13">
        <f>IFERROR(M813/N813, "")</f>
        <v/>
      </c>
    </row>
    <row r="814">
      <c r="B814" s="8" t="n"/>
      <c r="C814" s="9">
        <f>IFERROR(_xll.ciqfunctions.udf.CIQ(mh_ticker, "IQ_LASTSALEPRICE", B814), "")</f>
        <v/>
      </c>
      <c r="D814" s="10">
        <f>IFERROR(_xll.ciqfunctions.udf.CIQ(mh_ticker, "IQ_SHARESOUTSTANDING_OUT", B814), "")</f>
        <v/>
      </c>
      <c r="E814" s="11">
        <f>IFERROR(_xll.ciqfunctions.udf.CIQ(mh_ticker, "IQ_CASH_EQUIV", , B814), "")</f>
        <v/>
      </c>
      <c r="F814" s="11">
        <f>IFERROR(_xll.ciqfunctions.udf.CIQ(mh_ticker, "IQ_ST_INVEST", , B814), "")</f>
        <v/>
      </c>
      <c r="G814" s="11">
        <f>IFERROR(_xll.ciqfunctions.udf.CIQ(mh_ticker, "IQ_TOTAL_DEBT_EXCL_OPER_LEASES", , B814), "")</f>
        <v/>
      </c>
      <c r="H814" s="11">
        <f>IFERROR(_xll.ciqfunctions.udf.CIQ(mh_ticker, "IQ_PREF_EQUITY", , B814), "")</f>
        <v/>
      </c>
      <c r="I814" s="11">
        <f>IFERROR(_xll.ciqfunctions.udf.CIQ(mh_ticker, "IQ_MINORITY_INTEREST", , B814), "")</f>
        <v/>
      </c>
      <c r="J814" s="11">
        <f>IFERROR(_xll.ciqfunctions.udf.CIQ(mh_ticker, "IQ_EQUITY_METHOD", , B814), "")</f>
        <v/>
      </c>
      <c r="K814" s="11">
        <f>IFERROR(_xll.ciqfunctions.udf.CIQ(mh_ticker, "IQ_LT_Mark_Securities", , B814), "")</f>
        <v/>
      </c>
      <c r="L814" s="12">
        <f>IFERROR(C814*D814, "")</f>
        <v/>
      </c>
      <c r="M814" s="12">
        <f>IFERROR(L814-E814-F814+G814+H814+I814-J814-K814, "")</f>
        <v/>
      </c>
      <c r="N814" s="11">
        <f>IFERROR(_xll.ciqfunctions.udf.CIQ(mh_ticker, "IQ_EBITDA_EST", IQ_NTM, B814, , , "USD"), "")</f>
        <v/>
      </c>
      <c r="O814" s="13">
        <f>IFERROR(M814/N814, "")</f>
        <v/>
      </c>
    </row>
    <row r="815">
      <c r="B815" s="8" t="n"/>
      <c r="C815" s="9">
        <f>IFERROR(_xll.ciqfunctions.udf.CIQ(mh_ticker, "IQ_LASTSALEPRICE", B815), "")</f>
        <v/>
      </c>
      <c r="D815" s="10">
        <f>IFERROR(_xll.ciqfunctions.udf.CIQ(mh_ticker, "IQ_SHARESOUTSTANDING_OUT", B815), "")</f>
        <v/>
      </c>
      <c r="E815" s="11">
        <f>IFERROR(_xll.ciqfunctions.udf.CIQ(mh_ticker, "IQ_CASH_EQUIV", , B815), "")</f>
        <v/>
      </c>
      <c r="F815" s="11">
        <f>IFERROR(_xll.ciqfunctions.udf.CIQ(mh_ticker, "IQ_ST_INVEST", , B815), "")</f>
        <v/>
      </c>
      <c r="G815" s="11">
        <f>IFERROR(_xll.ciqfunctions.udf.CIQ(mh_ticker, "IQ_TOTAL_DEBT_EXCL_OPER_LEASES", , B815), "")</f>
        <v/>
      </c>
      <c r="H815" s="11">
        <f>IFERROR(_xll.ciqfunctions.udf.CIQ(mh_ticker, "IQ_PREF_EQUITY", , B815), "")</f>
        <v/>
      </c>
      <c r="I815" s="11">
        <f>IFERROR(_xll.ciqfunctions.udf.CIQ(mh_ticker, "IQ_MINORITY_INTEREST", , B815), "")</f>
        <v/>
      </c>
      <c r="J815" s="11">
        <f>IFERROR(_xll.ciqfunctions.udf.CIQ(mh_ticker, "IQ_EQUITY_METHOD", , B815), "")</f>
        <v/>
      </c>
      <c r="K815" s="11">
        <f>IFERROR(_xll.ciqfunctions.udf.CIQ(mh_ticker, "IQ_LT_Mark_Securities", , B815), "")</f>
        <v/>
      </c>
      <c r="L815" s="12">
        <f>IFERROR(C815*D815, "")</f>
        <v/>
      </c>
      <c r="M815" s="12">
        <f>IFERROR(L815-E815-F815+G815+H815+I815-J815-K815, "")</f>
        <v/>
      </c>
      <c r="N815" s="11">
        <f>IFERROR(_xll.ciqfunctions.udf.CIQ(mh_ticker, "IQ_EBITDA_EST", IQ_NTM, B815, , , "USD"), "")</f>
        <v/>
      </c>
      <c r="O815" s="13">
        <f>IFERROR(M815/N815, "")</f>
        <v/>
      </c>
    </row>
    <row r="816">
      <c r="B816" s="8" t="n"/>
      <c r="C816" s="9">
        <f>IFERROR(_xll.ciqfunctions.udf.CIQ(mh_ticker, "IQ_LASTSALEPRICE", B816), "")</f>
        <v/>
      </c>
      <c r="D816" s="10">
        <f>IFERROR(_xll.ciqfunctions.udf.CIQ(mh_ticker, "IQ_SHARESOUTSTANDING_OUT", B816), "")</f>
        <v/>
      </c>
      <c r="E816" s="11">
        <f>IFERROR(_xll.ciqfunctions.udf.CIQ(mh_ticker, "IQ_CASH_EQUIV", , B816), "")</f>
        <v/>
      </c>
      <c r="F816" s="11">
        <f>IFERROR(_xll.ciqfunctions.udf.CIQ(mh_ticker, "IQ_ST_INVEST", , B816), "")</f>
        <v/>
      </c>
      <c r="G816" s="11">
        <f>IFERROR(_xll.ciqfunctions.udf.CIQ(mh_ticker, "IQ_TOTAL_DEBT_EXCL_OPER_LEASES", , B816), "")</f>
        <v/>
      </c>
      <c r="H816" s="11">
        <f>IFERROR(_xll.ciqfunctions.udf.CIQ(mh_ticker, "IQ_PREF_EQUITY", , B816), "")</f>
        <v/>
      </c>
      <c r="I816" s="11">
        <f>IFERROR(_xll.ciqfunctions.udf.CIQ(mh_ticker, "IQ_MINORITY_INTEREST", , B816), "")</f>
        <v/>
      </c>
      <c r="J816" s="11">
        <f>IFERROR(_xll.ciqfunctions.udf.CIQ(mh_ticker, "IQ_EQUITY_METHOD", , B816), "")</f>
        <v/>
      </c>
      <c r="K816" s="11">
        <f>IFERROR(_xll.ciqfunctions.udf.CIQ(mh_ticker, "IQ_LT_Mark_Securities", , B816), "")</f>
        <v/>
      </c>
      <c r="L816" s="12">
        <f>IFERROR(C816*D816, "")</f>
        <v/>
      </c>
      <c r="M816" s="12">
        <f>IFERROR(L816-E816-F816+G816+H816+I816-J816-K816, "")</f>
        <v/>
      </c>
      <c r="N816" s="11">
        <f>IFERROR(_xll.ciqfunctions.udf.CIQ(mh_ticker, "IQ_EBITDA_EST", IQ_NTM, B816, , , "USD"), "")</f>
        <v/>
      </c>
      <c r="O816" s="13">
        <f>IFERROR(M816/N816, "")</f>
        <v/>
      </c>
    </row>
    <row r="817">
      <c r="B817" s="8" t="n"/>
      <c r="C817" s="9">
        <f>IFERROR(_xll.ciqfunctions.udf.CIQ(mh_ticker, "IQ_LASTSALEPRICE", B817), "")</f>
        <v/>
      </c>
      <c r="D817" s="10">
        <f>IFERROR(_xll.ciqfunctions.udf.CIQ(mh_ticker, "IQ_SHARESOUTSTANDING_OUT", B817), "")</f>
        <v/>
      </c>
      <c r="E817" s="11">
        <f>IFERROR(_xll.ciqfunctions.udf.CIQ(mh_ticker, "IQ_CASH_EQUIV", , B817), "")</f>
        <v/>
      </c>
      <c r="F817" s="11">
        <f>IFERROR(_xll.ciqfunctions.udf.CIQ(mh_ticker, "IQ_ST_INVEST", , B817), "")</f>
        <v/>
      </c>
      <c r="G817" s="11">
        <f>IFERROR(_xll.ciqfunctions.udf.CIQ(mh_ticker, "IQ_TOTAL_DEBT_EXCL_OPER_LEASES", , B817), "")</f>
        <v/>
      </c>
      <c r="H817" s="11">
        <f>IFERROR(_xll.ciqfunctions.udf.CIQ(mh_ticker, "IQ_PREF_EQUITY", , B817), "")</f>
        <v/>
      </c>
      <c r="I817" s="11">
        <f>IFERROR(_xll.ciqfunctions.udf.CIQ(mh_ticker, "IQ_MINORITY_INTEREST", , B817), "")</f>
        <v/>
      </c>
      <c r="J817" s="11">
        <f>IFERROR(_xll.ciqfunctions.udf.CIQ(mh_ticker, "IQ_EQUITY_METHOD", , B817), "")</f>
        <v/>
      </c>
      <c r="K817" s="11">
        <f>IFERROR(_xll.ciqfunctions.udf.CIQ(mh_ticker, "IQ_LT_Mark_Securities", , B817), "")</f>
        <v/>
      </c>
      <c r="L817" s="12">
        <f>IFERROR(C817*D817, "")</f>
        <v/>
      </c>
      <c r="M817" s="12">
        <f>IFERROR(L817-E817-F817+G817+H817+I817-J817-K817, "")</f>
        <v/>
      </c>
      <c r="N817" s="11">
        <f>IFERROR(_xll.ciqfunctions.udf.CIQ(mh_ticker, "IQ_EBITDA_EST", IQ_NTM, B817, , , "USD"), "")</f>
        <v/>
      </c>
      <c r="O817" s="13">
        <f>IFERROR(M817/N817, "")</f>
        <v/>
      </c>
    </row>
    <row r="818">
      <c r="B818" s="8" t="n"/>
      <c r="C818" s="9">
        <f>IFERROR(_xll.ciqfunctions.udf.CIQ(mh_ticker, "IQ_LASTSALEPRICE", B818), "")</f>
        <v/>
      </c>
      <c r="D818" s="10">
        <f>IFERROR(_xll.ciqfunctions.udf.CIQ(mh_ticker, "IQ_SHARESOUTSTANDING_OUT", B818), "")</f>
        <v/>
      </c>
      <c r="E818" s="11">
        <f>IFERROR(_xll.ciqfunctions.udf.CIQ(mh_ticker, "IQ_CASH_EQUIV", , B818), "")</f>
        <v/>
      </c>
      <c r="F818" s="11">
        <f>IFERROR(_xll.ciqfunctions.udf.CIQ(mh_ticker, "IQ_ST_INVEST", , B818), "")</f>
        <v/>
      </c>
      <c r="G818" s="11">
        <f>IFERROR(_xll.ciqfunctions.udf.CIQ(mh_ticker, "IQ_TOTAL_DEBT_EXCL_OPER_LEASES", , B818), "")</f>
        <v/>
      </c>
      <c r="H818" s="11">
        <f>IFERROR(_xll.ciqfunctions.udf.CIQ(mh_ticker, "IQ_PREF_EQUITY", , B818), "")</f>
        <v/>
      </c>
      <c r="I818" s="11">
        <f>IFERROR(_xll.ciqfunctions.udf.CIQ(mh_ticker, "IQ_MINORITY_INTEREST", , B818), "")</f>
        <v/>
      </c>
      <c r="J818" s="11">
        <f>IFERROR(_xll.ciqfunctions.udf.CIQ(mh_ticker, "IQ_EQUITY_METHOD", , B818), "")</f>
        <v/>
      </c>
      <c r="K818" s="11">
        <f>IFERROR(_xll.ciqfunctions.udf.CIQ(mh_ticker, "IQ_LT_Mark_Securities", , B818), "")</f>
        <v/>
      </c>
      <c r="L818" s="12">
        <f>IFERROR(C818*D818, "")</f>
        <v/>
      </c>
      <c r="M818" s="12">
        <f>IFERROR(L818-E818-F818+G818+H818+I818-J818-K818, "")</f>
        <v/>
      </c>
      <c r="N818" s="11">
        <f>IFERROR(_xll.ciqfunctions.udf.CIQ(mh_ticker, "IQ_EBITDA_EST", IQ_NTM, B818, , , "USD"), "")</f>
        <v/>
      </c>
      <c r="O818" s="13">
        <f>IFERROR(M818/N818, "")</f>
        <v/>
      </c>
    </row>
    <row r="819">
      <c r="B819" s="8" t="n"/>
      <c r="C819" s="9">
        <f>IFERROR(_xll.ciqfunctions.udf.CIQ(mh_ticker, "IQ_LASTSALEPRICE", B819), "")</f>
        <v/>
      </c>
      <c r="D819" s="10">
        <f>IFERROR(_xll.ciqfunctions.udf.CIQ(mh_ticker, "IQ_SHARESOUTSTANDING_OUT", B819), "")</f>
        <v/>
      </c>
      <c r="E819" s="11">
        <f>IFERROR(_xll.ciqfunctions.udf.CIQ(mh_ticker, "IQ_CASH_EQUIV", , B819), "")</f>
        <v/>
      </c>
      <c r="F819" s="11">
        <f>IFERROR(_xll.ciqfunctions.udf.CIQ(mh_ticker, "IQ_ST_INVEST", , B819), "")</f>
        <v/>
      </c>
      <c r="G819" s="11">
        <f>IFERROR(_xll.ciqfunctions.udf.CIQ(mh_ticker, "IQ_TOTAL_DEBT_EXCL_OPER_LEASES", , B819), "")</f>
        <v/>
      </c>
      <c r="H819" s="11">
        <f>IFERROR(_xll.ciqfunctions.udf.CIQ(mh_ticker, "IQ_PREF_EQUITY", , B819), "")</f>
        <v/>
      </c>
      <c r="I819" s="11">
        <f>IFERROR(_xll.ciqfunctions.udf.CIQ(mh_ticker, "IQ_MINORITY_INTEREST", , B819), "")</f>
        <v/>
      </c>
      <c r="J819" s="11">
        <f>IFERROR(_xll.ciqfunctions.udf.CIQ(mh_ticker, "IQ_EQUITY_METHOD", , B819), "")</f>
        <v/>
      </c>
      <c r="K819" s="11">
        <f>IFERROR(_xll.ciqfunctions.udf.CIQ(mh_ticker, "IQ_LT_Mark_Securities", , B819), "")</f>
        <v/>
      </c>
      <c r="L819" s="12">
        <f>IFERROR(C819*D819, "")</f>
        <v/>
      </c>
      <c r="M819" s="12">
        <f>IFERROR(L819-E819-F819+G819+H819+I819-J819-K819, "")</f>
        <v/>
      </c>
      <c r="N819" s="11">
        <f>IFERROR(_xll.ciqfunctions.udf.CIQ(mh_ticker, "IQ_EBITDA_EST", IQ_NTM, B819, , , "USD"), "")</f>
        <v/>
      </c>
      <c r="O819" s="13">
        <f>IFERROR(M819/N819, "")</f>
        <v/>
      </c>
    </row>
    <row r="820">
      <c r="B820" s="8" t="n"/>
      <c r="C820" s="9">
        <f>IFERROR(_xll.ciqfunctions.udf.CIQ(mh_ticker, "IQ_LASTSALEPRICE", B820), "")</f>
        <v/>
      </c>
      <c r="D820" s="10">
        <f>IFERROR(_xll.ciqfunctions.udf.CIQ(mh_ticker, "IQ_SHARESOUTSTANDING_OUT", B820), "")</f>
        <v/>
      </c>
      <c r="E820" s="11">
        <f>IFERROR(_xll.ciqfunctions.udf.CIQ(mh_ticker, "IQ_CASH_EQUIV", , B820), "")</f>
        <v/>
      </c>
      <c r="F820" s="11">
        <f>IFERROR(_xll.ciqfunctions.udf.CIQ(mh_ticker, "IQ_ST_INVEST", , B820), "")</f>
        <v/>
      </c>
      <c r="G820" s="11">
        <f>IFERROR(_xll.ciqfunctions.udf.CIQ(mh_ticker, "IQ_TOTAL_DEBT_EXCL_OPER_LEASES", , B820), "")</f>
        <v/>
      </c>
      <c r="H820" s="11">
        <f>IFERROR(_xll.ciqfunctions.udf.CIQ(mh_ticker, "IQ_PREF_EQUITY", , B820), "")</f>
        <v/>
      </c>
      <c r="I820" s="11">
        <f>IFERROR(_xll.ciqfunctions.udf.CIQ(mh_ticker, "IQ_MINORITY_INTEREST", , B820), "")</f>
        <v/>
      </c>
      <c r="J820" s="11">
        <f>IFERROR(_xll.ciqfunctions.udf.CIQ(mh_ticker, "IQ_EQUITY_METHOD", , B820), "")</f>
        <v/>
      </c>
      <c r="K820" s="11">
        <f>IFERROR(_xll.ciqfunctions.udf.CIQ(mh_ticker, "IQ_LT_Mark_Securities", , B820), "")</f>
        <v/>
      </c>
      <c r="L820" s="12">
        <f>IFERROR(C820*D820, "")</f>
        <v/>
      </c>
      <c r="M820" s="12">
        <f>IFERROR(L820-E820-F820+G820+H820+I820-J820-K820, "")</f>
        <v/>
      </c>
      <c r="N820" s="11">
        <f>IFERROR(_xll.ciqfunctions.udf.CIQ(mh_ticker, "IQ_EBITDA_EST", IQ_NTM, B820, , , "USD"), "")</f>
        <v/>
      </c>
      <c r="O820" s="13">
        <f>IFERROR(M820/N820, "")</f>
        <v/>
      </c>
    </row>
    <row r="821">
      <c r="B821" s="8" t="n"/>
      <c r="C821" s="9">
        <f>IFERROR(_xll.ciqfunctions.udf.CIQ(mh_ticker, "IQ_LASTSALEPRICE", B821), "")</f>
        <v/>
      </c>
      <c r="D821" s="10">
        <f>IFERROR(_xll.ciqfunctions.udf.CIQ(mh_ticker, "IQ_SHARESOUTSTANDING_OUT", B821), "")</f>
        <v/>
      </c>
      <c r="E821" s="11">
        <f>IFERROR(_xll.ciqfunctions.udf.CIQ(mh_ticker, "IQ_CASH_EQUIV", , B821), "")</f>
        <v/>
      </c>
      <c r="F821" s="11">
        <f>IFERROR(_xll.ciqfunctions.udf.CIQ(mh_ticker, "IQ_ST_INVEST", , B821), "")</f>
        <v/>
      </c>
      <c r="G821" s="11">
        <f>IFERROR(_xll.ciqfunctions.udf.CIQ(mh_ticker, "IQ_TOTAL_DEBT_EXCL_OPER_LEASES", , B821), "")</f>
        <v/>
      </c>
      <c r="H821" s="11">
        <f>IFERROR(_xll.ciqfunctions.udf.CIQ(mh_ticker, "IQ_PREF_EQUITY", , B821), "")</f>
        <v/>
      </c>
      <c r="I821" s="11">
        <f>IFERROR(_xll.ciqfunctions.udf.CIQ(mh_ticker, "IQ_MINORITY_INTEREST", , B821), "")</f>
        <v/>
      </c>
      <c r="J821" s="11">
        <f>IFERROR(_xll.ciqfunctions.udf.CIQ(mh_ticker, "IQ_EQUITY_METHOD", , B821), "")</f>
        <v/>
      </c>
      <c r="K821" s="11">
        <f>IFERROR(_xll.ciqfunctions.udf.CIQ(mh_ticker, "IQ_LT_Mark_Securities", , B821), "")</f>
        <v/>
      </c>
      <c r="L821" s="12">
        <f>IFERROR(C821*D821, "")</f>
        <v/>
      </c>
      <c r="M821" s="12">
        <f>IFERROR(L821-E821-F821+G821+H821+I821-J821-K821, "")</f>
        <v/>
      </c>
      <c r="N821" s="11">
        <f>IFERROR(_xll.ciqfunctions.udf.CIQ(mh_ticker, "IQ_EBITDA_EST", IQ_NTM, B821, , , "USD"), "")</f>
        <v/>
      </c>
      <c r="O821" s="13">
        <f>IFERROR(M821/N821, "")</f>
        <v/>
      </c>
    </row>
    <row r="822">
      <c r="B822" s="8" t="n"/>
      <c r="C822" s="9">
        <f>IFERROR(_xll.ciqfunctions.udf.CIQ(mh_ticker, "IQ_LASTSALEPRICE", B822), "")</f>
        <v/>
      </c>
      <c r="D822" s="10">
        <f>IFERROR(_xll.ciqfunctions.udf.CIQ(mh_ticker, "IQ_SHARESOUTSTANDING_OUT", B822), "")</f>
        <v/>
      </c>
      <c r="E822" s="11">
        <f>IFERROR(_xll.ciqfunctions.udf.CIQ(mh_ticker, "IQ_CASH_EQUIV", , B822), "")</f>
        <v/>
      </c>
      <c r="F822" s="11">
        <f>IFERROR(_xll.ciqfunctions.udf.CIQ(mh_ticker, "IQ_ST_INVEST", , B822), "")</f>
        <v/>
      </c>
      <c r="G822" s="11">
        <f>IFERROR(_xll.ciqfunctions.udf.CIQ(mh_ticker, "IQ_TOTAL_DEBT_EXCL_OPER_LEASES", , B822), "")</f>
        <v/>
      </c>
      <c r="H822" s="11">
        <f>IFERROR(_xll.ciqfunctions.udf.CIQ(mh_ticker, "IQ_PREF_EQUITY", , B822), "")</f>
        <v/>
      </c>
      <c r="I822" s="11">
        <f>IFERROR(_xll.ciqfunctions.udf.CIQ(mh_ticker, "IQ_MINORITY_INTEREST", , B822), "")</f>
        <v/>
      </c>
      <c r="J822" s="11">
        <f>IFERROR(_xll.ciqfunctions.udf.CIQ(mh_ticker, "IQ_EQUITY_METHOD", , B822), "")</f>
        <v/>
      </c>
      <c r="K822" s="11">
        <f>IFERROR(_xll.ciqfunctions.udf.CIQ(mh_ticker, "IQ_LT_Mark_Securities", , B822), "")</f>
        <v/>
      </c>
      <c r="L822" s="12">
        <f>IFERROR(C822*D822, "")</f>
        <v/>
      </c>
      <c r="M822" s="12">
        <f>IFERROR(L822-E822-F822+G822+H822+I822-J822-K822, "")</f>
        <v/>
      </c>
      <c r="N822" s="11">
        <f>IFERROR(_xll.ciqfunctions.udf.CIQ(mh_ticker, "IQ_EBITDA_EST", IQ_NTM, B822, , , "USD"), "")</f>
        <v/>
      </c>
      <c r="O822" s="13">
        <f>IFERROR(M822/N822, "")</f>
        <v/>
      </c>
    </row>
    <row r="823">
      <c r="B823" s="8" t="n"/>
      <c r="C823" s="9">
        <f>IFERROR(_xll.ciqfunctions.udf.CIQ(mh_ticker, "IQ_LASTSALEPRICE", B823), "")</f>
        <v/>
      </c>
      <c r="D823" s="10">
        <f>IFERROR(_xll.ciqfunctions.udf.CIQ(mh_ticker, "IQ_SHARESOUTSTANDING_OUT", B823), "")</f>
        <v/>
      </c>
      <c r="E823" s="11">
        <f>IFERROR(_xll.ciqfunctions.udf.CIQ(mh_ticker, "IQ_CASH_EQUIV", , B823), "")</f>
        <v/>
      </c>
      <c r="F823" s="11">
        <f>IFERROR(_xll.ciqfunctions.udf.CIQ(mh_ticker, "IQ_ST_INVEST", , B823), "")</f>
        <v/>
      </c>
      <c r="G823" s="11">
        <f>IFERROR(_xll.ciqfunctions.udf.CIQ(mh_ticker, "IQ_TOTAL_DEBT_EXCL_OPER_LEASES", , B823), "")</f>
        <v/>
      </c>
      <c r="H823" s="11">
        <f>IFERROR(_xll.ciqfunctions.udf.CIQ(mh_ticker, "IQ_PREF_EQUITY", , B823), "")</f>
        <v/>
      </c>
      <c r="I823" s="11">
        <f>IFERROR(_xll.ciqfunctions.udf.CIQ(mh_ticker, "IQ_MINORITY_INTEREST", , B823), "")</f>
        <v/>
      </c>
      <c r="J823" s="11">
        <f>IFERROR(_xll.ciqfunctions.udf.CIQ(mh_ticker, "IQ_EQUITY_METHOD", , B823), "")</f>
        <v/>
      </c>
      <c r="K823" s="11">
        <f>IFERROR(_xll.ciqfunctions.udf.CIQ(mh_ticker, "IQ_LT_Mark_Securities", , B823), "")</f>
        <v/>
      </c>
      <c r="L823" s="12">
        <f>IFERROR(C823*D823, "")</f>
        <v/>
      </c>
      <c r="M823" s="12">
        <f>IFERROR(L823-E823-F823+G823+H823+I823-J823-K823, "")</f>
        <v/>
      </c>
      <c r="N823" s="11">
        <f>IFERROR(_xll.ciqfunctions.udf.CIQ(mh_ticker, "IQ_EBITDA_EST", IQ_NTM, B823, , , "USD"), "")</f>
        <v/>
      </c>
      <c r="O823" s="13">
        <f>IFERROR(M823/N823, "")</f>
        <v/>
      </c>
    </row>
    <row r="824">
      <c r="B824" s="8" t="n"/>
      <c r="C824" s="9">
        <f>IFERROR(_xll.ciqfunctions.udf.CIQ(mh_ticker, "IQ_LASTSALEPRICE", B824), "")</f>
        <v/>
      </c>
      <c r="D824" s="10">
        <f>IFERROR(_xll.ciqfunctions.udf.CIQ(mh_ticker, "IQ_SHARESOUTSTANDING_OUT", B824), "")</f>
        <v/>
      </c>
      <c r="E824" s="11">
        <f>IFERROR(_xll.ciqfunctions.udf.CIQ(mh_ticker, "IQ_CASH_EQUIV", , B824), "")</f>
        <v/>
      </c>
      <c r="F824" s="11">
        <f>IFERROR(_xll.ciqfunctions.udf.CIQ(mh_ticker, "IQ_ST_INVEST", , B824), "")</f>
        <v/>
      </c>
      <c r="G824" s="11">
        <f>IFERROR(_xll.ciqfunctions.udf.CIQ(mh_ticker, "IQ_TOTAL_DEBT_EXCL_OPER_LEASES", , B824), "")</f>
        <v/>
      </c>
      <c r="H824" s="11">
        <f>IFERROR(_xll.ciqfunctions.udf.CIQ(mh_ticker, "IQ_PREF_EQUITY", , B824), "")</f>
        <v/>
      </c>
      <c r="I824" s="11">
        <f>IFERROR(_xll.ciqfunctions.udf.CIQ(mh_ticker, "IQ_MINORITY_INTEREST", , B824), "")</f>
        <v/>
      </c>
      <c r="J824" s="11">
        <f>IFERROR(_xll.ciqfunctions.udf.CIQ(mh_ticker, "IQ_EQUITY_METHOD", , B824), "")</f>
        <v/>
      </c>
      <c r="K824" s="11">
        <f>IFERROR(_xll.ciqfunctions.udf.CIQ(mh_ticker, "IQ_LT_Mark_Securities", , B824), "")</f>
        <v/>
      </c>
      <c r="L824" s="12">
        <f>IFERROR(C824*D824, "")</f>
        <v/>
      </c>
      <c r="M824" s="12">
        <f>IFERROR(L824-E824-F824+G824+H824+I824-J824-K824, "")</f>
        <v/>
      </c>
      <c r="N824" s="11">
        <f>IFERROR(_xll.ciqfunctions.udf.CIQ(mh_ticker, "IQ_EBITDA_EST", IQ_NTM, B824, , , "USD"), "")</f>
        <v/>
      </c>
      <c r="O824" s="13">
        <f>IFERROR(M824/N824, "")</f>
        <v/>
      </c>
    </row>
    <row r="825">
      <c r="B825" s="8" t="n"/>
      <c r="C825" s="9">
        <f>IFERROR(_xll.ciqfunctions.udf.CIQ(mh_ticker, "IQ_LASTSALEPRICE", B825), "")</f>
        <v/>
      </c>
      <c r="D825" s="10">
        <f>IFERROR(_xll.ciqfunctions.udf.CIQ(mh_ticker, "IQ_SHARESOUTSTANDING_OUT", B825), "")</f>
        <v/>
      </c>
      <c r="E825" s="11">
        <f>IFERROR(_xll.ciqfunctions.udf.CIQ(mh_ticker, "IQ_CASH_EQUIV", , B825), "")</f>
        <v/>
      </c>
      <c r="F825" s="11">
        <f>IFERROR(_xll.ciqfunctions.udf.CIQ(mh_ticker, "IQ_ST_INVEST", , B825), "")</f>
        <v/>
      </c>
      <c r="G825" s="11">
        <f>IFERROR(_xll.ciqfunctions.udf.CIQ(mh_ticker, "IQ_TOTAL_DEBT_EXCL_OPER_LEASES", , B825), "")</f>
        <v/>
      </c>
      <c r="H825" s="11">
        <f>IFERROR(_xll.ciqfunctions.udf.CIQ(mh_ticker, "IQ_PREF_EQUITY", , B825), "")</f>
        <v/>
      </c>
      <c r="I825" s="11">
        <f>IFERROR(_xll.ciqfunctions.udf.CIQ(mh_ticker, "IQ_MINORITY_INTEREST", , B825), "")</f>
        <v/>
      </c>
      <c r="J825" s="11">
        <f>IFERROR(_xll.ciqfunctions.udf.CIQ(mh_ticker, "IQ_EQUITY_METHOD", , B825), "")</f>
        <v/>
      </c>
      <c r="K825" s="11">
        <f>IFERROR(_xll.ciqfunctions.udf.CIQ(mh_ticker, "IQ_LT_Mark_Securities", , B825), "")</f>
        <v/>
      </c>
      <c r="L825" s="12">
        <f>IFERROR(C825*D825, "")</f>
        <v/>
      </c>
      <c r="M825" s="12">
        <f>IFERROR(L825-E825-F825+G825+H825+I825-J825-K825, "")</f>
        <v/>
      </c>
      <c r="N825" s="11">
        <f>IFERROR(_xll.ciqfunctions.udf.CIQ(mh_ticker, "IQ_EBITDA_EST", IQ_NTM, B825, , , "USD"), "")</f>
        <v/>
      </c>
      <c r="O825" s="13">
        <f>IFERROR(M825/N825, "")</f>
        <v/>
      </c>
    </row>
    <row r="826">
      <c r="B826" s="8" t="n"/>
      <c r="C826" s="9">
        <f>IFERROR(_xll.ciqfunctions.udf.CIQ(mh_ticker, "IQ_LASTSALEPRICE", B826), "")</f>
        <v/>
      </c>
      <c r="D826" s="10">
        <f>IFERROR(_xll.ciqfunctions.udf.CIQ(mh_ticker, "IQ_SHARESOUTSTANDING_OUT", B826), "")</f>
        <v/>
      </c>
      <c r="E826" s="11">
        <f>IFERROR(_xll.ciqfunctions.udf.CIQ(mh_ticker, "IQ_CASH_EQUIV", , B826), "")</f>
        <v/>
      </c>
      <c r="F826" s="11">
        <f>IFERROR(_xll.ciqfunctions.udf.CIQ(mh_ticker, "IQ_ST_INVEST", , B826), "")</f>
        <v/>
      </c>
      <c r="G826" s="11">
        <f>IFERROR(_xll.ciqfunctions.udf.CIQ(mh_ticker, "IQ_TOTAL_DEBT_EXCL_OPER_LEASES", , B826), "")</f>
        <v/>
      </c>
      <c r="H826" s="11">
        <f>IFERROR(_xll.ciqfunctions.udf.CIQ(mh_ticker, "IQ_PREF_EQUITY", , B826), "")</f>
        <v/>
      </c>
      <c r="I826" s="11">
        <f>IFERROR(_xll.ciqfunctions.udf.CIQ(mh_ticker, "IQ_MINORITY_INTEREST", , B826), "")</f>
        <v/>
      </c>
      <c r="J826" s="11">
        <f>IFERROR(_xll.ciqfunctions.udf.CIQ(mh_ticker, "IQ_EQUITY_METHOD", , B826), "")</f>
        <v/>
      </c>
      <c r="K826" s="11">
        <f>IFERROR(_xll.ciqfunctions.udf.CIQ(mh_ticker, "IQ_LT_Mark_Securities", , B826), "")</f>
        <v/>
      </c>
      <c r="L826" s="12">
        <f>IFERROR(C826*D826, "")</f>
        <v/>
      </c>
      <c r="M826" s="12">
        <f>IFERROR(L826-E826-F826+G826+H826+I826-J826-K826, "")</f>
        <v/>
      </c>
      <c r="N826" s="11">
        <f>IFERROR(_xll.ciqfunctions.udf.CIQ(mh_ticker, "IQ_EBITDA_EST", IQ_NTM, B826, , , "USD"), "")</f>
        <v/>
      </c>
      <c r="O826" s="13">
        <f>IFERROR(M826/N826, "")</f>
        <v/>
      </c>
    </row>
    <row r="827">
      <c r="B827" s="8" t="n"/>
      <c r="C827" s="9">
        <f>IFERROR(_xll.ciqfunctions.udf.CIQ(mh_ticker, "IQ_LASTSALEPRICE", B827), "")</f>
        <v/>
      </c>
      <c r="D827" s="10">
        <f>IFERROR(_xll.ciqfunctions.udf.CIQ(mh_ticker, "IQ_SHARESOUTSTANDING_OUT", B827), "")</f>
        <v/>
      </c>
      <c r="E827" s="11">
        <f>IFERROR(_xll.ciqfunctions.udf.CIQ(mh_ticker, "IQ_CASH_EQUIV", , B827), "")</f>
        <v/>
      </c>
      <c r="F827" s="11">
        <f>IFERROR(_xll.ciqfunctions.udf.CIQ(mh_ticker, "IQ_ST_INVEST", , B827), "")</f>
        <v/>
      </c>
      <c r="G827" s="11">
        <f>IFERROR(_xll.ciqfunctions.udf.CIQ(mh_ticker, "IQ_TOTAL_DEBT_EXCL_OPER_LEASES", , B827), "")</f>
        <v/>
      </c>
      <c r="H827" s="11">
        <f>IFERROR(_xll.ciqfunctions.udf.CIQ(mh_ticker, "IQ_PREF_EQUITY", , B827), "")</f>
        <v/>
      </c>
      <c r="I827" s="11">
        <f>IFERROR(_xll.ciqfunctions.udf.CIQ(mh_ticker, "IQ_MINORITY_INTEREST", , B827), "")</f>
        <v/>
      </c>
      <c r="J827" s="11">
        <f>IFERROR(_xll.ciqfunctions.udf.CIQ(mh_ticker, "IQ_EQUITY_METHOD", , B827), "")</f>
        <v/>
      </c>
      <c r="K827" s="11">
        <f>IFERROR(_xll.ciqfunctions.udf.CIQ(mh_ticker, "IQ_LT_Mark_Securities", , B827), "")</f>
        <v/>
      </c>
      <c r="L827" s="12">
        <f>IFERROR(C827*D827, "")</f>
        <v/>
      </c>
      <c r="M827" s="12">
        <f>IFERROR(L827-E827-F827+G827+H827+I827-J827-K827, "")</f>
        <v/>
      </c>
      <c r="N827" s="11">
        <f>IFERROR(_xll.ciqfunctions.udf.CIQ(mh_ticker, "IQ_EBITDA_EST", IQ_NTM, B827, , , "USD"), "")</f>
        <v/>
      </c>
      <c r="O827" s="13">
        <f>IFERROR(M827/N827, "")</f>
        <v/>
      </c>
    </row>
    <row r="828">
      <c r="B828" s="8" t="n"/>
      <c r="C828" s="9">
        <f>IFERROR(_xll.ciqfunctions.udf.CIQ(mh_ticker, "IQ_LASTSALEPRICE", B828), "")</f>
        <v/>
      </c>
      <c r="D828" s="10">
        <f>IFERROR(_xll.ciqfunctions.udf.CIQ(mh_ticker, "IQ_SHARESOUTSTANDING_OUT", B828), "")</f>
        <v/>
      </c>
      <c r="E828" s="11">
        <f>IFERROR(_xll.ciqfunctions.udf.CIQ(mh_ticker, "IQ_CASH_EQUIV", , B828), "")</f>
        <v/>
      </c>
      <c r="F828" s="11">
        <f>IFERROR(_xll.ciqfunctions.udf.CIQ(mh_ticker, "IQ_ST_INVEST", , B828), "")</f>
        <v/>
      </c>
      <c r="G828" s="11">
        <f>IFERROR(_xll.ciqfunctions.udf.CIQ(mh_ticker, "IQ_TOTAL_DEBT_EXCL_OPER_LEASES", , B828), "")</f>
        <v/>
      </c>
      <c r="H828" s="11">
        <f>IFERROR(_xll.ciqfunctions.udf.CIQ(mh_ticker, "IQ_PREF_EQUITY", , B828), "")</f>
        <v/>
      </c>
      <c r="I828" s="11">
        <f>IFERROR(_xll.ciqfunctions.udf.CIQ(mh_ticker, "IQ_MINORITY_INTEREST", , B828), "")</f>
        <v/>
      </c>
      <c r="J828" s="11">
        <f>IFERROR(_xll.ciqfunctions.udf.CIQ(mh_ticker, "IQ_EQUITY_METHOD", , B828), "")</f>
        <v/>
      </c>
      <c r="K828" s="11">
        <f>IFERROR(_xll.ciqfunctions.udf.CIQ(mh_ticker, "IQ_LT_Mark_Securities", , B828), "")</f>
        <v/>
      </c>
      <c r="L828" s="12">
        <f>IFERROR(C828*D828, "")</f>
        <v/>
      </c>
      <c r="M828" s="12">
        <f>IFERROR(L828-E828-F828+G828+H828+I828-J828-K828, "")</f>
        <v/>
      </c>
      <c r="N828" s="11">
        <f>IFERROR(_xll.ciqfunctions.udf.CIQ(mh_ticker, "IQ_EBITDA_EST", IQ_NTM, B828, , , "USD"), "")</f>
        <v/>
      </c>
      <c r="O828" s="13">
        <f>IFERROR(M828/N828, "")</f>
        <v/>
      </c>
    </row>
    <row r="829">
      <c r="B829" s="8" t="n"/>
      <c r="C829" s="9">
        <f>IFERROR(_xll.ciqfunctions.udf.CIQ(mh_ticker, "IQ_LASTSALEPRICE", B829), "")</f>
        <v/>
      </c>
      <c r="D829" s="10">
        <f>IFERROR(_xll.ciqfunctions.udf.CIQ(mh_ticker, "IQ_SHARESOUTSTANDING_OUT", B829), "")</f>
        <v/>
      </c>
      <c r="E829" s="11">
        <f>IFERROR(_xll.ciqfunctions.udf.CIQ(mh_ticker, "IQ_CASH_EQUIV", , B829), "")</f>
        <v/>
      </c>
      <c r="F829" s="11">
        <f>IFERROR(_xll.ciqfunctions.udf.CIQ(mh_ticker, "IQ_ST_INVEST", , B829), "")</f>
        <v/>
      </c>
      <c r="G829" s="11">
        <f>IFERROR(_xll.ciqfunctions.udf.CIQ(mh_ticker, "IQ_TOTAL_DEBT_EXCL_OPER_LEASES", , B829), "")</f>
        <v/>
      </c>
      <c r="H829" s="11">
        <f>IFERROR(_xll.ciqfunctions.udf.CIQ(mh_ticker, "IQ_PREF_EQUITY", , B829), "")</f>
        <v/>
      </c>
      <c r="I829" s="11">
        <f>IFERROR(_xll.ciqfunctions.udf.CIQ(mh_ticker, "IQ_MINORITY_INTEREST", , B829), "")</f>
        <v/>
      </c>
      <c r="J829" s="11">
        <f>IFERROR(_xll.ciqfunctions.udf.CIQ(mh_ticker, "IQ_EQUITY_METHOD", , B829), "")</f>
        <v/>
      </c>
      <c r="K829" s="11">
        <f>IFERROR(_xll.ciqfunctions.udf.CIQ(mh_ticker, "IQ_LT_Mark_Securities", , B829), "")</f>
        <v/>
      </c>
      <c r="L829" s="12">
        <f>IFERROR(C829*D829, "")</f>
        <v/>
      </c>
      <c r="M829" s="12">
        <f>IFERROR(L829-E829-F829+G829+H829+I829-J829-K829, "")</f>
        <v/>
      </c>
      <c r="N829" s="11">
        <f>IFERROR(_xll.ciqfunctions.udf.CIQ(mh_ticker, "IQ_EBITDA_EST", IQ_NTM, B829, , , "USD"), "")</f>
        <v/>
      </c>
      <c r="O829" s="13">
        <f>IFERROR(M829/N829, "")</f>
        <v/>
      </c>
    </row>
    <row r="830">
      <c r="B830" s="8" t="n"/>
      <c r="C830" s="9">
        <f>IFERROR(_xll.ciqfunctions.udf.CIQ(mh_ticker, "IQ_LASTSALEPRICE", B830), "")</f>
        <v/>
      </c>
      <c r="D830" s="10">
        <f>IFERROR(_xll.ciqfunctions.udf.CIQ(mh_ticker, "IQ_SHARESOUTSTANDING_OUT", B830), "")</f>
        <v/>
      </c>
      <c r="E830" s="11">
        <f>IFERROR(_xll.ciqfunctions.udf.CIQ(mh_ticker, "IQ_CASH_EQUIV", , B830), "")</f>
        <v/>
      </c>
      <c r="F830" s="11">
        <f>IFERROR(_xll.ciqfunctions.udf.CIQ(mh_ticker, "IQ_ST_INVEST", , B830), "")</f>
        <v/>
      </c>
      <c r="G830" s="11">
        <f>IFERROR(_xll.ciqfunctions.udf.CIQ(mh_ticker, "IQ_TOTAL_DEBT_EXCL_OPER_LEASES", , B830), "")</f>
        <v/>
      </c>
      <c r="H830" s="11">
        <f>IFERROR(_xll.ciqfunctions.udf.CIQ(mh_ticker, "IQ_PREF_EQUITY", , B830), "")</f>
        <v/>
      </c>
      <c r="I830" s="11">
        <f>IFERROR(_xll.ciqfunctions.udf.CIQ(mh_ticker, "IQ_MINORITY_INTEREST", , B830), "")</f>
        <v/>
      </c>
      <c r="J830" s="11">
        <f>IFERROR(_xll.ciqfunctions.udf.CIQ(mh_ticker, "IQ_EQUITY_METHOD", , B830), "")</f>
        <v/>
      </c>
      <c r="K830" s="11">
        <f>IFERROR(_xll.ciqfunctions.udf.CIQ(mh_ticker, "IQ_LT_Mark_Securities", , B830), "")</f>
        <v/>
      </c>
      <c r="L830" s="12">
        <f>IFERROR(C830*D830, "")</f>
        <v/>
      </c>
      <c r="M830" s="12">
        <f>IFERROR(L830-E830-F830+G830+H830+I830-J830-K830, "")</f>
        <v/>
      </c>
      <c r="N830" s="11">
        <f>IFERROR(_xll.ciqfunctions.udf.CIQ(mh_ticker, "IQ_EBITDA_EST", IQ_NTM, B830, , , "USD"), "")</f>
        <v/>
      </c>
      <c r="O830" s="13">
        <f>IFERROR(M830/N830, "")</f>
        <v/>
      </c>
    </row>
    <row r="831">
      <c r="B831" s="8" t="n"/>
      <c r="C831" s="9">
        <f>IFERROR(_xll.ciqfunctions.udf.CIQ(mh_ticker, "IQ_LASTSALEPRICE", B831), "")</f>
        <v/>
      </c>
      <c r="D831" s="10">
        <f>IFERROR(_xll.ciqfunctions.udf.CIQ(mh_ticker, "IQ_SHARESOUTSTANDING_OUT", B831), "")</f>
        <v/>
      </c>
      <c r="E831" s="11">
        <f>IFERROR(_xll.ciqfunctions.udf.CIQ(mh_ticker, "IQ_CASH_EQUIV", , B831), "")</f>
        <v/>
      </c>
      <c r="F831" s="11">
        <f>IFERROR(_xll.ciqfunctions.udf.CIQ(mh_ticker, "IQ_ST_INVEST", , B831), "")</f>
        <v/>
      </c>
      <c r="G831" s="11">
        <f>IFERROR(_xll.ciqfunctions.udf.CIQ(mh_ticker, "IQ_TOTAL_DEBT_EXCL_OPER_LEASES", , B831), "")</f>
        <v/>
      </c>
      <c r="H831" s="11">
        <f>IFERROR(_xll.ciqfunctions.udf.CIQ(mh_ticker, "IQ_PREF_EQUITY", , B831), "")</f>
        <v/>
      </c>
      <c r="I831" s="11">
        <f>IFERROR(_xll.ciqfunctions.udf.CIQ(mh_ticker, "IQ_MINORITY_INTEREST", , B831), "")</f>
        <v/>
      </c>
      <c r="J831" s="11">
        <f>IFERROR(_xll.ciqfunctions.udf.CIQ(mh_ticker, "IQ_EQUITY_METHOD", , B831), "")</f>
        <v/>
      </c>
      <c r="K831" s="11">
        <f>IFERROR(_xll.ciqfunctions.udf.CIQ(mh_ticker, "IQ_LT_Mark_Securities", , B831), "")</f>
        <v/>
      </c>
      <c r="L831" s="12">
        <f>IFERROR(C831*D831, "")</f>
        <v/>
      </c>
      <c r="M831" s="12">
        <f>IFERROR(L831-E831-F831+G831+H831+I831-J831-K831, "")</f>
        <v/>
      </c>
      <c r="N831" s="11">
        <f>IFERROR(_xll.ciqfunctions.udf.CIQ(mh_ticker, "IQ_EBITDA_EST", IQ_NTM, B831, , , "USD"), "")</f>
        <v/>
      </c>
      <c r="O831" s="13">
        <f>IFERROR(M831/N831, "")</f>
        <v/>
      </c>
    </row>
    <row r="832">
      <c r="B832" s="8" t="n"/>
      <c r="C832" s="9">
        <f>IFERROR(_xll.ciqfunctions.udf.CIQ(mh_ticker, "IQ_LASTSALEPRICE", B832), "")</f>
        <v/>
      </c>
      <c r="D832" s="10">
        <f>IFERROR(_xll.ciqfunctions.udf.CIQ(mh_ticker, "IQ_SHARESOUTSTANDING_OUT", B832), "")</f>
        <v/>
      </c>
      <c r="E832" s="11">
        <f>IFERROR(_xll.ciqfunctions.udf.CIQ(mh_ticker, "IQ_CASH_EQUIV", , B832), "")</f>
        <v/>
      </c>
      <c r="F832" s="11">
        <f>IFERROR(_xll.ciqfunctions.udf.CIQ(mh_ticker, "IQ_ST_INVEST", , B832), "")</f>
        <v/>
      </c>
      <c r="G832" s="11">
        <f>IFERROR(_xll.ciqfunctions.udf.CIQ(mh_ticker, "IQ_TOTAL_DEBT_EXCL_OPER_LEASES", , B832), "")</f>
        <v/>
      </c>
      <c r="H832" s="11">
        <f>IFERROR(_xll.ciqfunctions.udf.CIQ(mh_ticker, "IQ_PREF_EQUITY", , B832), "")</f>
        <v/>
      </c>
      <c r="I832" s="11">
        <f>IFERROR(_xll.ciqfunctions.udf.CIQ(mh_ticker, "IQ_MINORITY_INTEREST", , B832), "")</f>
        <v/>
      </c>
      <c r="J832" s="11">
        <f>IFERROR(_xll.ciqfunctions.udf.CIQ(mh_ticker, "IQ_EQUITY_METHOD", , B832), "")</f>
        <v/>
      </c>
      <c r="K832" s="11">
        <f>IFERROR(_xll.ciqfunctions.udf.CIQ(mh_ticker, "IQ_LT_Mark_Securities", , B832), "")</f>
        <v/>
      </c>
      <c r="L832" s="12">
        <f>IFERROR(C832*D832, "")</f>
        <v/>
      </c>
      <c r="M832" s="12">
        <f>IFERROR(L832-E832-F832+G832+H832+I832-J832-K832, "")</f>
        <v/>
      </c>
      <c r="N832" s="11">
        <f>IFERROR(_xll.ciqfunctions.udf.CIQ(mh_ticker, "IQ_EBITDA_EST", IQ_NTM, B832, , , "USD"), "")</f>
        <v/>
      </c>
      <c r="O832" s="13">
        <f>IFERROR(M832/N832, "")</f>
        <v/>
      </c>
    </row>
    <row r="833">
      <c r="B833" s="8" t="n"/>
      <c r="C833" s="9">
        <f>IFERROR(_xll.ciqfunctions.udf.CIQ(mh_ticker, "IQ_LASTSALEPRICE", B833), "")</f>
        <v/>
      </c>
      <c r="D833" s="10">
        <f>IFERROR(_xll.ciqfunctions.udf.CIQ(mh_ticker, "IQ_SHARESOUTSTANDING_OUT", B833), "")</f>
        <v/>
      </c>
      <c r="E833" s="11">
        <f>IFERROR(_xll.ciqfunctions.udf.CIQ(mh_ticker, "IQ_CASH_EQUIV", , B833), "")</f>
        <v/>
      </c>
      <c r="F833" s="11">
        <f>IFERROR(_xll.ciqfunctions.udf.CIQ(mh_ticker, "IQ_ST_INVEST", , B833), "")</f>
        <v/>
      </c>
      <c r="G833" s="11">
        <f>IFERROR(_xll.ciqfunctions.udf.CIQ(mh_ticker, "IQ_TOTAL_DEBT_EXCL_OPER_LEASES", , B833), "")</f>
        <v/>
      </c>
      <c r="H833" s="11">
        <f>IFERROR(_xll.ciqfunctions.udf.CIQ(mh_ticker, "IQ_PREF_EQUITY", , B833), "")</f>
        <v/>
      </c>
      <c r="I833" s="11">
        <f>IFERROR(_xll.ciqfunctions.udf.CIQ(mh_ticker, "IQ_MINORITY_INTEREST", , B833), "")</f>
        <v/>
      </c>
      <c r="J833" s="11">
        <f>IFERROR(_xll.ciqfunctions.udf.CIQ(mh_ticker, "IQ_EQUITY_METHOD", , B833), "")</f>
        <v/>
      </c>
      <c r="K833" s="11">
        <f>IFERROR(_xll.ciqfunctions.udf.CIQ(mh_ticker, "IQ_LT_Mark_Securities", , B833), "")</f>
        <v/>
      </c>
      <c r="L833" s="12">
        <f>IFERROR(C833*D833, "")</f>
        <v/>
      </c>
      <c r="M833" s="12">
        <f>IFERROR(L833-E833-F833+G833+H833+I833-J833-K833, "")</f>
        <v/>
      </c>
      <c r="N833" s="11">
        <f>IFERROR(_xll.ciqfunctions.udf.CIQ(mh_ticker, "IQ_EBITDA_EST", IQ_NTM, B833, , , "USD"), "")</f>
        <v/>
      </c>
      <c r="O833" s="13">
        <f>IFERROR(M833/N833, "")</f>
        <v/>
      </c>
    </row>
    <row r="834">
      <c r="B834" s="8" t="n"/>
      <c r="C834" s="9">
        <f>IFERROR(_xll.ciqfunctions.udf.CIQ(mh_ticker, "IQ_LASTSALEPRICE", B834), "")</f>
        <v/>
      </c>
      <c r="D834" s="10">
        <f>IFERROR(_xll.ciqfunctions.udf.CIQ(mh_ticker, "IQ_SHARESOUTSTANDING_OUT", B834), "")</f>
        <v/>
      </c>
      <c r="E834" s="11">
        <f>IFERROR(_xll.ciqfunctions.udf.CIQ(mh_ticker, "IQ_CASH_EQUIV", , B834), "")</f>
        <v/>
      </c>
      <c r="F834" s="11">
        <f>IFERROR(_xll.ciqfunctions.udf.CIQ(mh_ticker, "IQ_ST_INVEST", , B834), "")</f>
        <v/>
      </c>
      <c r="G834" s="11">
        <f>IFERROR(_xll.ciqfunctions.udf.CIQ(mh_ticker, "IQ_TOTAL_DEBT_EXCL_OPER_LEASES", , B834), "")</f>
        <v/>
      </c>
      <c r="H834" s="11">
        <f>IFERROR(_xll.ciqfunctions.udf.CIQ(mh_ticker, "IQ_PREF_EQUITY", , B834), "")</f>
        <v/>
      </c>
      <c r="I834" s="11">
        <f>IFERROR(_xll.ciqfunctions.udf.CIQ(mh_ticker, "IQ_MINORITY_INTEREST", , B834), "")</f>
        <v/>
      </c>
      <c r="J834" s="11">
        <f>IFERROR(_xll.ciqfunctions.udf.CIQ(mh_ticker, "IQ_EQUITY_METHOD", , B834), "")</f>
        <v/>
      </c>
      <c r="K834" s="11">
        <f>IFERROR(_xll.ciqfunctions.udf.CIQ(mh_ticker, "IQ_LT_Mark_Securities", , B834), "")</f>
        <v/>
      </c>
      <c r="L834" s="12">
        <f>IFERROR(C834*D834, "")</f>
        <v/>
      </c>
      <c r="M834" s="12">
        <f>IFERROR(L834-E834-F834+G834+H834+I834-J834-K834, "")</f>
        <v/>
      </c>
      <c r="N834" s="11">
        <f>IFERROR(_xll.ciqfunctions.udf.CIQ(mh_ticker, "IQ_EBITDA_EST", IQ_NTM, B834, , , "USD"), "")</f>
        <v/>
      </c>
      <c r="O834" s="13">
        <f>IFERROR(M834/N834, "")</f>
        <v/>
      </c>
    </row>
    <row r="835">
      <c r="B835" s="8" t="n"/>
      <c r="C835" s="9">
        <f>IFERROR(_xll.ciqfunctions.udf.CIQ(mh_ticker, "IQ_LASTSALEPRICE", B835), "")</f>
        <v/>
      </c>
      <c r="D835" s="10">
        <f>IFERROR(_xll.ciqfunctions.udf.CIQ(mh_ticker, "IQ_SHARESOUTSTANDING_OUT", B835), "")</f>
        <v/>
      </c>
      <c r="E835" s="11">
        <f>IFERROR(_xll.ciqfunctions.udf.CIQ(mh_ticker, "IQ_CASH_EQUIV", , B835), "")</f>
        <v/>
      </c>
      <c r="F835" s="11">
        <f>IFERROR(_xll.ciqfunctions.udf.CIQ(mh_ticker, "IQ_ST_INVEST", , B835), "")</f>
        <v/>
      </c>
      <c r="G835" s="11">
        <f>IFERROR(_xll.ciqfunctions.udf.CIQ(mh_ticker, "IQ_TOTAL_DEBT_EXCL_OPER_LEASES", , B835), "")</f>
        <v/>
      </c>
      <c r="H835" s="11">
        <f>IFERROR(_xll.ciqfunctions.udf.CIQ(mh_ticker, "IQ_PREF_EQUITY", , B835), "")</f>
        <v/>
      </c>
      <c r="I835" s="11">
        <f>IFERROR(_xll.ciqfunctions.udf.CIQ(mh_ticker, "IQ_MINORITY_INTEREST", , B835), "")</f>
        <v/>
      </c>
      <c r="J835" s="11">
        <f>IFERROR(_xll.ciqfunctions.udf.CIQ(mh_ticker, "IQ_EQUITY_METHOD", , B835), "")</f>
        <v/>
      </c>
      <c r="K835" s="11">
        <f>IFERROR(_xll.ciqfunctions.udf.CIQ(mh_ticker, "IQ_LT_Mark_Securities", , B835), "")</f>
        <v/>
      </c>
      <c r="L835" s="12">
        <f>IFERROR(C835*D835, "")</f>
        <v/>
      </c>
      <c r="M835" s="12">
        <f>IFERROR(L835-E835-F835+G835+H835+I835-J835-K835, "")</f>
        <v/>
      </c>
      <c r="N835" s="11">
        <f>IFERROR(_xll.ciqfunctions.udf.CIQ(mh_ticker, "IQ_EBITDA_EST", IQ_NTM, B835, , , "USD"), "")</f>
        <v/>
      </c>
      <c r="O835" s="13">
        <f>IFERROR(M835/N835, "")</f>
        <v/>
      </c>
    </row>
    <row r="836">
      <c r="B836" s="8" t="n"/>
      <c r="C836" s="9">
        <f>IFERROR(_xll.ciqfunctions.udf.CIQ(mh_ticker, "IQ_LASTSALEPRICE", B836), "")</f>
        <v/>
      </c>
      <c r="D836" s="10">
        <f>IFERROR(_xll.ciqfunctions.udf.CIQ(mh_ticker, "IQ_SHARESOUTSTANDING_OUT", B836), "")</f>
        <v/>
      </c>
      <c r="E836" s="11">
        <f>IFERROR(_xll.ciqfunctions.udf.CIQ(mh_ticker, "IQ_CASH_EQUIV", , B836), "")</f>
        <v/>
      </c>
      <c r="F836" s="11">
        <f>IFERROR(_xll.ciqfunctions.udf.CIQ(mh_ticker, "IQ_ST_INVEST", , B836), "")</f>
        <v/>
      </c>
      <c r="G836" s="11">
        <f>IFERROR(_xll.ciqfunctions.udf.CIQ(mh_ticker, "IQ_TOTAL_DEBT_EXCL_OPER_LEASES", , B836), "")</f>
        <v/>
      </c>
      <c r="H836" s="11">
        <f>IFERROR(_xll.ciqfunctions.udf.CIQ(mh_ticker, "IQ_PREF_EQUITY", , B836), "")</f>
        <v/>
      </c>
      <c r="I836" s="11">
        <f>IFERROR(_xll.ciqfunctions.udf.CIQ(mh_ticker, "IQ_MINORITY_INTEREST", , B836), "")</f>
        <v/>
      </c>
      <c r="J836" s="11">
        <f>IFERROR(_xll.ciqfunctions.udf.CIQ(mh_ticker, "IQ_EQUITY_METHOD", , B836), "")</f>
        <v/>
      </c>
      <c r="K836" s="11">
        <f>IFERROR(_xll.ciqfunctions.udf.CIQ(mh_ticker, "IQ_LT_Mark_Securities", , B836), "")</f>
        <v/>
      </c>
      <c r="L836" s="12">
        <f>IFERROR(C836*D836, "")</f>
        <v/>
      </c>
      <c r="M836" s="12">
        <f>IFERROR(L836-E836-F836+G836+H836+I836-J836-K836, "")</f>
        <v/>
      </c>
      <c r="N836" s="11">
        <f>IFERROR(_xll.ciqfunctions.udf.CIQ(mh_ticker, "IQ_EBITDA_EST", IQ_NTM, B836, , , "USD"), "")</f>
        <v/>
      </c>
      <c r="O836" s="13">
        <f>IFERROR(M836/N836, "")</f>
        <v/>
      </c>
    </row>
    <row r="837">
      <c r="B837" s="8" t="n"/>
      <c r="C837" s="9">
        <f>IFERROR(_xll.ciqfunctions.udf.CIQ(mh_ticker, "IQ_LASTSALEPRICE", B837), "")</f>
        <v/>
      </c>
      <c r="D837" s="10">
        <f>IFERROR(_xll.ciqfunctions.udf.CIQ(mh_ticker, "IQ_SHARESOUTSTANDING_OUT", B837), "")</f>
        <v/>
      </c>
      <c r="E837" s="11">
        <f>IFERROR(_xll.ciqfunctions.udf.CIQ(mh_ticker, "IQ_CASH_EQUIV", , B837), "")</f>
        <v/>
      </c>
      <c r="F837" s="11">
        <f>IFERROR(_xll.ciqfunctions.udf.CIQ(mh_ticker, "IQ_ST_INVEST", , B837), "")</f>
        <v/>
      </c>
      <c r="G837" s="11">
        <f>IFERROR(_xll.ciqfunctions.udf.CIQ(mh_ticker, "IQ_TOTAL_DEBT_EXCL_OPER_LEASES", , B837), "")</f>
        <v/>
      </c>
      <c r="H837" s="11">
        <f>IFERROR(_xll.ciqfunctions.udf.CIQ(mh_ticker, "IQ_PREF_EQUITY", , B837), "")</f>
        <v/>
      </c>
      <c r="I837" s="11">
        <f>IFERROR(_xll.ciqfunctions.udf.CIQ(mh_ticker, "IQ_MINORITY_INTEREST", , B837), "")</f>
        <v/>
      </c>
      <c r="J837" s="11">
        <f>IFERROR(_xll.ciqfunctions.udf.CIQ(mh_ticker, "IQ_EQUITY_METHOD", , B837), "")</f>
        <v/>
      </c>
      <c r="K837" s="11">
        <f>IFERROR(_xll.ciqfunctions.udf.CIQ(mh_ticker, "IQ_LT_Mark_Securities", , B837), "")</f>
        <v/>
      </c>
      <c r="L837" s="12">
        <f>IFERROR(C837*D837, "")</f>
        <v/>
      </c>
      <c r="M837" s="12">
        <f>IFERROR(L837-E837-F837+G837+H837+I837-J837-K837, "")</f>
        <v/>
      </c>
      <c r="N837" s="11">
        <f>IFERROR(_xll.ciqfunctions.udf.CIQ(mh_ticker, "IQ_EBITDA_EST", IQ_NTM, B837, , , "USD"), "")</f>
        <v/>
      </c>
      <c r="O837" s="13">
        <f>IFERROR(M837/N837, "")</f>
        <v/>
      </c>
    </row>
    <row r="838">
      <c r="B838" s="8" t="n"/>
      <c r="C838" s="9">
        <f>IFERROR(_xll.ciqfunctions.udf.CIQ(mh_ticker, "IQ_LASTSALEPRICE", B838), "")</f>
        <v/>
      </c>
      <c r="D838" s="10">
        <f>IFERROR(_xll.ciqfunctions.udf.CIQ(mh_ticker, "IQ_SHARESOUTSTANDING_OUT", B838), "")</f>
        <v/>
      </c>
      <c r="E838" s="11">
        <f>IFERROR(_xll.ciqfunctions.udf.CIQ(mh_ticker, "IQ_CASH_EQUIV", , B838), "")</f>
        <v/>
      </c>
      <c r="F838" s="11">
        <f>IFERROR(_xll.ciqfunctions.udf.CIQ(mh_ticker, "IQ_ST_INVEST", , B838), "")</f>
        <v/>
      </c>
      <c r="G838" s="11">
        <f>IFERROR(_xll.ciqfunctions.udf.CIQ(mh_ticker, "IQ_TOTAL_DEBT_EXCL_OPER_LEASES", , B838), "")</f>
        <v/>
      </c>
      <c r="H838" s="11">
        <f>IFERROR(_xll.ciqfunctions.udf.CIQ(mh_ticker, "IQ_PREF_EQUITY", , B838), "")</f>
        <v/>
      </c>
      <c r="I838" s="11">
        <f>IFERROR(_xll.ciqfunctions.udf.CIQ(mh_ticker, "IQ_MINORITY_INTEREST", , B838), "")</f>
        <v/>
      </c>
      <c r="J838" s="11">
        <f>IFERROR(_xll.ciqfunctions.udf.CIQ(mh_ticker, "IQ_EQUITY_METHOD", , B838), "")</f>
        <v/>
      </c>
      <c r="K838" s="11">
        <f>IFERROR(_xll.ciqfunctions.udf.CIQ(mh_ticker, "IQ_LT_Mark_Securities", , B838), "")</f>
        <v/>
      </c>
      <c r="L838" s="12">
        <f>IFERROR(C838*D838, "")</f>
        <v/>
      </c>
      <c r="M838" s="12">
        <f>IFERROR(L838-E838-F838+G838+H838+I838-J838-K838, "")</f>
        <v/>
      </c>
      <c r="N838" s="11">
        <f>IFERROR(_xll.ciqfunctions.udf.CIQ(mh_ticker, "IQ_EBITDA_EST", IQ_NTM, B838, , , "USD"), "")</f>
        <v/>
      </c>
      <c r="O838" s="13">
        <f>IFERROR(M838/N838, "")</f>
        <v/>
      </c>
    </row>
    <row r="839">
      <c r="B839" s="8" t="n"/>
      <c r="C839" s="9">
        <f>IFERROR(_xll.ciqfunctions.udf.CIQ(mh_ticker, "IQ_LASTSALEPRICE", B839), "")</f>
        <v/>
      </c>
      <c r="D839" s="10">
        <f>IFERROR(_xll.ciqfunctions.udf.CIQ(mh_ticker, "IQ_SHARESOUTSTANDING_OUT", B839), "")</f>
        <v/>
      </c>
      <c r="E839" s="11">
        <f>IFERROR(_xll.ciqfunctions.udf.CIQ(mh_ticker, "IQ_CASH_EQUIV", , B839), "")</f>
        <v/>
      </c>
      <c r="F839" s="11">
        <f>IFERROR(_xll.ciqfunctions.udf.CIQ(mh_ticker, "IQ_ST_INVEST", , B839), "")</f>
        <v/>
      </c>
      <c r="G839" s="11">
        <f>IFERROR(_xll.ciqfunctions.udf.CIQ(mh_ticker, "IQ_TOTAL_DEBT_EXCL_OPER_LEASES", , B839), "")</f>
        <v/>
      </c>
      <c r="H839" s="11">
        <f>IFERROR(_xll.ciqfunctions.udf.CIQ(mh_ticker, "IQ_PREF_EQUITY", , B839), "")</f>
        <v/>
      </c>
      <c r="I839" s="11">
        <f>IFERROR(_xll.ciqfunctions.udf.CIQ(mh_ticker, "IQ_MINORITY_INTEREST", , B839), "")</f>
        <v/>
      </c>
      <c r="J839" s="11">
        <f>IFERROR(_xll.ciqfunctions.udf.CIQ(mh_ticker, "IQ_EQUITY_METHOD", , B839), "")</f>
        <v/>
      </c>
      <c r="K839" s="11">
        <f>IFERROR(_xll.ciqfunctions.udf.CIQ(mh_ticker, "IQ_LT_Mark_Securities", , B839), "")</f>
        <v/>
      </c>
      <c r="L839" s="12">
        <f>IFERROR(C839*D839, "")</f>
        <v/>
      </c>
      <c r="M839" s="12">
        <f>IFERROR(L839-E839-F839+G839+H839+I839-J839-K839, "")</f>
        <v/>
      </c>
      <c r="N839" s="11">
        <f>IFERROR(_xll.ciqfunctions.udf.CIQ(mh_ticker, "IQ_EBITDA_EST", IQ_NTM, B839, , , "USD"), "")</f>
        <v/>
      </c>
      <c r="O839" s="13">
        <f>IFERROR(M839/N839, "")</f>
        <v/>
      </c>
    </row>
    <row r="840">
      <c r="B840" s="8" t="n"/>
      <c r="C840" s="9">
        <f>IFERROR(_xll.ciqfunctions.udf.CIQ(mh_ticker, "IQ_LASTSALEPRICE", B840), "")</f>
        <v/>
      </c>
      <c r="D840" s="10">
        <f>IFERROR(_xll.ciqfunctions.udf.CIQ(mh_ticker, "IQ_SHARESOUTSTANDING_OUT", B840), "")</f>
        <v/>
      </c>
      <c r="E840" s="11">
        <f>IFERROR(_xll.ciqfunctions.udf.CIQ(mh_ticker, "IQ_CASH_EQUIV", , B840), "")</f>
        <v/>
      </c>
      <c r="F840" s="11">
        <f>IFERROR(_xll.ciqfunctions.udf.CIQ(mh_ticker, "IQ_ST_INVEST", , B840), "")</f>
        <v/>
      </c>
      <c r="G840" s="11">
        <f>IFERROR(_xll.ciqfunctions.udf.CIQ(mh_ticker, "IQ_TOTAL_DEBT_EXCL_OPER_LEASES", , B840), "")</f>
        <v/>
      </c>
      <c r="H840" s="11">
        <f>IFERROR(_xll.ciqfunctions.udf.CIQ(mh_ticker, "IQ_PREF_EQUITY", , B840), "")</f>
        <v/>
      </c>
      <c r="I840" s="11">
        <f>IFERROR(_xll.ciqfunctions.udf.CIQ(mh_ticker, "IQ_MINORITY_INTEREST", , B840), "")</f>
        <v/>
      </c>
      <c r="J840" s="11">
        <f>IFERROR(_xll.ciqfunctions.udf.CIQ(mh_ticker, "IQ_EQUITY_METHOD", , B840), "")</f>
        <v/>
      </c>
      <c r="K840" s="11">
        <f>IFERROR(_xll.ciqfunctions.udf.CIQ(mh_ticker, "IQ_LT_Mark_Securities", , B840), "")</f>
        <v/>
      </c>
      <c r="L840" s="12">
        <f>IFERROR(C840*D840, "")</f>
        <v/>
      </c>
      <c r="M840" s="12">
        <f>IFERROR(L840-E840-F840+G840+H840+I840-J840-K840, "")</f>
        <v/>
      </c>
      <c r="N840" s="11">
        <f>IFERROR(_xll.ciqfunctions.udf.CIQ(mh_ticker, "IQ_EBITDA_EST", IQ_NTM, B840, , , "USD"), "")</f>
        <v/>
      </c>
      <c r="O840" s="13">
        <f>IFERROR(M840/N840, "")</f>
        <v/>
      </c>
    </row>
    <row r="841">
      <c r="B841" s="8" t="n"/>
      <c r="C841" s="9">
        <f>IFERROR(_xll.ciqfunctions.udf.CIQ(mh_ticker, "IQ_LASTSALEPRICE", B841), "")</f>
        <v/>
      </c>
      <c r="D841" s="10">
        <f>IFERROR(_xll.ciqfunctions.udf.CIQ(mh_ticker, "IQ_SHARESOUTSTANDING_OUT", B841), "")</f>
        <v/>
      </c>
      <c r="E841" s="11">
        <f>IFERROR(_xll.ciqfunctions.udf.CIQ(mh_ticker, "IQ_CASH_EQUIV", , B841), "")</f>
        <v/>
      </c>
      <c r="F841" s="11">
        <f>IFERROR(_xll.ciqfunctions.udf.CIQ(mh_ticker, "IQ_ST_INVEST", , B841), "")</f>
        <v/>
      </c>
      <c r="G841" s="11">
        <f>IFERROR(_xll.ciqfunctions.udf.CIQ(mh_ticker, "IQ_TOTAL_DEBT_EXCL_OPER_LEASES", , B841), "")</f>
        <v/>
      </c>
      <c r="H841" s="11">
        <f>IFERROR(_xll.ciqfunctions.udf.CIQ(mh_ticker, "IQ_PREF_EQUITY", , B841), "")</f>
        <v/>
      </c>
      <c r="I841" s="11">
        <f>IFERROR(_xll.ciqfunctions.udf.CIQ(mh_ticker, "IQ_MINORITY_INTEREST", , B841), "")</f>
        <v/>
      </c>
      <c r="J841" s="11">
        <f>IFERROR(_xll.ciqfunctions.udf.CIQ(mh_ticker, "IQ_EQUITY_METHOD", , B841), "")</f>
        <v/>
      </c>
      <c r="K841" s="11">
        <f>IFERROR(_xll.ciqfunctions.udf.CIQ(mh_ticker, "IQ_LT_Mark_Securities", , B841), "")</f>
        <v/>
      </c>
      <c r="L841" s="12">
        <f>IFERROR(C841*D841, "")</f>
        <v/>
      </c>
      <c r="M841" s="12">
        <f>IFERROR(L841-E841-F841+G841+H841+I841-J841-K841, "")</f>
        <v/>
      </c>
      <c r="N841" s="11">
        <f>IFERROR(_xll.ciqfunctions.udf.CIQ(mh_ticker, "IQ_EBITDA_EST", IQ_NTM, B841, , , "USD"), "")</f>
        <v/>
      </c>
      <c r="O841" s="13">
        <f>IFERROR(M841/N841, "")</f>
        <v/>
      </c>
    </row>
    <row r="842">
      <c r="B842" s="8" t="n"/>
      <c r="C842" s="9">
        <f>IFERROR(_xll.ciqfunctions.udf.CIQ(mh_ticker, "IQ_LASTSALEPRICE", B842), "")</f>
        <v/>
      </c>
      <c r="D842" s="10">
        <f>IFERROR(_xll.ciqfunctions.udf.CIQ(mh_ticker, "IQ_SHARESOUTSTANDING_OUT", B842), "")</f>
        <v/>
      </c>
      <c r="E842" s="11">
        <f>IFERROR(_xll.ciqfunctions.udf.CIQ(mh_ticker, "IQ_CASH_EQUIV", , B842), "")</f>
        <v/>
      </c>
      <c r="F842" s="11">
        <f>IFERROR(_xll.ciqfunctions.udf.CIQ(mh_ticker, "IQ_ST_INVEST", , B842), "")</f>
        <v/>
      </c>
      <c r="G842" s="11">
        <f>IFERROR(_xll.ciqfunctions.udf.CIQ(mh_ticker, "IQ_TOTAL_DEBT_EXCL_OPER_LEASES", , B842), "")</f>
        <v/>
      </c>
      <c r="H842" s="11">
        <f>IFERROR(_xll.ciqfunctions.udf.CIQ(mh_ticker, "IQ_PREF_EQUITY", , B842), "")</f>
        <v/>
      </c>
      <c r="I842" s="11">
        <f>IFERROR(_xll.ciqfunctions.udf.CIQ(mh_ticker, "IQ_MINORITY_INTEREST", , B842), "")</f>
        <v/>
      </c>
      <c r="J842" s="11">
        <f>IFERROR(_xll.ciqfunctions.udf.CIQ(mh_ticker, "IQ_EQUITY_METHOD", , B842), "")</f>
        <v/>
      </c>
      <c r="K842" s="11">
        <f>IFERROR(_xll.ciqfunctions.udf.CIQ(mh_ticker, "IQ_LT_Mark_Securities", , B842), "")</f>
        <v/>
      </c>
      <c r="L842" s="12">
        <f>IFERROR(C842*D842, "")</f>
        <v/>
      </c>
      <c r="M842" s="12">
        <f>IFERROR(L842-E842-F842+G842+H842+I842-J842-K842, "")</f>
        <v/>
      </c>
      <c r="N842" s="11">
        <f>IFERROR(_xll.ciqfunctions.udf.CIQ(mh_ticker, "IQ_EBITDA_EST", IQ_NTM, B842, , , "USD"), "")</f>
        <v/>
      </c>
      <c r="O842" s="13">
        <f>IFERROR(M842/N842, "")</f>
        <v/>
      </c>
    </row>
    <row r="843">
      <c r="B843" s="8" t="n"/>
      <c r="C843" s="9">
        <f>IFERROR(_xll.ciqfunctions.udf.CIQ(mh_ticker, "IQ_LASTSALEPRICE", B843), "")</f>
        <v/>
      </c>
      <c r="D843" s="10">
        <f>IFERROR(_xll.ciqfunctions.udf.CIQ(mh_ticker, "IQ_SHARESOUTSTANDING_OUT", B843), "")</f>
        <v/>
      </c>
      <c r="E843" s="11">
        <f>IFERROR(_xll.ciqfunctions.udf.CIQ(mh_ticker, "IQ_CASH_EQUIV", , B843), "")</f>
        <v/>
      </c>
      <c r="F843" s="11">
        <f>IFERROR(_xll.ciqfunctions.udf.CIQ(mh_ticker, "IQ_ST_INVEST", , B843), "")</f>
        <v/>
      </c>
      <c r="G843" s="11">
        <f>IFERROR(_xll.ciqfunctions.udf.CIQ(mh_ticker, "IQ_TOTAL_DEBT_EXCL_OPER_LEASES", , B843), "")</f>
        <v/>
      </c>
      <c r="H843" s="11">
        <f>IFERROR(_xll.ciqfunctions.udf.CIQ(mh_ticker, "IQ_PREF_EQUITY", , B843), "")</f>
        <v/>
      </c>
      <c r="I843" s="11">
        <f>IFERROR(_xll.ciqfunctions.udf.CIQ(mh_ticker, "IQ_MINORITY_INTEREST", , B843), "")</f>
        <v/>
      </c>
      <c r="J843" s="11">
        <f>IFERROR(_xll.ciqfunctions.udf.CIQ(mh_ticker, "IQ_EQUITY_METHOD", , B843), "")</f>
        <v/>
      </c>
      <c r="K843" s="11">
        <f>IFERROR(_xll.ciqfunctions.udf.CIQ(mh_ticker, "IQ_LT_Mark_Securities", , B843), "")</f>
        <v/>
      </c>
      <c r="L843" s="12">
        <f>IFERROR(C843*D843, "")</f>
        <v/>
      </c>
      <c r="M843" s="12">
        <f>IFERROR(L843-E843-F843+G843+H843+I843-J843-K843, "")</f>
        <v/>
      </c>
      <c r="N843" s="11">
        <f>IFERROR(_xll.ciqfunctions.udf.CIQ(mh_ticker, "IQ_EBITDA_EST", IQ_NTM, B843, , , "USD"), "")</f>
        <v/>
      </c>
      <c r="O843" s="13">
        <f>IFERROR(M843/N843, "")</f>
        <v/>
      </c>
    </row>
    <row r="844">
      <c r="B844" s="8" t="n"/>
      <c r="C844" s="9">
        <f>IFERROR(_xll.ciqfunctions.udf.CIQ(mh_ticker, "IQ_LASTSALEPRICE", B844), "")</f>
        <v/>
      </c>
      <c r="D844" s="10">
        <f>IFERROR(_xll.ciqfunctions.udf.CIQ(mh_ticker, "IQ_SHARESOUTSTANDING_OUT", B844), "")</f>
        <v/>
      </c>
      <c r="E844" s="11">
        <f>IFERROR(_xll.ciqfunctions.udf.CIQ(mh_ticker, "IQ_CASH_EQUIV", , B844), "")</f>
        <v/>
      </c>
      <c r="F844" s="11">
        <f>IFERROR(_xll.ciqfunctions.udf.CIQ(mh_ticker, "IQ_ST_INVEST", , B844), "")</f>
        <v/>
      </c>
      <c r="G844" s="11">
        <f>IFERROR(_xll.ciqfunctions.udf.CIQ(mh_ticker, "IQ_TOTAL_DEBT_EXCL_OPER_LEASES", , B844), "")</f>
        <v/>
      </c>
      <c r="H844" s="11">
        <f>IFERROR(_xll.ciqfunctions.udf.CIQ(mh_ticker, "IQ_PREF_EQUITY", , B844), "")</f>
        <v/>
      </c>
      <c r="I844" s="11">
        <f>IFERROR(_xll.ciqfunctions.udf.CIQ(mh_ticker, "IQ_MINORITY_INTEREST", , B844), "")</f>
        <v/>
      </c>
      <c r="J844" s="11">
        <f>IFERROR(_xll.ciqfunctions.udf.CIQ(mh_ticker, "IQ_EQUITY_METHOD", , B844), "")</f>
        <v/>
      </c>
      <c r="K844" s="11">
        <f>IFERROR(_xll.ciqfunctions.udf.CIQ(mh_ticker, "IQ_LT_Mark_Securities", , B844), "")</f>
        <v/>
      </c>
      <c r="L844" s="12">
        <f>IFERROR(C844*D844, "")</f>
        <v/>
      </c>
      <c r="M844" s="12">
        <f>IFERROR(L844-E844-F844+G844+H844+I844-J844-K844, "")</f>
        <v/>
      </c>
      <c r="N844" s="11">
        <f>IFERROR(_xll.ciqfunctions.udf.CIQ(mh_ticker, "IQ_EBITDA_EST", IQ_NTM, B844, , , "USD"), "")</f>
        <v/>
      </c>
      <c r="O844" s="13">
        <f>IFERROR(M844/N844, "")</f>
        <v/>
      </c>
    </row>
    <row r="845">
      <c r="B845" s="8" t="n"/>
      <c r="C845" s="9">
        <f>IFERROR(_xll.ciqfunctions.udf.CIQ(mh_ticker, "IQ_LASTSALEPRICE", B845), "")</f>
        <v/>
      </c>
      <c r="D845" s="10">
        <f>IFERROR(_xll.ciqfunctions.udf.CIQ(mh_ticker, "IQ_SHARESOUTSTANDING_OUT", B845), "")</f>
        <v/>
      </c>
      <c r="E845" s="11">
        <f>IFERROR(_xll.ciqfunctions.udf.CIQ(mh_ticker, "IQ_CASH_EQUIV", , B845), "")</f>
        <v/>
      </c>
      <c r="F845" s="11">
        <f>IFERROR(_xll.ciqfunctions.udf.CIQ(mh_ticker, "IQ_ST_INVEST", , B845), "")</f>
        <v/>
      </c>
      <c r="G845" s="11">
        <f>IFERROR(_xll.ciqfunctions.udf.CIQ(mh_ticker, "IQ_TOTAL_DEBT_EXCL_OPER_LEASES", , B845), "")</f>
        <v/>
      </c>
      <c r="H845" s="11">
        <f>IFERROR(_xll.ciqfunctions.udf.CIQ(mh_ticker, "IQ_PREF_EQUITY", , B845), "")</f>
        <v/>
      </c>
      <c r="I845" s="11">
        <f>IFERROR(_xll.ciqfunctions.udf.CIQ(mh_ticker, "IQ_MINORITY_INTEREST", , B845), "")</f>
        <v/>
      </c>
      <c r="J845" s="11">
        <f>IFERROR(_xll.ciqfunctions.udf.CIQ(mh_ticker, "IQ_EQUITY_METHOD", , B845), "")</f>
        <v/>
      </c>
      <c r="K845" s="11">
        <f>IFERROR(_xll.ciqfunctions.udf.CIQ(mh_ticker, "IQ_LT_Mark_Securities", , B845), "")</f>
        <v/>
      </c>
      <c r="L845" s="12">
        <f>IFERROR(C845*D845, "")</f>
        <v/>
      </c>
      <c r="M845" s="12">
        <f>IFERROR(L845-E845-F845+G845+H845+I845-J845-K845, "")</f>
        <v/>
      </c>
      <c r="N845" s="11">
        <f>IFERROR(_xll.ciqfunctions.udf.CIQ(mh_ticker, "IQ_EBITDA_EST", IQ_NTM, B845, , , "USD"), "")</f>
        <v/>
      </c>
      <c r="O845" s="13">
        <f>IFERROR(M845/N845, "")</f>
        <v/>
      </c>
    </row>
    <row r="846">
      <c r="B846" s="8" t="n"/>
      <c r="C846" s="9">
        <f>IFERROR(_xll.ciqfunctions.udf.CIQ(mh_ticker, "IQ_LASTSALEPRICE", B846), "")</f>
        <v/>
      </c>
      <c r="D846" s="10">
        <f>IFERROR(_xll.ciqfunctions.udf.CIQ(mh_ticker, "IQ_SHARESOUTSTANDING_OUT", B846), "")</f>
        <v/>
      </c>
      <c r="E846" s="11">
        <f>IFERROR(_xll.ciqfunctions.udf.CIQ(mh_ticker, "IQ_CASH_EQUIV", , B846), "")</f>
        <v/>
      </c>
      <c r="F846" s="11">
        <f>IFERROR(_xll.ciqfunctions.udf.CIQ(mh_ticker, "IQ_ST_INVEST", , B846), "")</f>
        <v/>
      </c>
      <c r="G846" s="11">
        <f>IFERROR(_xll.ciqfunctions.udf.CIQ(mh_ticker, "IQ_TOTAL_DEBT_EXCL_OPER_LEASES", , B846), "")</f>
        <v/>
      </c>
      <c r="H846" s="11">
        <f>IFERROR(_xll.ciqfunctions.udf.CIQ(mh_ticker, "IQ_PREF_EQUITY", , B846), "")</f>
        <v/>
      </c>
      <c r="I846" s="11">
        <f>IFERROR(_xll.ciqfunctions.udf.CIQ(mh_ticker, "IQ_MINORITY_INTEREST", , B846), "")</f>
        <v/>
      </c>
      <c r="J846" s="11">
        <f>IFERROR(_xll.ciqfunctions.udf.CIQ(mh_ticker, "IQ_EQUITY_METHOD", , B846), "")</f>
        <v/>
      </c>
      <c r="K846" s="11">
        <f>IFERROR(_xll.ciqfunctions.udf.CIQ(mh_ticker, "IQ_LT_Mark_Securities", , B846), "")</f>
        <v/>
      </c>
      <c r="L846" s="12">
        <f>IFERROR(C846*D846, "")</f>
        <v/>
      </c>
      <c r="M846" s="12">
        <f>IFERROR(L846-E846-F846+G846+H846+I846-J846-K846, "")</f>
        <v/>
      </c>
      <c r="N846" s="11">
        <f>IFERROR(_xll.ciqfunctions.udf.CIQ(mh_ticker, "IQ_EBITDA_EST", IQ_NTM, B846, , , "USD"), "")</f>
        <v/>
      </c>
      <c r="O846" s="13">
        <f>IFERROR(M846/N846, "")</f>
        <v/>
      </c>
    </row>
    <row r="847">
      <c r="B847" s="8" t="n"/>
      <c r="C847" s="9">
        <f>IFERROR(_xll.ciqfunctions.udf.CIQ(mh_ticker, "IQ_LASTSALEPRICE", B847), "")</f>
        <v/>
      </c>
      <c r="D847" s="10">
        <f>IFERROR(_xll.ciqfunctions.udf.CIQ(mh_ticker, "IQ_SHARESOUTSTANDING_OUT", B847), "")</f>
        <v/>
      </c>
      <c r="E847" s="11">
        <f>IFERROR(_xll.ciqfunctions.udf.CIQ(mh_ticker, "IQ_CASH_EQUIV", , B847), "")</f>
        <v/>
      </c>
      <c r="F847" s="11">
        <f>IFERROR(_xll.ciqfunctions.udf.CIQ(mh_ticker, "IQ_ST_INVEST", , B847), "")</f>
        <v/>
      </c>
      <c r="G847" s="11">
        <f>IFERROR(_xll.ciqfunctions.udf.CIQ(mh_ticker, "IQ_TOTAL_DEBT_EXCL_OPER_LEASES", , B847), "")</f>
        <v/>
      </c>
      <c r="H847" s="11">
        <f>IFERROR(_xll.ciqfunctions.udf.CIQ(mh_ticker, "IQ_PREF_EQUITY", , B847), "")</f>
        <v/>
      </c>
      <c r="I847" s="11">
        <f>IFERROR(_xll.ciqfunctions.udf.CIQ(mh_ticker, "IQ_MINORITY_INTEREST", , B847), "")</f>
        <v/>
      </c>
      <c r="J847" s="11">
        <f>IFERROR(_xll.ciqfunctions.udf.CIQ(mh_ticker, "IQ_EQUITY_METHOD", , B847), "")</f>
        <v/>
      </c>
      <c r="K847" s="11">
        <f>IFERROR(_xll.ciqfunctions.udf.CIQ(mh_ticker, "IQ_LT_Mark_Securities", , B847), "")</f>
        <v/>
      </c>
      <c r="L847" s="12">
        <f>IFERROR(C847*D847, "")</f>
        <v/>
      </c>
      <c r="M847" s="12">
        <f>IFERROR(L847-E847-F847+G847+H847+I847-J847-K847, "")</f>
        <v/>
      </c>
      <c r="N847" s="11">
        <f>IFERROR(_xll.ciqfunctions.udf.CIQ(mh_ticker, "IQ_EBITDA_EST", IQ_NTM, B847, , , "USD"), "")</f>
        <v/>
      </c>
      <c r="O847" s="13">
        <f>IFERROR(M847/N847, "")</f>
        <v/>
      </c>
    </row>
    <row r="848">
      <c r="B848" s="8" t="n"/>
      <c r="C848" s="9">
        <f>IFERROR(_xll.ciqfunctions.udf.CIQ(mh_ticker, "IQ_LASTSALEPRICE", B848), "")</f>
        <v/>
      </c>
      <c r="D848" s="10">
        <f>IFERROR(_xll.ciqfunctions.udf.CIQ(mh_ticker, "IQ_SHARESOUTSTANDING_OUT", B848), "")</f>
        <v/>
      </c>
      <c r="E848" s="11">
        <f>IFERROR(_xll.ciqfunctions.udf.CIQ(mh_ticker, "IQ_CASH_EQUIV", , B848), "")</f>
        <v/>
      </c>
      <c r="F848" s="11">
        <f>IFERROR(_xll.ciqfunctions.udf.CIQ(mh_ticker, "IQ_ST_INVEST", , B848), "")</f>
        <v/>
      </c>
      <c r="G848" s="11">
        <f>IFERROR(_xll.ciqfunctions.udf.CIQ(mh_ticker, "IQ_TOTAL_DEBT_EXCL_OPER_LEASES", , B848), "")</f>
        <v/>
      </c>
      <c r="H848" s="11">
        <f>IFERROR(_xll.ciqfunctions.udf.CIQ(mh_ticker, "IQ_PREF_EQUITY", , B848), "")</f>
        <v/>
      </c>
      <c r="I848" s="11">
        <f>IFERROR(_xll.ciqfunctions.udf.CIQ(mh_ticker, "IQ_MINORITY_INTEREST", , B848), "")</f>
        <v/>
      </c>
      <c r="J848" s="11">
        <f>IFERROR(_xll.ciqfunctions.udf.CIQ(mh_ticker, "IQ_EQUITY_METHOD", , B848), "")</f>
        <v/>
      </c>
      <c r="K848" s="11">
        <f>IFERROR(_xll.ciqfunctions.udf.CIQ(mh_ticker, "IQ_LT_Mark_Securities", , B848), "")</f>
        <v/>
      </c>
      <c r="L848" s="12">
        <f>IFERROR(C848*D848, "")</f>
        <v/>
      </c>
      <c r="M848" s="12">
        <f>IFERROR(L848-E848-F848+G848+H848+I848-J848-K848, "")</f>
        <v/>
      </c>
      <c r="N848" s="11">
        <f>IFERROR(_xll.ciqfunctions.udf.CIQ(mh_ticker, "IQ_EBITDA_EST", IQ_NTM, B848, , , "USD"), "")</f>
        <v/>
      </c>
      <c r="O848" s="13">
        <f>IFERROR(M848/N848, "")</f>
        <v/>
      </c>
    </row>
    <row r="849">
      <c r="B849" s="8" t="n"/>
      <c r="C849" s="9">
        <f>IFERROR(_xll.ciqfunctions.udf.CIQ(mh_ticker, "IQ_LASTSALEPRICE", B849), "")</f>
        <v/>
      </c>
      <c r="D849" s="10">
        <f>IFERROR(_xll.ciqfunctions.udf.CIQ(mh_ticker, "IQ_SHARESOUTSTANDING_OUT", B849), "")</f>
        <v/>
      </c>
      <c r="E849" s="11">
        <f>IFERROR(_xll.ciqfunctions.udf.CIQ(mh_ticker, "IQ_CASH_EQUIV", , B849), "")</f>
        <v/>
      </c>
      <c r="F849" s="11">
        <f>IFERROR(_xll.ciqfunctions.udf.CIQ(mh_ticker, "IQ_ST_INVEST", , B849), "")</f>
        <v/>
      </c>
      <c r="G849" s="11">
        <f>IFERROR(_xll.ciqfunctions.udf.CIQ(mh_ticker, "IQ_TOTAL_DEBT_EXCL_OPER_LEASES", , B849), "")</f>
        <v/>
      </c>
      <c r="H849" s="11">
        <f>IFERROR(_xll.ciqfunctions.udf.CIQ(mh_ticker, "IQ_PREF_EQUITY", , B849), "")</f>
        <v/>
      </c>
      <c r="I849" s="11">
        <f>IFERROR(_xll.ciqfunctions.udf.CIQ(mh_ticker, "IQ_MINORITY_INTEREST", , B849), "")</f>
        <v/>
      </c>
      <c r="J849" s="11">
        <f>IFERROR(_xll.ciqfunctions.udf.CIQ(mh_ticker, "IQ_EQUITY_METHOD", , B849), "")</f>
        <v/>
      </c>
      <c r="K849" s="11">
        <f>IFERROR(_xll.ciqfunctions.udf.CIQ(mh_ticker, "IQ_LT_Mark_Securities", , B849), "")</f>
        <v/>
      </c>
      <c r="L849" s="12">
        <f>IFERROR(C849*D849, "")</f>
        <v/>
      </c>
      <c r="M849" s="12">
        <f>IFERROR(L849-E849-F849+G849+H849+I849-J849-K849, "")</f>
        <v/>
      </c>
      <c r="N849" s="11">
        <f>IFERROR(_xll.ciqfunctions.udf.CIQ(mh_ticker, "IQ_EBITDA_EST", IQ_NTM, B849, , , "USD"), "")</f>
        <v/>
      </c>
      <c r="O849" s="13">
        <f>IFERROR(M849/N849, "")</f>
        <v/>
      </c>
    </row>
    <row r="850">
      <c r="B850" s="8" t="n"/>
      <c r="C850" s="9">
        <f>IFERROR(_xll.ciqfunctions.udf.CIQ(mh_ticker, "IQ_LASTSALEPRICE", B850), "")</f>
        <v/>
      </c>
      <c r="D850" s="10">
        <f>IFERROR(_xll.ciqfunctions.udf.CIQ(mh_ticker, "IQ_SHARESOUTSTANDING_OUT", B850), "")</f>
        <v/>
      </c>
      <c r="E850" s="11">
        <f>IFERROR(_xll.ciqfunctions.udf.CIQ(mh_ticker, "IQ_CASH_EQUIV", , B850), "")</f>
        <v/>
      </c>
      <c r="F850" s="11">
        <f>IFERROR(_xll.ciqfunctions.udf.CIQ(mh_ticker, "IQ_ST_INVEST", , B850), "")</f>
        <v/>
      </c>
      <c r="G850" s="11">
        <f>IFERROR(_xll.ciqfunctions.udf.CIQ(mh_ticker, "IQ_TOTAL_DEBT_EXCL_OPER_LEASES", , B850), "")</f>
        <v/>
      </c>
      <c r="H850" s="11">
        <f>IFERROR(_xll.ciqfunctions.udf.CIQ(mh_ticker, "IQ_PREF_EQUITY", , B850), "")</f>
        <v/>
      </c>
      <c r="I850" s="11">
        <f>IFERROR(_xll.ciqfunctions.udf.CIQ(mh_ticker, "IQ_MINORITY_INTEREST", , B850), "")</f>
        <v/>
      </c>
      <c r="J850" s="11">
        <f>IFERROR(_xll.ciqfunctions.udf.CIQ(mh_ticker, "IQ_EQUITY_METHOD", , B850), "")</f>
        <v/>
      </c>
      <c r="K850" s="11">
        <f>IFERROR(_xll.ciqfunctions.udf.CIQ(mh_ticker, "IQ_LT_Mark_Securities", , B850), "")</f>
        <v/>
      </c>
      <c r="L850" s="12">
        <f>IFERROR(C850*D850, "")</f>
        <v/>
      </c>
      <c r="M850" s="12">
        <f>IFERROR(L850-E850-F850+G850+H850+I850-J850-K850, "")</f>
        <v/>
      </c>
      <c r="N850" s="11">
        <f>IFERROR(_xll.ciqfunctions.udf.CIQ(mh_ticker, "IQ_EBITDA_EST", IQ_NTM, B850, , , "USD"), "")</f>
        <v/>
      </c>
      <c r="O850" s="13">
        <f>IFERROR(M850/N850, "")</f>
        <v/>
      </c>
    </row>
    <row r="851">
      <c r="B851" s="8" t="n"/>
      <c r="C851" s="9">
        <f>IFERROR(_xll.ciqfunctions.udf.CIQ(mh_ticker, "IQ_LASTSALEPRICE", B851), "")</f>
        <v/>
      </c>
      <c r="D851" s="10">
        <f>IFERROR(_xll.ciqfunctions.udf.CIQ(mh_ticker, "IQ_SHARESOUTSTANDING_OUT", B851), "")</f>
        <v/>
      </c>
      <c r="E851" s="11">
        <f>IFERROR(_xll.ciqfunctions.udf.CIQ(mh_ticker, "IQ_CASH_EQUIV", , B851), "")</f>
        <v/>
      </c>
      <c r="F851" s="11">
        <f>IFERROR(_xll.ciqfunctions.udf.CIQ(mh_ticker, "IQ_ST_INVEST", , B851), "")</f>
        <v/>
      </c>
      <c r="G851" s="11">
        <f>IFERROR(_xll.ciqfunctions.udf.CIQ(mh_ticker, "IQ_TOTAL_DEBT_EXCL_OPER_LEASES", , B851), "")</f>
        <v/>
      </c>
      <c r="H851" s="11">
        <f>IFERROR(_xll.ciqfunctions.udf.CIQ(mh_ticker, "IQ_PREF_EQUITY", , B851), "")</f>
        <v/>
      </c>
      <c r="I851" s="11">
        <f>IFERROR(_xll.ciqfunctions.udf.CIQ(mh_ticker, "IQ_MINORITY_INTEREST", , B851), "")</f>
        <v/>
      </c>
      <c r="J851" s="11">
        <f>IFERROR(_xll.ciqfunctions.udf.CIQ(mh_ticker, "IQ_EQUITY_METHOD", , B851), "")</f>
        <v/>
      </c>
      <c r="K851" s="11">
        <f>IFERROR(_xll.ciqfunctions.udf.CIQ(mh_ticker, "IQ_LT_Mark_Securities", , B851), "")</f>
        <v/>
      </c>
      <c r="L851" s="12">
        <f>IFERROR(C851*D851, "")</f>
        <v/>
      </c>
      <c r="M851" s="12">
        <f>IFERROR(L851-E851-F851+G851+H851+I851-J851-K851, "")</f>
        <v/>
      </c>
      <c r="N851" s="11">
        <f>IFERROR(_xll.ciqfunctions.udf.CIQ(mh_ticker, "IQ_EBITDA_EST", IQ_NTM, B851, , , "USD"), "")</f>
        <v/>
      </c>
      <c r="O851" s="13">
        <f>IFERROR(M851/N851, "")</f>
        <v/>
      </c>
    </row>
    <row r="852">
      <c r="B852" s="8" t="n"/>
      <c r="C852" s="9">
        <f>IFERROR(_xll.ciqfunctions.udf.CIQ(mh_ticker, "IQ_LASTSALEPRICE", B852), "")</f>
        <v/>
      </c>
      <c r="D852" s="10">
        <f>IFERROR(_xll.ciqfunctions.udf.CIQ(mh_ticker, "IQ_SHARESOUTSTANDING_OUT", B852), "")</f>
        <v/>
      </c>
      <c r="E852" s="11">
        <f>IFERROR(_xll.ciqfunctions.udf.CIQ(mh_ticker, "IQ_CASH_EQUIV", , B852), "")</f>
        <v/>
      </c>
      <c r="F852" s="11">
        <f>IFERROR(_xll.ciqfunctions.udf.CIQ(mh_ticker, "IQ_ST_INVEST", , B852), "")</f>
        <v/>
      </c>
      <c r="G852" s="11">
        <f>IFERROR(_xll.ciqfunctions.udf.CIQ(mh_ticker, "IQ_TOTAL_DEBT_EXCL_OPER_LEASES", , B852), "")</f>
        <v/>
      </c>
      <c r="H852" s="11">
        <f>IFERROR(_xll.ciqfunctions.udf.CIQ(mh_ticker, "IQ_PREF_EQUITY", , B852), "")</f>
        <v/>
      </c>
      <c r="I852" s="11">
        <f>IFERROR(_xll.ciqfunctions.udf.CIQ(mh_ticker, "IQ_MINORITY_INTEREST", , B852), "")</f>
        <v/>
      </c>
      <c r="J852" s="11">
        <f>IFERROR(_xll.ciqfunctions.udf.CIQ(mh_ticker, "IQ_EQUITY_METHOD", , B852), "")</f>
        <v/>
      </c>
      <c r="K852" s="11">
        <f>IFERROR(_xll.ciqfunctions.udf.CIQ(mh_ticker, "IQ_LT_Mark_Securities", , B852), "")</f>
        <v/>
      </c>
      <c r="L852" s="12">
        <f>IFERROR(C852*D852, "")</f>
        <v/>
      </c>
      <c r="M852" s="12">
        <f>IFERROR(L852-E852-F852+G852+H852+I852-J852-K852, "")</f>
        <v/>
      </c>
      <c r="N852" s="11">
        <f>IFERROR(_xll.ciqfunctions.udf.CIQ(mh_ticker, "IQ_EBITDA_EST", IQ_NTM, B852, , , "USD"), "")</f>
        <v/>
      </c>
      <c r="O852" s="13">
        <f>IFERROR(M852/N852, "")</f>
        <v/>
      </c>
    </row>
    <row r="853">
      <c r="B853" s="8" t="n"/>
      <c r="C853" s="9">
        <f>IFERROR(_xll.ciqfunctions.udf.CIQ(mh_ticker, "IQ_LASTSALEPRICE", B853), "")</f>
        <v/>
      </c>
      <c r="D853" s="10">
        <f>IFERROR(_xll.ciqfunctions.udf.CIQ(mh_ticker, "IQ_SHARESOUTSTANDING_OUT", B853), "")</f>
        <v/>
      </c>
      <c r="E853" s="11">
        <f>IFERROR(_xll.ciqfunctions.udf.CIQ(mh_ticker, "IQ_CASH_EQUIV", , B853), "")</f>
        <v/>
      </c>
      <c r="F853" s="11">
        <f>IFERROR(_xll.ciqfunctions.udf.CIQ(mh_ticker, "IQ_ST_INVEST", , B853), "")</f>
        <v/>
      </c>
      <c r="G853" s="11">
        <f>IFERROR(_xll.ciqfunctions.udf.CIQ(mh_ticker, "IQ_TOTAL_DEBT_EXCL_OPER_LEASES", , B853), "")</f>
        <v/>
      </c>
      <c r="H853" s="11">
        <f>IFERROR(_xll.ciqfunctions.udf.CIQ(mh_ticker, "IQ_PREF_EQUITY", , B853), "")</f>
        <v/>
      </c>
      <c r="I853" s="11">
        <f>IFERROR(_xll.ciqfunctions.udf.CIQ(mh_ticker, "IQ_MINORITY_INTEREST", , B853), "")</f>
        <v/>
      </c>
      <c r="J853" s="11">
        <f>IFERROR(_xll.ciqfunctions.udf.CIQ(mh_ticker, "IQ_EQUITY_METHOD", , B853), "")</f>
        <v/>
      </c>
      <c r="K853" s="11">
        <f>IFERROR(_xll.ciqfunctions.udf.CIQ(mh_ticker, "IQ_LT_Mark_Securities", , B853), "")</f>
        <v/>
      </c>
      <c r="L853" s="12">
        <f>IFERROR(C853*D853, "")</f>
        <v/>
      </c>
      <c r="M853" s="12">
        <f>IFERROR(L853-E853-F853+G853+H853+I853-J853-K853, "")</f>
        <v/>
      </c>
      <c r="N853" s="11">
        <f>IFERROR(_xll.ciqfunctions.udf.CIQ(mh_ticker, "IQ_EBITDA_EST", IQ_NTM, B853, , , "USD"), "")</f>
        <v/>
      </c>
      <c r="O853" s="13">
        <f>IFERROR(M853/N853, "")</f>
        <v/>
      </c>
    </row>
    <row r="854">
      <c r="B854" s="8" t="n"/>
      <c r="C854" s="9">
        <f>IFERROR(_xll.ciqfunctions.udf.CIQ(mh_ticker, "IQ_LASTSALEPRICE", B854), "")</f>
        <v/>
      </c>
      <c r="D854" s="10">
        <f>IFERROR(_xll.ciqfunctions.udf.CIQ(mh_ticker, "IQ_SHARESOUTSTANDING_OUT", B854), "")</f>
        <v/>
      </c>
      <c r="E854" s="11">
        <f>IFERROR(_xll.ciqfunctions.udf.CIQ(mh_ticker, "IQ_CASH_EQUIV", , B854), "")</f>
        <v/>
      </c>
      <c r="F854" s="11">
        <f>IFERROR(_xll.ciqfunctions.udf.CIQ(mh_ticker, "IQ_ST_INVEST", , B854), "")</f>
        <v/>
      </c>
      <c r="G854" s="11">
        <f>IFERROR(_xll.ciqfunctions.udf.CIQ(mh_ticker, "IQ_TOTAL_DEBT_EXCL_OPER_LEASES", , B854), "")</f>
        <v/>
      </c>
      <c r="H854" s="11">
        <f>IFERROR(_xll.ciqfunctions.udf.CIQ(mh_ticker, "IQ_PREF_EQUITY", , B854), "")</f>
        <v/>
      </c>
      <c r="I854" s="11">
        <f>IFERROR(_xll.ciqfunctions.udf.CIQ(mh_ticker, "IQ_MINORITY_INTEREST", , B854), "")</f>
        <v/>
      </c>
      <c r="J854" s="11">
        <f>IFERROR(_xll.ciqfunctions.udf.CIQ(mh_ticker, "IQ_EQUITY_METHOD", , B854), "")</f>
        <v/>
      </c>
      <c r="K854" s="11">
        <f>IFERROR(_xll.ciqfunctions.udf.CIQ(mh_ticker, "IQ_LT_Mark_Securities", , B854), "")</f>
        <v/>
      </c>
      <c r="L854" s="12">
        <f>IFERROR(C854*D854, "")</f>
        <v/>
      </c>
      <c r="M854" s="12">
        <f>IFERROR(L854-E854-F854+G854+H854+I854-J854-K854, "")</f>
        <v/>
      </c>
      <c r="N854" s="11">
        <f>IFERROR(_xll.ciqfunctions.udf.CIQ(mh_ticker, "IQ_EBITDA_EST", IQ_NTM, B854, , , "USD"), "")</f>
        <v/>
      </c>
      <c r="O854" s="13">
        <f>IFERROR(M854/N854, "")</f>
        <v/>
      </c>
    </row>
    <row r="855">
      <c r="B855" s="8" t="n"/>
      <c r="C855" s="9">
        <f>IFERROR(_xll.ciqfunctions.udf.CIQ(mh_ticker, "IQ_LASTSALEPRICE", B855), "")</f>
        <v/>
      </c>
      <c r="D855" s="10">
        <f>IFERROR(_xll.ciqfunctions.udf.CIQ(mh_ticker, "IQ_SHARESOUTSTANDING_OUT", B855), "")</f>
        <v/>
      </c>
      <c r="E855" s="11">
        <f>IFERROR(_xll.ciqfunctions.udf.CIQ(mh_ticker, "IQ_CASH_EQUIV", , B855), "")</f>
        <v/>
      </c>
      <c r="F855" s="11">
        <f>IFERROR(_xll.ciqfunctions.udf.CIQ(mh_ticker, "IQ_ST_INVEST", , B855), "")</f>
        <v/>
      </c>
      <c r="G855" s="11">
        <f>IFERROR(_xll.ciqfunctions.udf.CIQ(mh_ticker, "IQ_TOTAL_DEBT_EXCL_OPER_LEASES", , B855), "")</f>
        <v/>
      </c>
      <c r="H855" s="11">
        <f>IFERROR(_xll.ciqfunctions.udf.CIQ(mh_ticker, "IQ_PREF_EQUITY", , B855), "")</f>
        <v/>
      </c>
      <c r="I855" s="11">
        <f>IFERROR(_xll.ciqfunctions.udf.CIQ(mh_ticker, "IQ_MINORITY_INTEREST", , B855), "")</f>
        <v/>
      </c>
      <c r="J855" s="11">
        <f>IFERROR(_xll.ciqfunctions.udf.CIQ(mh_ticker, "IQ_EQUITY_METHOD", , B855), "")</f>
        <v/>
      </c>
      <c r="K855" s="11">
        <f>IFERROR(_xll.ciqfunctions.udf.CIQ(mh_ticker, "IQ_LT_Mark_Securities", , B855), "")</f>
        <v/>
      </c>
      <c r="L855" s="12">
        <f>IFERROR(C855*D855, "")</f>
        <v/>
      </c>
      <c r="M855" s="12">
        <f>IFERROR(L855-E855-F855+G855+H855+I855-J855-K855, "")</f>
        <v/>
      </c>
      <c r="N855" s="11">
        <f>IFERROR(_xll.ciqfunctions.udf.CIQ(mh_ticker, "IQ_EBITDA_EST", IQ_NTM, B855, , , "USD"), "")</f>
        <v/>
      </c>
      <c r="O855" s="13">
        <f>IFERROR(M855/N855, "")</f>
        <v/>
      </c>
    </row>
    <row r="856">
      <c r="B856" s="8" t="n"/>
      <c r="C856" s="9">
        <f>IFERROR(_xll.ciqfunctions.udf.CIQ(mh_ticker, "IQ_LASTSALEPRICE", B856), "")</f>
        <v/>
      </c>
      <c r="D856" s="10">
        <f>IFERROR(_xll.ciqfunctions.udf.CIQ(mh_ticker, "IQ_SHARESOUTSTANDING_OUT", B856), "")</f>
        <v/>
      </c>
      <c r="E856" s="11">
        <f>IFERROR(_xll.ciqfunctions.udf.CIQ(mh_ticker, "IQ_CASH_EQUIV", , B856), "")</f>
        <v/>
      </c>
      <c r="F856" s="11">
        <f>IFERROR(_xll.ciqfunctions.udf.CIQ(mh_ticker, "IQ_ST_INVEST", , B856), "")</f>
        <v/>
      </c>
      <c r="G856" s="11">
        <f>IFERROR(_xll.ciqfunctions.udf.CIQ(mh_ticker, "IQ_TOTAL_DEBT_EXCL_OPER_LEASES", , B856), "")</f>
        <v/>
      </c>
      <c r="H856" s="11">
        <f>IFERROR(_xll.ciqfunctions.udf.CIQ(mh_ticker, "IQ_PREF_EQUITY", , B856), "")</f>
        <v/>
      </c>
      <c r="I856" s="11">
        <f>IFERROR(_xll.ciqfunctions.udf.CIQ(mh_ticker, "IQ_MINORITY_INTEREST", , B856), "")</f>
        <v/>
      </c>
      <c r="J856" s="11">
        <f>IFERROR(_xll.ciqfunctions.udf.CIQ(mh_ticker, "IQ_EQUITY_METHOD", , B856), "")</f>
        <v/>
      </c>
      <c r="K856" s="11">
        <f>IFERROR(_xll.ciqfunctions.udf.CIQ(mh_ticker, "IQ_LT_Mark_Securities", , B856), "")</f>
        <v/>
      </c>
      <c r="L856" s="12">
        <f>IFERROR(C856*D856, "")</f>
        <v/>
      </c>
      <c r="M856" s="12">
        <f>IFERROR(L856-E856-F856+G856+H856+I856-J856-K856, "")</f>
        <v/>
      </c>
      <c r="N856" s="11">
        <f>IFERROR(_xll.ciqfunctions.udf.CIQ(mh_ticker, "IQ_EBITDA_EST", IQ_NTM, B856, , , "USD"), "")</f>
        <v/>
      </c>
      <c r="O856" s="13">
        <f>IFERROR(M856/N856, "")</f>
        <v/>
      </c>
    </row>
    <row r="857">
      <c r="B857" s="8" t="n"/>
      <c r="C857" s="9">
        <f>IFERROR(_xll.ciqfunctions.udf.CIQ(mh_ticker, "IQ_LASTSALEPRICE", B857), "")</f>
        <v/>
      </c>
      <c r="D857" s="10">
        <f>IFERROR(_xll.ciqfunctions.udf.CIQ(mh_ticker, "IQ_SHARESOUTSTANDING_OUT", B857), "")</f>
        <v/>
      </c>
      <c r="E857" s="11">
        <f>IFERROR(_xll.ciqfunctions.udf.CIQ(mh_ticker, "IQ_CASH_EQUIV", , B857), "")</f>
        <v/>
      </c>
      <c r="F857" s="11">
        <f>IFERROR(_xll.ciqfunctions.udf.CIQ(mh_ticker, "IQ_ST_INVEST", , B857), "")</f>
        <v/>
      </c>
      <c r="G857" s="11">
        <f>IFERROR(_xll.ciqfunctions.udf.CIQ(mh_ticker, "IQ_TOTAL_DEBT_EXCL_OPER_LEASES", , B857), "")</f>
        <v/>
      </c>
      <c r="H857" s="11">
        <f>IFERROR(_xll.ciqfunctions.udf.CIQ(mh_ticker, "IQ_PREF_EQUITY", , B857), "")</f>
        <v/>
      </c>
      <c r="I857" s="11">
        <f>IFERROR(_xll.ciqfunctions.udf.CIQ(mh_ticker, "IQ_MINORITY_INTEREST", , B857), "")</f>
        <v/>
      </c>
      <c r="J857" s="11">
        <f>IFERROR(_xll.ciqfunctions.udf.CIQ(mh_ticker, "IQ_EQUITY_METHOD", , B857), "")</f>
        <v/>
      </c>
      <c r="K857" s="11">
        <f>IFERROR(_xll.ciqfunctions.udf.CIQ(mh_ticker, "IQ_LT_Mark_Securities", , B857), "")</f>
        <v/>
      </c>
      <c r="L857" s="12">
        <f>IFERROR(C857*D857, "")</f>
        <v/>
      </c>
      <c r="M857" s="12">
        <f>IFERROR(L857-E857-F857+G857+H857+I857-J857-K857, "")</f>
        <v/>
      </c>
      <c r="N857" s="11">
        <f>IFERROR(_xll.ciqfunctions.udf.CIQ(mh_ticker, "IQ_EBITDA_EST", IQ_NTM, B857, , , "USD"), "")</f>
        <v/>
      </c>
      <c r="O857" s="13">
        <f>IFERROR(M857/N857, "")</f>
        <v/>
      </c>
    </row>
    <row r="858">
      <c r="B858" s="8" t="n"/>
      <c r="C858" s="9">
        <f>IFERROR(_xll.ciqfunctions.udf.CIQ(mh_ticker, "IQ_LASTSALEPRICE", B858), "")</f>
        <v/>
      </c>
      <c r="D858" s="10">
        <f>IFERROR(_xll.ciqfunctions.udf.CIQ(mh_ticker, "IQ_SHARESOUTSTANDING_OUT", B858), "")</f>
        <v/>
      </c>
      <c r="E858" s="11">
        <f>IFERROR(_xll.ciqfunctions.udf.CIQ(mh_ticker, "IQ_CASH_EQUIV", , B858), "")</f>
        <v/>
      </c>
      <c r="F858" s="11">
        <f>IFERROR(_xll.ciqfunctions.udf.CIQ(mh_ticker, "IQ_ST_INVEST", , B858), "")</f>
        <v/>
      </c>
      <c r="G858" s="11">
        <f>IFERROR(_xll.ciqfunctions.udf.CIQ(mh_ticker, "IQ_TOTAL_DEBT_EXCL_OPER_LEASES", , B858), "")</f>
        <v/>
      </c>
      <c r="H858" s="11">
        <f>IFERROR(_xll.ciqfunctions.udf.CIQ(mh_ticker, "IQ_PREF_EQUITY", , B858), "")</f>
        <v/>
      </c>
      <c r="I858" s="11">
        <f>IFERROR(_xll.ciqfunctions.udf.CIQ(mh_ticker, "IQ_MINORITY_INTEREST", , B858), "")</f>
        <v/>
      </c>
      <c r="J858" s="11">
        <f>IFERROR(_xll.ciqfunctions.udf.CIQ(mh_ticker, "IQ_EQUITY_METHOD", , B858), "")</f>
        <v/>
      </c>
      <c r="K858" s="11">
        <f>IFERROR(_xll.ciqfunctions.udf.CIQ(mh_ticker, "IQ_LT_Mark_Securities", , B858), "")</f>
        <v/>
      </c>
      <c r="L858" s="12">
        <f>IFERROR(C858*D858, "")</f>
        <v/>
      </c>
      <c r="M858" s="12">
        <f>IFERROR(L858-E858-F858+G858+H858+I858-J858-K858, "")</f>
        <v/>
      </c>
      <c r="N858" s="11">
        <f>IFERROR(_xll.ciqfunctions.udf.CIQ(mh_ticker, "IQ_EBITDA_EST", IQ_NTM, B858, , , "USD"), "")</f>
        <v/>
      </c>
      <c r="O858" s="13">
        <f>IFERROR(M858/N858, "")</f>
        <v/>
      </c>
    </row>
    <row r="859">
      <c r="B859" s="8" t="n"/>
      <c r="C859" s="9">
        <f>IFERROR(_xll.ciqfunctions.udf.CIQ(mh_ticker, "IQ_LASTSALEPRICE", B859), "")</f>
        <v/>
      </c>
      <c r="D859" s="10">
        <f>IFERROR(_xll.ciqfunctions.udf.CIQ(mh_ticker, "IQ_SHARESOUTSTANDING_OUT", B859), "")</f>
        <v/>
      </c>
      <c r="E859" s="11">
        <f>IFERROR(_xll.ciqfunctions.udf.CIQ(mh_ticker, "IQ_CASH_EQUIV", , B859), "")</f>
        <v/>
      </c>
      <c r="F859" s="11">
        <f>IFERROR(_xll.ciqfunctions.udf.CIQ(mh_ticker, "IQ_ST_INVEST", , B859), "")</f>
        <v/>
      </c>
      <c r="G859" s="11">
        <f>IFERROR(_xll.ciqfunctions.udf.CIQ(mh_ticker, "IQ_TOTAL_DEBT_EXCL_OPER_LEASES", , B859), "")</f>
        <v/>
      </c>
      <c r="H859" s="11">
        <f>IFERROR(_xll.ciqfunctions.udf.CIQ(mh_ticker, "IQ_PREF_EQUITY", , B859), "")</f>
        <v/>
      </c>
      <c r="I859" s="11">
        <f>IFERROR(_xll.ciqfunctions.udf.CIQ(mh_ticker, "IQ_MINORITY_INTEREST", , B859), "")</f>
        <v/>
      </c>
      <c r="J859" s="11">
        <f>IFERROR(_xll.ciqfunctions.udf.CIQ(mh_ticker, "IQ_EQUITY_METHOD", , B859), "")</f>
        <v/>
      </c>
      <c r="K859" s="11">
        <f>IFERROR(_xll.ciqfunctions.udf.CIQ(mh_ticker, "IQ_LT_Mark_Securities", , B859), "")</f>
        <v/>
      </c>
      <c r="L859" s="12">
        <f>IFERROR(C859*D859, "")</f>
        <v/>
      </c>
      <c r="M859" s="12">
        <f>IFERROR(L859-E859-F859+G859+H859+I859-J859-K859, "")</f>
        <v/>
      </c>
      <c r="N859" s="11">
        <f>IFERROR(_xll.ciqfunctions.udf.CIQ(mh_ticker, "IQ_EBITDA_EST", IQ_NTM, B859, , , "USD"), "")</f>
        <v/>
      </c>
      <c r="O859" s="13">
        <f>IFERROR(M859/N859, "")</f>
        <v/>
      </c>
    </row>
    <row r="860">
      <c r="B860" s="8" t="n"/>
      <c r="C860" s="9">
        <f>IFERROR(_xll.ciqfunctions.udf.CIQ(mh_ticker, "IQ_LASTSALEPRICE", B860), "")</f>
        <v/>
      </c>
      <c r="D860" s="10">
        <f>IFERROR(_xll.ciqfunctions.udf.CIQ(mh_ticker, "IQ_SHARESOUTSTANDING_OUT", B860), "")</f>
        <v/>
      </c>
      <c r="E860" s="11">
        <f>IFERROR(_xll.ciqfunctions.udf.CIQ(mh_ticker, "IQ_CASH_EQUIV", , B860), "")</f>
        <v/>
      </c>
      <c r="F860" s="11">
        <f>IFERROR(_xll.ciqfunctions.udf.CIQ(mh_ticker, "IQ_ST_INVEST", , B860), "")</f>
        <v/>
      </c>
      <c r="G860" s="11">
        <f>IFERROR(_xll.ciqfunctions.udf.CIQ(mh_ticker, "IQ_TOTAL_DEBT_EXCL_OPER_LEASES", , B860), "")</f>
        <v/>
      </c>
      <c r="H860" s="11">
        <f>IFERROR(_xll.ciqfunctions.udf.CIQ(mh_ticker, "IQ_PREF_EQUITY", , B860), "")</f>
        <v/>
      </c>
      <c r="I860" s="11">
        <f>IFERROR(_xll.ciqfunctions.udf.CIQ(mh_ticker, "IQ_MINORITY_INTEREST", , B860), "")</f>
        <v/>
      </c>
      <c r="J860" s="11">
        <f>IFERROR(_xll.ciqfunctions.udf.CIQ(mh_ticker, "IQ_EQUITY_METHOD", , B860), "")</f>
        <v/>
      </c>
      <c r="K860" s="11">
        <f>IFERROR(_xll.ciqfunctions.udf.CIQ(mh_ticker, "IQ_LT_Mark_Securities", , B860), "")</f>
        <v/>
      </c>
      <c r="L860" s="12">
        <f>IFERROR(C860*D860, "")</f>
        <v/>
      </c>
      <c r="M860" s="12">
        <f>IFERROR(L860-E860-F860+G860+H860+I860-J860-K860, "")</f>
        <v/>
      </c>
      <c r="N860" s="11">
        <f>IFERROR(_xll.ciqfunctions.udf.CIQ(mh_ticker, "IQ_EBITDA_EST", IQ_NTM, B860, , , "USD"), "")</f>
        <v/>
      </c>
      <c r="O860" s="13">
        <f>IFERROR(M860/N860, "")</f>
        <v/>
      </c>
    </row>
    <row r="861">
      <c r="B861" s="8" t="n"/>
      <c r="C861" s="9">
        <f>IFERROR(_xll.ciqfunctions.udf.CIQ(mh_ticker, "IQ_LASTSALEPRICE", B861), "")</f>
        <v/>
      </c>
      <c r="D861" s="10">
        <f>IFERROR(_xll.ciqfunctions.udf.CIQ(mh_ticker, "IQ_SHARESOUTSTANDING_OUT", B861), "")</f>
        <v/>
      </c>
      <c r="E861" s="11">
        <f>IFERROR(_xll.ciqfunctions.udf.CIQ(mh_ticker, "IQ_CASH_EQUIV", , B861), "")</f>
        <v/>
      </c>
      <c r="F861" s="11">
        <f>IFERROR(_xll.ciqfunctions.udf.CIQ(mh_ticker, "IQ_ST_INVEST", , B861), "")</f>
        <v/>
      </c>
      <c r="G861" s="11">
        <f>IFERROR(_xll.ciqfunctions.udf.CIQ(mh_ticker, "IQ_TOTAL_DEBT_EXCL_OPER_LEASES", , B861), "")</f>
        <v/>
      </c>
      <c r="H861" s="11">
        <f>IFERROR(_xll.ciqfunctions.udf.CIQ(mh_ticker, "IQ_PREF_EQUITY", , B861), "")</f>
        <v/>
      </c>
      <c r="I861" s="11">
        <f>IFERROR(_xll.ciqfunctions.udf.CIQ(mh_ticker, "IQ_MINORITY_INTEREST", , B861), "")</f>
        <v/>
      </c>
      <c r="J861" s="11">
        <f>IFERROR(_xll.ciqfunctions.udf.CIQ(mh_ticker, "IQ_EQUITY_METHOD", , B861), "")</f>
        <v/>
      </c>
      <c r="K861" s="11">
        <f>IFERROR(_xll.ciqfunctions.udf.CIQ(mh_ticker, "IQ_LT_Mark_Securities", , B861), "")</f>
        <v/>
      </c>
      <c r="L861" s="12">
        <f>IFERROR(C861*D861, "")</f>
        <v/>
      </c>
      <c r="M861" s="12">
        <f>IFERROR(L861-E861-F861+G861+H861+I861-J861-K861, "")</f>
        <v/>
      </c>
      <c r="N861" s="11">
        <f>IFERROR(_xll.ciqfunctions.udf.CIQ(mh_ticker, "IQ_EBITDA_EST", IQ_NTM, B861, , , "USD"), "")</f>
        <v/>
      </c>
      <c r="O861" s="13">
        <f>IFERROR(M861/N861, "")</f>
        <v/>
      </c>
    </row>
    <row r="862">
      <c r="B862" s="8" t="n"/>
      <c r="C862" s="9">
        <f>IFERROR(_xll.ciqfunctions.udf.CIQ(mh_ticker, "IQ_LASTSALEPRICE", B862), "")</f>
        <v/>
      </c>
      <c r="D862" s="10">
        <f>IFERROR(_xll.ciqfunctions.udf.CIQ(mh_ticker, "IQ_SHARESOUTSTANDING_OUT", B862), "")</f>
        <v/>
      </c>
      <c r="E862" s="11">
        <f>IFERROR(_xll.ciqfunctions.udf.CIQ(mh_ticker, "IQ_CASH_EQUIV", , B862), "")</f>
        <v/>
      </c>
      <c r="F862" s="11">
        <f>IFERROR(_xll.ciqfunctions.udf.CIQ(mh_ticker, "IQ_ST_INVEST", , B862), "")</f>
        <v/>
      </c>
      <c r="G862" s="11">
        <f>IFERROR(_xll.ciqfunctions.udf.CIQ(mh_ticker, "IQ_TOTAL_DEBT_EXCL_OPER_LEASES", , B862), "")</f>
        <v/>
      </c>
      <c r="H862" s="11">
        <f>IFERROR(_xll.ciqfunctions.udf.CIQ(mh_ticker, "IQ_PREF_EQUITY", , B862), "")</f>
        <v/>
      </c>
      <c r="I862" s="11">
        <f>IFERROR(_xll.ciqfunctions.udf.CIQ(mh_ticker, "IQ_MINORITY_INTEREST", , B862), "")</f>
        <v/>
      </c>
      <c r="J862" s="11">
        <f>IFERROR(_xll.ciqfunctions.udf.CIQ(mh_ticker, "IQ_EQUITY_METHOD", , B862), "")</f>
        <v/>
      </c>
      <c r="K862" s="11">
        <f>IFERROR(_xll.ciqfunctions.udf.CIQ(mh_ticker, "IQ_LT_Mark_Securities", , B862), "")</f>
        <v/>
      </c>
      <c r="L862" s="12">
        <f>IFERROR(C862*D862, "")</f>
        <v/>
      </c>
      <c r="M862" s="12">
        <f>IFERROR(L862-E862-F862+G862+H862+I862-J862-K862, "")</f>
        <v/>
      </c>
      <c r="N862" s="11">
        <f>IFERROR(_xll.ciqfunctions.udf.CIQ(mh_ticker, "IQ_EBITDA_EST", IQ_NTM, B862, , , "USD"), "")</f>
        <v/>
      </c>
      <c r="O862" s="13">
        <f>IFERROR(M862/N862, "")</f>
        <v/>
      </c>
    </row>
    <row r="863">
      <c r="B863" s="8" t="n"/>
      <c r="C863" s="9">
        <f>IFERROR(_xll.ciqfunctions.udf.CIQ(mh_ticker, "IQ_LASTSALEPRICE", B863), "")</f>
        <v/>
      </c>
      <c r="D863" s="10">
        <f>IFERROR(_xll.ciqfunctions.udf.CIQ(mh_ticker, "IQ_SHARESOUTSTANDING_OUT", B863), "")</f>
        <v/>
      </c>
      <c r="E863" s="11">
        <f>IFERROR(_xll.ciqfunctions.udf.CIQ(mh_ticker, "IQ_CASH_EQUIV", , B863), "")</f>
        <v/>
      </c>
      <c r="F863" s="11">
        <f>IFERROR(_xll.ciqfunctions.udf.CIQ(mh_ticker, "IQ_ST_INVEST", , B863), "")</f>
        <v/>
      </c>
      <c r="G863" s="11">
        <f>IFERROR(_xll.ciqfunctions.udf.CIQ(mh_ticker, "IQ_TOTAL_DEBT_EXCL_OPER_LEASES", , B863), "")</f>
        <v/>
      </c>
      <c r="H863" s="11">
        <f>IFERROR(_xll.ciqfunctions.udf.CIQ(mh_ticker, "IQ_PREF_EQUITY", , B863), "")</f>
        <v/>
      </c>
      <c r="I863" s="11">
        <f>IFERROR(_xll.ciqfunctions.udf.CIQ(mh_ticker, "IQ_MINORITY_INTEREST", , B863), "")</f>
        <v/>
      </c>
      <c r="J863" s="11">
        <f>IFERROR(_xll.ciqfunctions.udf.CIQ(mh_ticker, "IQ_EQUITY_METHOD", , B863), "")</f>
        <v/>
      </c>
      <c r="K863" s="11">
        <f>IFERROR(_xll.ciqfunctions.udf.CIQ(mh_ticker, "IQ_LT_Mark_Securities", , B863), "")</f>
        <v/>
      </c>
      <c r="L863" s="12">
        <f>IFERROR(C863*D863, "")</f>
        <v/>
      </c>
      <c r="M863" s="12">
        <f>IFERROR(L863-E863-F863+G863+H863+I863-J863-K863, "")</f>
        <v/>
      </c>
      <c r="N863" s="11">
        <f>IFERROR(_xll.ciqfunctions.udf.CIQ(mh_ticker, "IQ_EBITDA_EST", IQ_NTM, B863, , , "USD"), "")</f>
        <v/>
      </c>
      <c r="O863" s="13">
        <f>IFERROR(M863/N863, "")</f>
        <v/>
      </c>
    </row>
    <row r="864">
      <c r="B864" s="8" t="n"/>
      <c r="C864" s="9">
        <f>IFERROR(_xll.ciqfunctions.udf.CIQ(mh_ticker, "IQ_LASTSALEPRICE", B864), "")</f>
        <v/>
      </c>
      <c r="D864" s="10">
        <f>IFERROR(_xll.ciqfunctions.udf.CIQ(mh_ticker, "IQ_SHARESOUTSTANDING_OUT", B864), "")</f>
        <v/>
      </c>
      <c r="E864" s="11">
        <f>IFERROR(_xll.ciqfunctions.udf.CIQ(mh_ticker, "IQ_CASH_EQUIV", , B864), "")</f>
        <v/>
      </c>
      <c r="F864" s="11">
        <f>IFERROR(_xll.ciqfunctions.udf.CIQ(mh_ticker, "IQ_ST_INVEST", , B864), "")</f>
        <v/>
      </c>
      <c r="G864" s="11">
        <f>IFERROR(_xll.ciqfunctions.udf.CIQ(mh_ticker, "IQ_TOTAL_DEBT_EXCL_OPER_LEASES", , B864), "")</f>
        <v/>
      </c>
      <c r="H864" s="11">
        <f>IFERROR(_xll.ciqfunctions.udf.CIQ(mh_ticker, "IQ_PREF_EQUITY", , B864), "")</f>
        <v/>
      </c>
      <c r="I864" s="11">
        <f>IFERROR(_xll.ciqfunctions.udf.CIQ(mh_ticker, "IQ_MINORITY_INTEREST", , B864), "")</f>
        <v/>
      </c>
      <c r="J864" s="11">
        <f>IFERROR(_xll.ciqfunctions.udf.CIQ(mh_ticker, "IQ_EQUITY_METHOD", , B864), "")</f>
        <v/>
      </c>
      <c r="K864" s="11">
        <f>IFERROR(_xll.ciqfunctions.udf.CIQ(mh_ticker, "IQ_LT_Mark_Securities", , B864), "")</f>
        <v/>
      </c>
      <c r="L864" s="12">
        <f>IFERROR(C864*D864, "")</f>
        <v/>
      </c>
      <c r="M864" s="12">
        <f>IFERROR(L864-E864-F864+G864+H864+I864-J864-K864, "")</f>
        <v/>
      </c>
      <c r="N864" s="11">
        <f>IFERROR(_xll.ciqfunctions.udf.CIQ(mh_ticker, "IQ_EBITDA_EST", IQ_NTM, B864, , , "USD"), "")</f>
        <v/>
      </c>
      <c r="O864" s="13">
        <f>IFERROR(M864/N864, "")</f>
        <v/>
      </c>
    </row>
    <row r="865">
      <c r="B865" s="8" t="n"/>
      <c r="C865" s="9">
        <f>IFERROR(_xll.ciqfunctions.udf.CIQ(mh_ticker, "IQ_LASTSALEPRICE", B865), "")</f>
        <v/>
      </c>
      <c r="D865" s="10">
        <f>IFERROR(_xll.ciqfunctions.udf.CIQ(mh_ticker, "IQ_SHARESOUTSTANDING_OUT", B865), "")</f>
        <v/>
      </c>
      <c r="E865" s="11">
        <f>IFERROR(_xll.ciqfunctions.udf.CIQ(mh_ticker, "IQ_CASH_EQUIV", , B865), "")</f>
        <v/>
      </c>
      <c r="F865" s="11">
        <f>IFERROR(_xll.ciqfunctions.udf.CIQ(mh_ticker, "IQ_ST_INVEST", , B865), "")</f>
        <v/>
      </c>
      <c r="G865" s="11">
        <f>IFERROR(_xll.ciqfunctions.udf.CIQ(mh_ticker, "IQ_TOTAL_DEBT_EXCL_OPER_LEASES", , B865), "")</f>
        <v/>
      </c>
      <c r="H865" s="11">
        <f>IFERROR(_xll.ciqfunctions.udf.CIQ(mh_ticker, "IQ_PREF_EQUITY", , B865), "")</f>
        <v/>
      </c>
      <c r="I865" s="11">
        <f>IFERROR(_xll.ciqfunctions.udf.CIQ(mh_ticker, "IQ_MINORITY_INTEREST", , B865), "")</f>
        <v/>
      </c>
      <c r="J865" s="11">
        <f>IFERROR(_xll.ciqfunctions.udf.CIQ(mh_ticker, "IQ_EQUITY_METHOD", , B865), "")</f>
        <v/>
      </c>
      <c r="K865" s="11">
        <f>IFERROR(_xll.ciqfunctions.udf.CIQ(mh_ticker, "IQ_LT_Mark_Securities", , B865), "")</f>
        <v/>
      </c>
      <c r="L865" s="12">
        <f>IFERROR(C865*D865, "")</f>
        <v/>
      </c>
      <c r="M865" s="12">
        <f>IFERROR(L865-E865-F865+G865+H865+I865-J865-K865, "")</f>
        <v/>
      </c>
      <c r="N865" s="11">
        <f>IFERROR(_xll.ciqfunctions.udf.CIQ(mh_ticker, "IQ_EBITDA_EST", IQ_NTM, B865, , , "USD"), "")</f>
        <v/>
      </c>
      <c r="O865" s="13">
        <f>IFERROR(M865/N865, "")</f>
        <v/>
      </c>
    </row>
    <row r="866">
      <c r="B866" s="8" t="n"/>
      <c r="C866" s="9">
        <f>IFERROR(_xll.ciqfunctions.udf.CIQ(mh_ticker, "IQ_LASTSALEPRICE", B866), "")</f>
        <v/>
      </c>
      <c r="D866" s="10">
        <f>IFERROR(_xll.ciqfunctions.udf.CIQ(mh_ticker, "IQ_SHARESOUTSTANDING_OUT", B866), "")</f>
        <v/>
      </c>
      <c r="E866" s="11">
        <f>IFERROR(_xll.ciqfunctions.udf.CIQ(mh_ticker, "IQ_CASH_EQUIV", , B866), "")</f>
        <v/>
      </c>
      <c r="F866" s="11">
        <f>IFERROR(_xll.ciqfunctions.udf.CIQ(mh_ticker, "IQ_ST_INVEST", , B866), "")</f>
        <v/>
      </c>
      <c r="G866" s="11">
        <f>IFERROR(_xll.ciqfunctions.udf.CIQ(mh_ticker, "IQ_TOTAL_DEBT_EXCL_OPER_LEASES", , B866), "")</f>
        <v/>
      </c>
      <c r="H866" s="11">
        <f>IFERROR(_xll.ciqfunctions.udf.CIQ(mh_ticker, "IQ_PREF_EQUITY", , B866), "")</f>
        <v/>
      </c>
      <c r="I866" s="11">
        <f>IFERROR(_xll.ciqfunctions.udf.CIQ(mh_ticker, "IQ_MINORITY_INTEREST", , B866), "")</f>
        <v/>
      </c>
      <c r="J866" s="11">
        <f>IFERROR(_xll.ciqfunctions.udf.CIQ(mh_ticker, "IQ_EQUITY_METHOD", , B866), "")</f>
        <v/>
      </c>
      <c r="K866" s="11">
        <f>IFERROR(_xll.ciqfunctions.udf.CIQ(mh_ticker, "IQ_LT_Mark_Securities", , B866), "")</f>
        <v/>
      </c>
      <c r="L866" s="12">
        <f>IFERROR(C866*D866, "")</f>
        <v/>
      </c>
      <c r="M866" s="12">
        <f>IFERROR(L866-E866-F866+G866+H866+I866-J866-K866, "")</f>
        <v/>
      </c>
      <c r="N866" s="11">
        <f>IFERROR(_xll.ciqfunctions.udf.CIQ(mh_ticker, "IQ_EBITDA_EST", IQ_NTM, B866, , , "USD"), "")</f>
        <v/>
      </c>
      <c r="O866" s="13">
        <f>IFERROR(M866/N866, "")</f>
        <v/>
      </c>
    </row>
    <row r="867">
      <c r="B867" s="8" t="n"/>
      <c r="C867" s="9">
        <f>IFERROR(_xll.ciqfunctions.udf.CIQ(mh_ticker, "IQ_LASTSALEPRICE", B867), "")</f>
        <v/>
      </c>
      <c r="D867" s="10">
        <f>IFERROR(_xll.ciqfunctions.udf.CIQ(mh_ticker, "IQ_SHARESOUTSTANDING_OUT", B867), "")</f>
        <v/>
      </c>
      <c r="E867" s="11">
        <f>IFERROR(_xll.ciqfunctions.udf.CIQ(mh_ticker, "IQ_CASH_EQUIV", , B867), "")</f>
        <v/>
      </c>
      <c r="F867" s="11">
        <f>IFERROR(_xll.ciqfunctions.udf.CIQ(mh_ticker, "IQ_ST_INVEST", , B867), "")</f>
        <v/>
      </c>
      <c r="G867" s="11">
        <f>IFERROR(_xll.ciqfunctions.udf.CIQ(mh_ticker, "IQ_TOTAL_DEBT_EXCL_OPER_LEASES", , B867), "")</f>
        <v/>
      </c>
      <c r="H867" s="11">
        <f>IFERROR(_xll.ciqfunctions.udf.CIQ(mh_ticker, "IQ_PREF_EQUITY", , B867), "")</f>
        <v/>
      </c>
      <c r="I867" s="11">
        <f>IFERROR(_xll.ciqfunctions.udf.CIQ(mh_ticker, "IQ_MINORITY_INTEREST", , B867), "")</f>
        <v/>
      </c>
      <c r="J867" s="11">
        <f>IFERROR(_xll.ciqfunctions.udf.CIQ(mh_ticker, "IQ_EQUITY_METHOD", , B867), "")</f>
        <v/>
      </c>
      <c r="K867" s="11">
        <f>IFERROR(_xll.ciqfunctions.udf.CIQ(mh_ticker, "IQ_LT_Mark_Securities", , B867), "")</f>
        <v/>
      </c>
      <c r="L867" s="12">
        <f>IFERROR(C867*D867, "")</f>
        <v/>
      </c>
      <c r="M867" s="12">
        <f>IFERROR(L867-E867-F867+G867+H867+I867-J867-K867, "")</f>
        <v/>
      </c>
      <c r="N867" s="11">
        <f>IFERROR(_xll.ciqfunctions.udf.CIQ(mh_ticker, "IQ_EBITDA_EST", IQ_NTM, B867, , , "USD"), "")</f>
        <v/>
      </c>
      <c r="O867" s="13">
        <f>IFERROR(M867/N867, "")</f>
        <v/>
      </c>
    </row>
    <row r="868">
      <c r="B868" s="8" t="n"/>
      <c r="C868" s="9">
        <f>IFERROR(_xll.ciqfunctions.udf.CIQ(mh_ticker, "IQ_LASTSALEPRICE", B868), "")</f>
        <v/>
      </c>
      <c r="D868" s="10">
        <f>IFERROR(_xll.ciqfunctions.udf.CIQ(mh_ticker, "IQ_SHARESOUTSTANDING_OUT", B868), "")</f>
        <v/>
      </c>
      <c r="E868" s="11">
        <f>IFERROR(_xll.ciqfunctions.udf.CIQ(mh_ticker, "IQ_CASH_EQUIV", , B868), "")</f>
        <v/>
      </c>
      <c r="F868" s="11">
        <f>IFERROR(_xll.ciqfunctions.udf.CIQ(mh_ticker, "IQ_ST_INVEST", , B868), "")</f>
        <v/>
      </c>
      <c r="G868" s="11">
        <f>IFERROR(_xll.ciqfunctions.udf.CIQ(mh_ticker, "IQ_TOTAL_DEBT_EXCL_OPER_LEASES", , B868), "")</f>
        <v/>
      </c>
      <c r="H868" s="11">
        <f>IFERROR(_xll.ciqfunctions.udf.CIQ(mh_ticker, "IQ_PREF_EQUITY", , B868), "")</f>
        <v/>
      </c>
      <c r="I868" s="11">
        <f>IFERROR(_xll.ciqfunctions.udf.CIQ(mh_ticker, "IQ_MINORITY_INTEREST", , B868), "")</f>
        <v/>
      </c>
      <c r="J868" s="11">
        <f>IFERROR(_xll.ciqfunctions.udf.CIQ(mh_ticker, "IQ_EQUITY_METHOD", , B868), "")</f>
        <v/>
      </c>
      <c r="K868" s="11">
        <f>IFERROR(_xll.ciqfunctions.udf.CIQ(mh_ticker, "IQ_LT_Mark_Securities", , B868), "")</f>
        <v/>
      </c>
      <c r="L868" s="12">
        <f>IFERROR(C868*D868, "")</f>
        <v/>
      </c>
      <c r="M868" s="12">
        <f>IFERROR(L868-E868-F868+G868+H868+I868-J868-K868, "")</f>
        <v/>
      </c>
      <c r="N868" s="11">
        <f>IFERROR(_xll.ciqfunctions.udf.CIQ(mh_ticker, "IQ_EBITDA_EST", IQ_NTM, B868, , , "USD"), "")</f>
        <v/>
      </c>
      <c r="O868" s="13">
        <f>IFERROR(M868/N868, "")</f>
        <v/>
      </c>
    </row>
    <row r="869">
      <c r="B869" s="8" t="n"/>
      <c r="C869" s="9">
        <f>IFERROR(_xll.ciqfunctions.udf.CIQ(mh_ticker, "IQ_LASTSALEPRICE", B869), "")</f>
        <v/>
      </c>
      <c r="D869" s="10">
        <f>IFERROR(_xll.ciqfunctions.udf.CIQ(mh_ticker, "IQ_SHARESOUTSTANDING_OUT", B869), "")</f>
        <v/>
      </c>
      <c r="E869" s="11">
        <f>IFERROR(_xll.ciqfunctions.udf.CIQ(mh_ticker, "IQ_CASH_EQUIV", , B869), "")</f>
        <v/>
      </c>
      <c r="F869" s="11">
        <f>IFERROR(_xll.ciqfunctions.udf.CIQ(mh_ticker, "IQ_ST_INVEST", , B869), "")</f>
        <v/>
      </c>
      <c r="G869" s="11">
        <f>IFERROR(_xll.ciqfunctions.udf.CIQ(mh_ticker, "IQ_TOTAL_DEBT_EXCL_OPER_LEASES", , B869), "")</f>
        <v/>
      </c>
      <c r="H869" s="11">
        <f>IFERROR(_xll.ciqfunctions.udf.CIQ(mh_ticker, "IQ_PREF_EQUITY", , B869), "")</f>
        <v/>
      </c>
      <c r="I869" s="11">
        <f>IFERROR(_xll.ciqfunctions.udf.CIQ(mh_ticker, "IQ_MINORITY_INTEREST", , B869), "")</f>
        <v/>
      </c>
      <c r="J869" s="11">
        <f>IFERROR(_xll.ciqfunctions.udf.CIQ(mh_ticker, "IQ_EQUITY_METHOD", , B869), "")</f>
        <v/>
      </c>
      <c r="K869" s="11">
        <f>IFERROR(_xll.ciqfunctions.udf.CIQ(mh_ticker, "IQ_LT_Mark_Securities", , B869), "")</f>
        <v/>
      </c>
      <c r="L869" s="12">
        <f>IFERROR(C869*D869, "")</f>
        <v/>
      </c>
      <c r="M869" s="12">
        <f>IFERROR(L869-E869-F869+G869+H869+I869-J869-K869, "")</f>
        <v/>
      </c>
      <c r="N869" s="11">
        <f>IFERROR(_xll.ciqfunctions.udf.CIQ(mh_ticker, "IQ_EBITDA_EST", IQ_NTM, B869, , , "USD"), "")</f>
        <v/>
      </c>
      <c r="O869" s="13">
        <f>IFERROR(M869/N869, "")</f>
        <v/>
      </c>
    </row>
    <row r="870">
      <c r="B870" s="8" t="n"/>
      <c r="C870" s="9">
        <f>IFERROR(_xll.ciqfunctions.udf.CIQ(mh_ticker, "IQ_LASTSALEPRICE", B870), "")</f>
        <v/>
      </c>
      <c r="D870" s="10">
        <f>IFERROR(_xll.ciqfunctions.udf.CIQ(mh_ticker, "IQ_SHARESOUTSTANDING_OUT", B870), "")</f>
        <v/>
      </c>
      <c r="E870" s="11">
        <f>IFERROR(_xll.ciqfunctions.udf.CIQ(mh_ticker, "IQ_CASH_EQUIV", , B870), "")</f>
        <v/>
      </c>
      <c r="F870" s="11">
        <f>IFERROR(_xll.ciqfunctions.udf.CIQ(mh_ticker, "IQ_ST_INVEST", , B870), "")</f>
        <v/>
      </c>
      <c r="G870" s="11">
        <f>IFERROR(_xll.ciqfunctions.udf.CIQ(mh_ticker, "IQ_TOTAL_DEBT_EXCL_OPER_LEASES", , B870), "")</f>
        <v/>
      </c>
      <c r="H870" s="11">
        <f>IFERROR(_xll.ciqfunctions.udf.CIQ(mh_ticker, "IQ_PREF_EQUITY", , B870), "")</f>
        <v/>
      </c>
      <c r="I870" s="11">
        <f>IFERROR(_xll.ciqfunctions.udf.CIQ(mh_ticker, "IQ_MINORITY_INTEREST", , B870), "")</f>
        <v/>
      </c>
      <c r="J870" s="11">
        <f>IFERROR(_xll.ciqfunctions.udf.CIQ(mh_ticker, "IQ_EQUITY_METHOD", , B870), "")</f>
        <v/>
      </c>
      <c r="K870" s="11">
        <f>IFERROR(_xll.ciqfunctions.udf.CIQ(mh_ticker, "IQ_LT_Mark_Securities", , B870), "")</f>
        <v/>
      </c>
      <c r="L870" s="12">
        <f>IFERROR(C870*D870, "")</f>
        <v/>
      </c>
      <c r="M870" s="12">
        <f>IFERROR(L870-E870-F870+G870+H870+I870-J870-K870, "")</f>
        <v/>
      </c>
      <c r="N870" s="11">
        <f>IFERROR(_xll.ciqfunctions.udf.CIQ(mh_ticker, "IQ_EBITDA_EST", IQ_NTM, B870, , , "USD"), "")</f>
        <v/>
      </c>
      <c r="O870" s="13">
        <f>IFERROR(M870/N870, "")</f>
        <v/>
      </c>
    </row>
    <row r="871">
      <c r="B871" s="8" t="n"/>
      <c r="C871" s="9">
        <f>IFERROR(_xll.ciqfunctions.udf.CIQ(mh_ticker, "IQ_LASTSALEPRICE", B871), "")</f>
        <v/>
      </c>
      <c r="D871" s="10">
        <f>IFERROR(_xll.ciqfunctions.udf.CIQ(mh_ticker, "IQ_SHARESOUTSTANDING_OUT", B871), "")</f>
        <v/>
      </c>
      <c r="E871" s="11">
        <f>IFERROR(_xll.ciqfunctions.udf.CIQ(mh_ticker, "IQ_CASH_EQUIV", , B871), "")</f>
        <v/>
      </c>
      <c r="F871" s="11">
        <f>IFERROR(_xll.ciqfunctions.udf.CIQ(mh_ticker, "IQ_ST_INVEST", , B871), "")</f>
        <v/>
      </c>
      <c r="G871" s="11">
        <f>IFERROR(_xll.ciqfunctions.udf.CIQ(mh_ticker, "IQ_TOTAL_DEBT_EXCL_OPER_LEASES", , B871), "")</f>
        <v/>
      </c>
      <c r="H871" s="11">
        <f>IFERROR(_xll.ciqfunctions.udf.CIQ(mh_ticker, "IQ_PREF_EQUITY", , B871), "")</f>
        <v/>
      </c>
      <c r="I871" s="11">
        <f>IFERROR(_xll.ciqfunctions.udf.CIQ(mh_ticker, "IQ_MINORITY_INTEREST", , B871), "")</f>
        <v/>
      </c>
      <c r="J871" s="11">
        <f>IFERROR(_xll.ciqfunctions.udf.CIQ(mh_ticker, "IQ_EQUITY_METHOD", , B871), "")</f>
        <v/>
      </c>
      <c r="K871" s="11">
        <f>IFERROR(_xll.ciqfunctions.udf.CIQ(mh_ticker, "IQ_LT_Mark_Securities", , B871), "")</f>
        <v/>
      </c>
      <c r="L871" s="12">
        <f>IFERROR(C871*D871, "")</f>
        <v/>
      </c>
      <c r="M871" s="12">
        <f>IFERROR(L871-E871-F871+G871+H871+I871-J871-K871, "")</f>
        <v/>
      </c>
      <c r="N871" s="11">
        <f>IFERROR(_xll.ciqfunctions.udf.CIQ(mh_ticker, "IQ_EBITDA_EST", IQ_NTM, B871, , , "USD"), "")</f>
        <v/>
      </c>
      <c r="O871" s="13">
        <f>IFERROR(M871/N871, "")</f>
        <v/>
      </c>
    </row>
    <row r="872">
      <c r="B872" s="8" t="n"/>
      <c r="C872" s="9">
        <f>IFERROR(_xll.ciqfunctions.udf.CIQ(mh_ticker, "IQ_LASTSALEPRICE", B872), "")</f>
        <v/>
      </c>
      <c r="D872" s="10">
        <f>IFERROR(_xll.ciqfunctions.udf.CIQ(mh_ticker, "IQ_SHARESOUTSTANDING_OUT", B872), "")</f>
        <v/>
      </c>
      <c r="E872" s="11">
        <f>IFERROR(_xll.ciqfunctions.udf.CIQ(mh_ticker, "IQ_CASH_EQUIV", , B872), "")</f>
        <v/>
      </c>
      <c r="F872" s="11">
        <f>IFERROR(_xll.ciqfunctions.udf.CIQ(mh_ticker, "IQ_ST_INVEST", , B872), "")</f>
        <v/>
      </c>
      <c r="G872" s="11">
        <f>IFERROR(_xll.ciqfunctions.udf.CIQ(mh_ticker, "IQ_TOTAL_DEBT_EXCL_OPER_LEASES", , B872), "")</f>
        <v/>
      </c>
      <c r="H872" s="11">
        <f>IFERROR(_xll.ciqfunctions.udf.CIQ(mh_ticker, "IQ_PREF_EQUITY", , B872), "")</f>
        <v/>
      </c>
      <c r="I872" s="11">
        <f>IFERROR(_xll.ciqfunctions.udf.CIQ(mh_ticker, "IQ_MINORITY_INTEREST", , B872), "")</f>
        <v/>
      </c>
      <c r="J872" s="11">
        <f>IFERROR(_xll.ciqfunctions.udf.CIQ(mh_ticker, "IQ_EQUITY_METHOD", , B872), "")</f>
        <v/>
      </c>
      <c r="K872" s="11">
        <f>IFERROR(_xll.ciqfunctions.udf.CIQ(mh_ticker, "IQ_LT_Mark_Securities", , B872), "")</f>
        <v/>
      </c>
      <c r="L872" s="12">
        <f>IFERROR(C872*D872, "")</f>
        <v/>
      </c>
      <c r="M872" s="12">
        <f>IFERROR(L872-E872-F872+G872+H872+I872-J872-K872, "")</f>
        <v/>
      </c>
      <c r="N872" s="11">
        <f>IFERROR(_xll.ciqfunctions.udf.CIQ(mh_ticker, "IQ_EBITDA_EST", IQ_NTM, B872, , , "USD"), "")</f>
        <v/>
      </c>
      <c r="O872" s="13">
        <f>IFERROR(M872/N872, "")</f>
        <v/>
      </c>
    </row>
    <row r="873">
      <c r="B873" s="8" t="n"/>
      <c r="C873" s="9">
        <f>IFERROR(_xll.ciqfunctions.udf.CIQ(mh_ticker, "IQ_LASTSALEPRICE", B873), "")</f>
        <v/>
      </c>
      <c r="D873" s="10">
        <f>IFERROR(_xll.ciqfunctions.udf.CIQ(mh_ticker, "IQ_SHARESOUTSTANDING_OUT", B873), "")</f>
        <v/>
      </c>
      <c r="E873" s="11">
        <f>IFERROR(_xll.ciqfunctions.udf.CIQ(mh_ticker, "IQ_CASH_EQUIV", , B873), "")</f>
        <v/>
      </c>
      <c r="F873" s="11">
        <f>IFERROR(_xll.ciqfunctions.udf.CIQ(mh_ticker, "IQ_ST_INVEST", , B873), "")</f>
        <v/>
      </c>
      <c r="G873" s="11">
        <f>IFERROR(_xll.ciqfunctions.udf.CIQ(mh_ticker, "IQ_TOTAL_DEBT_EXCL_OPER_LEASES", , B873), "")</f>
        <v/>
      </c>
      <c r="H873" s="11">
        <f>IFERROR(_xll.ciqfunctions.udf.CIQ(mh_ticker, "IQ_PREF_EQUITY", , B873), "")</f>
        <v/>
      </c>
      <c r="I873" s="11">
        <f>IFERROR(_xll.ciqfunctions.udf.CIQ(mh_ticker, "IQ_MINORITY_INTEREST", , B873), "")</f>
        <v/>
      </c>
      <c r="J873" s="11">
        <f>IFERROR(_xll.ciqfunctions.udf.CIQ(mh_ticker, "IQ_EQUITY_METHOD", , B873), "")</f>
        <v/>
      </c>
      <c r="K873" s="11">
        <f>IFERROR(_xll.ciqfunctions.udf.CIQ(mh_ticker, "IQ_LT_Mark_Securities", , B873), "")</f>
        <v/>
      </c>
      <c r="L873" s="12">
        <f>IFERROR(C873*D873, "")</f>
        <v/>
      </c>
      <c r="M873" s="12">
        <f>IFERROR(L873-E873-F873+G873+H873+I873-J873-K873, "")</f>
        <v/>
      </c>
      <c r="N873" s="11">
        <f>IFERROR(_xll.ciqfunctions.udf.CIQ(mh_ticker, "IQ_EBITDA_EST", IQ_NTM, B873, , , "USD"), "")</f>
        <v/>
      </c>
      <c r="O873" s="13">
        <f>IFERROR(M873/N873, "")</f>
        <v/>
      </c>
    </row>
    <row r="874">
      <c r="B874" s="8" t="n"/>
      <c r="C874" s="9">
        <f>IFERROR(_xll.ciqfunctions.udf.CIQ(mh_ticker, "IQ_LASTSALEPRICE", B874), "")</f>
        <v/>
      </c>
      <c r="D874" s="10">
        <f>IFERROR(_xll.ciqfunctions.udf.CIQ(mh_ticker, "IQ_SHARESOUTSTANDING_OUT", B874), "")</f>
        <v/>
      </c>
      <c r="E874" s="11">
        <f>IFERROR(_xll.ciqfunctions.udf.CIQ(mh_ticker, "IQ_CASH_EQUIV", , B874), "")</f>
        <v/>
      </c>
      <c r="F874" s="11">
        <f>IFERROR(_xll.ciqfunctions.udf.CIQ(mh_ticker, "IQ_ST_INVEST", , B874), "")</f>
        <v/>
      </c>
      <c r="G874" s="11">
        <f>IFERROR(_xll.ciqfunctions.udf.CIQ(mh_ticker, "IQ_TOTAL_DEBT_EXCL_OPER_LEASES", , B874), "")</f>
        <v/>
      </c>
      <c r="H874" s="11">
        <f>IFERROR(_xll.ciqfunctions.udf.CIQ(mh_ticker, "IQ_PREF_EQUITY", , B874), "")</f>
        <v/>
      </c>
      <c r="I874" s="11">
        <f>IFERROR(_xll.ciqfunctions.udf.CIQ(mh_ticker, "IQ_MINORITY_INTEREST", , B874), "")</f>
        <v/>
      </c>
      <c r="J874" s="11">
        <f>IFERROR(_xll.ciqfunctions.udf.CIQ(mh_ticker, "IQ_EQUITY_METHOD", , B874), "")</f>
        <v/>
      </c>
      <c r="K874" s="11">
        <f>IFERROR(_xll.ciqfunctions.udf.CIQ(mh_ticker, "IQ_LT_Mark_Securities", , B874), "")</f>
        <v/>
      </c>
      <c r="L874" s="12">
        <f>IFERROR(C874*D874, "")</f>
        <v/>
      </c>
      <c r="M874" s="12">
        <f>IFERROR(L874-E874-F874+G874+H874+I874-J874-K874, "")</f>
        <v/>
      </c>
      <c r="N874" s="11">
        <f>IFERROR(_xll.ciqfunctions.udf.CIQ(mh_ticker, "IQ_EBITDA_EST", IQ_NTM, B874, , , "USD"), "")</f>
        <v/>
      </c>
      <c r="O874" s="13">
        <f>IFERROR(M874/N874, "")</f>
        <v/>
      </c>
    </row>
    <row r="875">
      <c r="B875" s="8" t="n"/>
      <c r="C875" s="9">
        <f>IFERROR(_xll.ciqfunctions.udf.CIQ(mh_ticker, "IQ_LASTSALEPRICE", B875), "")</f>
        <v/>
      </c>
      <c r="D875" s="10">
        <f>IFERROR(_xll.ciqfunctions.udf.CIQ(mh_ticker, "IQ_SHARESOUTSTANDING_OUT", B875), "")</f>
        <v/>
      </c>
      <c r="E875" s="11">
        <f>IFERROR(_xll.ciqfunctions.udf.CIQ(mh_ticker, "IQ_CASH_EQUIV", , B875), "")</f>
        <v/>
      </c>
      <c r="F875" s="11">
        <f>IFERROR(_xll.ciqfunctions.udf.CIQ(mh_ticker, "IQ_ST_INVEST", , B875), "")</f>
        <v/>
      </c>
      <c r="G875" s="11">
        <f>IFERROR(_xll.ciqfunctions.udf.CIQ(mh_ticker, "IQ_TOTAL_DEBT_EXCL_OPER_LEASES", , B875), "")</f>
        <v/>
      </c>
      <c r="H875" s="11">
        <f>IFERROR(_xll.ciqfunctions.udf.CIQ(mh_ticker, "IQ_PREF_EQUITY", , B875), "")</f>
        <v/>
      </c>
      <c r="I875" s="11">
        <f>IFERROR(_xll.ciqfunctions.udf.CIQ(mh_ticker, "IQ_MINORITY_INTEREST", , B875), "")</f>
        <v/>
      </c>
      <c r="J875" s="11">
        <f>IFERROR(_xll.ciqfunctions.udf.CIQ(mh_ticker, "IQ_EQUITY_METHOD", , B875), "")</f>
        <v/>
      </c>
      <c r="K875" s="11">
        <f>IFERROR(_xll.ciqfunctions.udf.CIQ(mh_ticker, "IQ_LT_Mark_Securities", , B875), "")</f>
        <v/>
      </c>
      <c r="L875" s="12">
        <f>IFERROR(C875*D875, "")</f>
        <v/>
      </c>
      <c r="M875" s="12">
        <f>IFERROR(L875-E875-F875+G875+H875+I875-J875-K875, "")</f>
        <v/>
      </c>
      <c r="N875" s="11">
        <f>IFERROR(_xll.ciqfunctions.udf.CIQ(mh_ticker, "IQ_EBITDA_EST", IQ_NTM, B875, , , "USD"), "")</f>
        <v/>
      </c>
      <c r="O875" s="13">
        <f>IFERROR(M875/N875, "")</f>
        <v/>
      </c>
    </row>
    <row r="876">
      <c r="B876" s="8" t="n"/>
      <c r="C876" s="9">
        <f>IFERROR(_xll.ciqfunctions.udf.CIQ(mh_ticker, "IQ_LASTSALEPRICE", B876), "")</f>
        <v/>
      </c>
      <c r="D876" s="10">
        <f>IFERROR(_xll.ciqfunctions.udf.CIQ(mh_ticker, "IQ_SHARESOUTSTANDING_OUT", B876), "")</f>
        <v/>
      </c>
      <c r="E876" s="11">
        <f>IFERROR(_xll.ciqfunctions.udf.CIQ(mh_ticker, "IQ_CASH_EQUIV", , B876), "")</f>
        <v/>
      </c>
      <c r="F876" s="11">
        <f>IFERROR(_xll.ciqfunctions.udf.CIQ(mh_ticker, "IQ_ST_INVEST", , B876), "")</f>
        <v/>
      </c>
      <c r="G876" s="11">
        <f>IFERROR(_xll.ciqfunctions.udf.CIQ(mh_ticker, "IQ_TOTAL_DEBT_EXCL_OPER_LEASES", , B876), "")</f>
        <v/>
      </c>
      <c r="H876" s="11">
        <f>IFERROR(_xll.ciqfunctions.udf.CIQ(mh_ticker, "IQ_PREF_EQUITY", , B876), "")</f>
        <v/>
      </c>
      <c r="I876" s="11">
        <f>IFERROR(_xll.ciqfunctions.udf.CIQ(mh_ticker, "IQ_MINORITY_INTEREST", , B876), "")</f>
        <v/>
      </c>
      <c r="J876" s="11">
        <f>IFERROR(_xll.ciqfunctions.udf.CIQ(mh_ticker, "IQ_EQUITY_METHOD", , B876), "")</f>
        <v/>
      </c>
      <c r="K876" s="11">
        <f>IFERROR(_xll.ciqfunctions.udf.CIQ(mh_ticker, "IQ_LT_Mark_Securities", , B876), "")</f>
        <v/>
      </c>
      <c r="L876" s="12">
        <f>IFERROR(C876*D876, "")</f>
        <v/>
      </c>
      <c r="M876" s="12">
        <f>IFERROR(L876-E876-F876+G876+H876+I876-J876-K876, "")</f>
        <v/>
      </c>
      <c r="N876" s="11">
        <f>IFERROR(_xll.ciqfunctions.udf.CIQ(mh_ticker, "IQ_EBITDA_EST", IQ_NTM, B876, , , "USD"), "")</f>
        <v/>
      </c>
      <c r="O876" s="13">
        <f>IFERROR(M876/N876, "")</f>
        <v/>
      </c>
    </row>
    <row r="877">
      <c r="B877" s="8" t="n"/>
      <c r="C877" s="9">
        <f>IFERROR(_xll.ciqfunctions.udf.CIQ(mh_ticker, "IQ_LASTSALEPRICE", B877), "")</f>
        <v/>
      </c>
      <c r="D877" s="10">
        <f>IFERROR(_xll.ciqfunctions.udf.CIQ(mh_ticker, "IQ_SHARESOUTSTANDING_OUT", B877), "")</f>
        <v/>
      </c>
      <c r="E877" s="11">
        <f>IFERROR(_xll.ciqfunctions.udf.CIQ(mh_ticker, "IQ_CASH_EQUIV", , B877), "")</f>
        <v/>
      </c>
      <c r="F877" s="11">
        <f>IFERROR(_xll.ciqfunctions.udf.CIQ(mh_ticker, "IQ_ST_INVEST", , B877), "")</f>
        <v/>
      </c>
      <c r="G877" s="11">
        <f>IFERROR(_xll.ciqfunctions.udf.CIQ(mh_ticker, "IQ_TOTAL_DEBT_EXCL_OPER_LEASES", , B877), "")</f>
        <v/>
      </c>
      <c r="H877" s="11">
        <f>IFERROR(_xll.ciqfunctions.udf.CIQ(mh_ticker, "IQ_PREF_EQUITY", , B877), "")</f>
        <v/>
      </c>
      <c r="I877" s="11">
        <f>IFERROR(_xll.ciqfunctions.udf.CIQ(mh_ticker, "IQ_MINORITY_INTEREST", , B877), "")</f>
        <v/>
      </c>
      <c r="J877" s="11">
        <f>IFERROR(_xll.ciqfunctions.udf.CIQ(mh_ticker, "IQ_EQUITY_METHOD", , B877), "")</f>
        <v/>
      </c>
      <c r="K877" s="11">
        <f>IFERROR(_xll.ciqfunctions.udf.CIQ(mh_ticker, "IQ_LT_Mark_Securities", , B877), "")</f>
        <v/>
      </c>
      <c r="L877" s="12">
        <f>IFERROR(C877*D877, "")</f>
        <v/>
      </c>
      <c r="M877" s="12">
        <f>IFERROR(L877-E877-F877+G877+H877+I877-J877-K877, "")</f>
        <v/>
      </c>
      <c r="N877" s="11">
        <f>IFERROR(_xll.ciqfunctions.udf.CIQ(mh_ticker, "IQ_EBITDA_EST", IQ_NTM, B877, , , "USD"), "")</f>
        <v/>
      </c>
      <c r="O877" s="13">
        <f>IFERROR(M877/N877, "")</f>
        <v/>
      </c>
    </row>
    <row r="878">
      <c r="B878" s="8" t="n"/>
      <c r="C878" s="9">
        <f>IFERROR(_xll.ciqfunctions.udf.CIQ(mh_ticker, "IQ_LASTSALEPRICE", B878), "")</f>
        <v/>
      </c>
      <c r="D878" s="10">
        <f>IFERROR(_xll.ciqfunctions.udf.CIQ(mh_ticker, "IQ_SHARESOUTSTANDING_OUT", B878), "")</f>
        <v/>
      </c>
      <c r="E878" s="11">
        <f>IFERROR(_xll.ciqfunctions.udf.CIQ(mh_ticker, "IQ_CASH_EQUIV", , B878), "")</f>
        <v/>
      </c>
      <c r="F878" s="11">
        <f>IFERROR(_xll.ciqfunctions.udf.CIQ(mh_ticker, "IQ_ST_INVEST", , B878), "")</f>
        <v/>
      </c>
      <c r="G878" s="11">
        <f>IFERROR(_xll.ciqfunctions.udf.CIQ(mh_ticker, "IQ_TOTAL_DEBT_EXCL_OPER_LEASES", , B878), "")</f>
        <v/>
      </c>
      <c r="H878" s="11">
        <f>IFERROR(_xll.ciqfunctions.udf.CIQ(mh_ticker, "IQ_PREF_EQUITY", , B878), "")</f>
        <v/>
      </c>
      <c r="I878" s="11">
        <f>IFERROR(_xll.ciqfunctions.udf.CIQ(mh_ticker, "IQ_MINORITY_INTEREST", , B878), "")</f>
        <v/>
      </c>
      <c r="J878" s="11">
        <f>IFERROR(_xll.ciqfunctions.udf.CIQ(mh_ticker, "IQ_EQUITY_METHOD", , B878), "")</f>
        <v/>
      </c>
      <c r="K878" s="11">
        <f>IFERROR(_xll.ciqfunctions.udf.CIQ(mh_ticker, "IQ_LT_Mark_Securities", , B878), "")</f>
        <v/>
      </c>
      <c r="L878" s="12">
        <f>IFERROR(C878*D878, "")</f>
        <v/>
      </c>
      <c r="M878" s="12">
        <f>IFERROR(L878-E878-F878+G878+H878+I878-J878-K878, "")</f>
        <v/>
      </c>
      <c r="N878" s="11">
        <f>IFERROR(_xll.ciqfunctions.udf.CIQ(mh_ticker, "IQ_EBITDA_EST", IQ_NTM, B878, , , "USD"), "")</f>
        <v/>
      </c>
      <c r="O878" s="13">
        <f>IFERROR(M878/N878, "")</f>
        <v/>
      </c>
    </row>
    <row r="879">
      <c r="B879" s="8" t="n"/>
      <c r="C879" s="9">
        <f>IFERROR(_xll.ciqfunctions.udf.CIQ(mh_ticker, "IQ_LASTSALEPRICE", B879), "")</f>
        <v/>
      </c>
      <c r="D879" s="10">
        <f>IFERROR(_xll.ciqfunctions.udf.CIQ(mh_ticker, "IQ_SHARESOUTSTANDING_OUT", B879), "")</f>
        <v/>
      </c>
      <c r="E879" s="11">
        <f>IFERROR(_xll.ciqfunctions.udf.CIQ(mh_ticker, "IQ_CASH_EQUIV", , B879), "")</f>
        <v/>
      </c>
      <c r="F879" s="11">
        <f>IFERROR(_xll.ciqfunctions.udf.CIQ(mh_ticker, "IQ_ST_INVEST", , B879), "")</f>
        <v/>
      </c>
      <c r="G879" s="11">
        <f>IFERROR(_xll.ciqfunctions.udf.CIQ(mh_ticker, "IQ_TOTAL_DEBT_EXCL_OPER_LEASES", , B879), "")</f>
        <v/>
      </c>
      <c r="H879" s="11">
        <f>IFERROR(_xll.ciqfunctions.udf.CIQ(mh_ticker, "IQ_PREF_EQUITY", , B879), "")</f>
        <v/>
      </c>
      <c r="I879" s="11">
        <f>IFERROR(_xll.ciqfunctions.udf.CIQ(mh_ticker, "IQ_MINORITY_INTEREST", , B879), "")</f>
        <v/>
      </c>
      <c r="J879" s="11">
        <f>IFERROR(_xll.ciqfunctions.udf.CIQ(mh_ticker, "IQ_EQUITY_METHOD", , B879), "")</f>
        <v/>
      </c>
      <c r="K879" s="11">
        <f>IFERROR(_xll.ciqfunctions.udf.CIQ(mh_ticker, "IQ_LT_Mark_Securities", , B879), "")</f>
        <v/>
      </c>
      <c r="L879" s="12">
        <f>IFERROR(C879*D879, "")</f>
        <v/>
      </c>
      <c r="M879" s="12">
        <f>IFERROR(L879-E879-F879+G879+H879+I879-J879-K879, "")</f>
        <v/>
      </c>
      <c r="N879" s="11">
        <f>IFERROR(_xll.ciqfunctions.udf.CIQ(mh_ticker, "IQ_EBITDA_EST", IQ_NTM, B879, , , "USD"), "")</f>
        <v/>
      </c>
      <c r="O879" s="13">
        <f>IFERROR(M879/N879, "")</f>
        <v/>
      </c>
    </row>
    <row r="880">
      <c r="B880" s="8" t="n"/>
      <c r="C880" s="9">
        <f>IFERROR(_xll.ciqfunctions.udf.CIQ(mh_ticker, "IQ_LASTSALEPRICE", B880), "")</f>
        <v/>
      </c>
      <c r="D880" s="10">
        <f>IFERROR(_xll.ciqfunctions.udf.CIQ(mh_ticker, "IQ_SHARESOUTSTANDING_OUT", B880), "")</f>
        <v/>
      </c>
      <c r="E880" s="11">
        <f>IFERROR(_xll.ciqfunctions.udf.CIQ(mh_ticker, "IQ_CASH_EQUIV", , B880), "")</f>
        <v/>
      </c>
      <c r="F880" s="11">
        <f>IFERROR(_xll.ciqfunctions.udf.CIQ(mh_ticker, "IQ_ST_INVEST", , B880), "")</f>
        <v/>
      </c>
      <c r="G880" s="11">
        <f>IFERROR(_xll.ciqfunctions.udf.CIQ(mh_ticker, "IQ_TOTAL_DEBT_EXCL_OPER_LEASES", , B880), "")</f>
        <v/>
      </c>
      <c r="H880" s="11">
        <f>IFERROR(_xll.ciqfunctions.udf.CIQ(mh_ticker, "IQ_PREF_EQUITY", , B880), "")</f>
        <v/>
      </c>
      <c r="I880" s="11">
        <f>IFERROR(_xll.ciqfunctions.udf.CIQ(mh_ticker, "IQ_MINORITY_INTEREST", , B880), "")</f>
        <v/>
      </c>
      <c r="J880" s="11">
        <f>IFERROR(_xll.ciqfunctions.udf.CIQ(mh_ticker, "IQ_EQUITY_METHOD", , B880), "")</f>
        <v/>
      </c>
      <c r="K880" s="11">
        <f>IFERROR(_xll.ciqfunctions.udf.CIQ(mh_ticker, "IQ_LT_Mark_Securities", , B880), "")</f>
        <v/>
      </c>
      <c r="L880" s="12">
        <f>IFERROR(C880*D880, "")</f>
        <v/>
      </c>
      <c r="M880" s="12">
        <f>IFERROR(L880-E880-F880+G880+H880+I880-J880-K880, "")</f>
        <v/>
      </c>
      <c r="N880" s="11">
        <f>IFERROR(_xll.ciqfunctions.udf.CIQ(mh_ticker, "IQ_EBITDA_EST", IQ_NTM, B880, , , "USD"), "")</f>
        <v/>
      </c>
      <c r="O880" s="13">
        <f>IFERROR(M880/N880, "")</f>
        <v/>
      </c>
    </row>
    <row r="881">
      <c r="B881" s="8" t="n"/>
      <c r="C881" s="9">
        <f>IFERROR(_xll.ciqfunctions.udf.CIQ(mh_ticker, "IQ_LASTSALEPRICE", B881), "")</f>
        <v/>
      </c>
      <c r="D881" s="10">
        <f>IFERROR(_xll.ciqfunctions.udf.CIQ(mh_ticker, "IQ_SHARESOUTSTANDING_OUT", B881), "")</f>
        <v/>
      </c>
      <c r="E881" s="11">
        <f>IFERROR(_xll.ciqfunctions.udf.CIQ(mh_ticker, "IQ_CASH_EQUIV", , B881), "")</f>
        <v/>
      </c>
      <c r="F881" s="11">
        <f>IFERROR(_xll.ciqfunctions.udf.CIQ(mh_ticker, "IQ_ST_INVEST", , B881), "")</f>
        <v/>
      </c>
      <c r="G881" s="11">
        <f>IFERROR(_xll.ciqfunctions.udf.CIQ(mh_ticker, "IQ_TOTAL_DEBT_EXCL_OPER_LEASES", , B881), "")</f>
        <v/>
      </c>
      <c r="H881" s="11">
        <f>IFERROR(_xll.ciqfunctions.udf.CIQ(mh_ticker, "IQ_PREF_EQUITY", , B881), "")</f>
        <v/>
      </c>
      <c r="I881" s="11">
        <f>IFERROR(_xll.ciqfunctions.udf.CIQ(mh_ticker, "IQ_MINORITY_INTEREST", , B881), "")</f>
        <v/>
      </c>
      <c r="J881" s="11">
        <f>IFERROR(_xll.ciqfunctions.udf.CIQ(mh_ticker, "IQ_EQUITY_METHOD", , B881), "")</f>
        <v/>
      </c>
      <c r="K881" s="11">
        <f>IFERROR(_xll.ciqfunctions.udf.CIQ(mh_ticker, "IQ_LT_Mark_Securities", , B881), "")</f>
        <v/>
      </c>
      <c r="L881" s="12">
        <f>IFERROR(C881*D881, "")</f>
        <v/>
      </c>
      <c r="M881" s="12">
        <f>IFERROR(L881-E881-F881+G881+H881+I881-J881-K881, "")</f>
        <v/>
      </c>
      <c r="N881" s="11">
        <f>IFERROR(_xll.ciqfunctions.udf.CIQ(mh_ticker, "IQ_EBITDA_EST", IQ_NTM, B881, , , "USD"), "")</f>
        <v/>
      </c>
      <c r="O881" s="13">
        <f>IFERROR(M881/N881, "")</f>
        <v/>
      </c>
    </row>
    <row r="882">
      <c r="B882" s="8" t="n"/>
      <c r="C882" s="9">
        <f>IFERROR(_xll.ciqfunctions.udf.CIQ(mh_ticker, "IQ_LASTSALEPRICE", B882), "")</f>
        <v/>
      </c>
      <c r="D882" s="10">
        <f>IFERROR(_xll.ciqfunctions.udf.CIQ(mh_ticker, "IQ_SHARESOUTSTANDING_OUT", B882), "")</f>
        <v/>
      </c>
      <c r="E882" s="11">
        <f>IFERROR(_xll.ciqfunctions.udf.CIQ(mh_ticker, "IQ_CASH_EQUIV", , B882), "")</f>
        <v/>
      </c>
      <c r="F882" s="11">
        <f>IFERROR(_xll.ciqfunctions.udf.CIQ(mh_ticker, "IQ_ST_INVEST", , B882), "")</f>
        <v/>
      </c>
      <c r="G882" s="11">
        <f>IFERROR(_xll.ciqfunctions.udf.CIQ(mh_ticker, "IQ_TOTAL_DEBT_EXCL_OPER_LEASES", , B882), "")</f>
        <v/>
      </c>
      <c r="H882" s="11">
        <f>IFERROR(_xll.ciqfunctions.udf.CIQ(mh_ticker, "IQ_PREF_EQUITY", , B882), "")</f>
        <v/>
      </c>
      <c r="I882" s="11">
        <f>IFERROR(_xll.ciqfunctions.udf.CIQ(mh_ticker, "IQ_MINORITY_INTEREST", , B882), "")</f>
        <v/>
      </c>
      <c r="J882" s="11">
        <f>IFERROR(_xll.ciqfunctions.udf.CIQ(mh_ticker, "IQ_EQUITY_METHOD", , B882), "")</f>
        <v/>
      </c>
      <c r="K882" s="11">
        <f>IFERROR(_xll.ciqfunctions.udf.CIQ(mh_ticker, "IQ_LT_Mark_Securities", , B882), "")</f>
        <v/>
      </c>
      <c r="L882" s="12">
        <f>IFERROR(C882*D882, "")</f>
        <v/>
      </c>
      <c r="M882" s="12">
        <f>IFERROR(L882-E882-F882+G882+H882+I882-J882-K882, "")</f>
        <v/>
      </c>
      <c r="N882" s="11">
        <f>IFERROR(_xll.ciqfunctions.udf.CIQ(mh_ticker, "IQ_EBITDA_EST", IQ_NTM, B882, , , "USD"), "")</f>
        <v/>
      </c>
      <c r="O882" s="13">
        <f>IFERROR(M882/N882, "")</f>
        <v/>
      </c>
    </row>
    <row r="883">
      <c r="B883" s="8" t="n"/>
      <c r="C883" s="9">
        <f>IFERROR(_xll.ciqfunctions.udf.CIQ(mh_ticker, "IQ_LASTSALEPRICE", B883), "")</f>
        <v/>
      </c>
      <c r="D883" s="10">
        <f>IFERROR(_xll.ciqfunctions.udf.CIQ(mh_ticker, "IQ_SHARESOUTSTANDING_OUT", B883), "")</f>
        <v/>
      </c>
      <c r="E883" s="11">
        <f>IFERROR(_xll.ciqfunctions.udf.CIQ(mh_ticker, "IQ_CASH_EQUIV", , B883), "")</f>
        <v/>
      </c>
      <c r="F883" s="11">
        <f>IFERROR(_xll.ciqfunctions.udf.CIQ(mh_ticker, "IQ_ST_INVEST", , B883), "")</f>
        <v/>
      </c>
      <c r="G883" s="11">
        <f>IFERROR(_xll.ciqfunctions.udf.CIQ(mh_ticker, "IQ_TOTAL_DEBT_EXCL_OPER_LEASES", , B883), "")</f>
        <v/>
      </c>
      <c r="H883" s="11">
        <f>IFERROR(_xll.ciqfunctions.udf.CIQ(mh_ticker, "IQ_PREF_EQUITY", , B883), "")</f>
        <v/>
      </c>
      <c r="I883" s="11">
        <f>IFERROR(_xll.ciqfunctions.udf.CIQ(mh_ticker, "IQ_MINORITY_INTEREST", , B883), "")</f>
        <v/>
      </c>
      <c r="J883" s="11">
        <f>IFERROR(_xll.ciqfunctions.udf.CIQ(mh_ticker, "IQ_EQUITY_METHOD", , B883), "")</f>
        <v/>
      </c>
      <c r="K883" s="11">
        <f>IFERROR(_xll.ciqfunctions.udf.CIQ(mh_ticker, "IQ_LT_Mark_Securities", , B883), "")</f>
        <v/>
      </c>
      <c r="L883" s="12">
        <f>IFERROR(C883*D883, "")</f>
        <v/>
      </c>
      <c r="M883" s="12">
        <f>IFERROR(L883-E883-F883+G883+H883+I883-J883-K883, "")</f>
        <v/>
      </c>
      <c r="N883" s="11">
        <f>IFERROR(_xll.ciqfunctions.udf.CIQ(mh_ticker, "IQ_EBITDA_EST", IQ_NTM, B883, , , "USD"), "")</f>
        <v/>
      </c>
      <c r="O883" s="13">
        <f>IFERROR(M883/N883, "")</f>
        <v/>
      </c>
    </row>
    <row r="884">
      <c r="B884" s="8" t="n"/>
      <c r="C884" s="9">
        <f>IFERROR(_xll.ciqfunctions.udf.CIQ(mh_ticker, "IQ_LASTSALEPRICE", B884), "")</f>
        <v/>
      </c>
      <c r="D884" s="10">
        <f>IFERROR(_xll.ciqfunctions.udf.CIQ(mh_ticker, "IQ_SHARESOUTSTANDING_OUT", B884), "")</f>
        <v/>
      </c>
      <c r="E884" s="11">
        <f>IFERROR(_xll.ciqfunctions.udf.CIQ(mh_ticker, "IQ_CASH_EQUIV", , B884), "")</f>
        <v/>
      </c>
      <c r="F884" s="11">
        <f>IFERROR(_xll.ciqfunctions.udf.CIQ(mh_ticker, "IQ_ST_INVEST", , B884), "")</f>
        <v/>
      </c>
      <c r="G884" s="11">
        <f>IFERROR(_xll.ciqfunctions.udf.CIQ(mh_ticker, "IQ_TOTAL_DEBT_EXCL_OPER_LEASES", , B884), "")</f>
        <v/>
      </c>
      <c r="H884" s="11">
        <f>IFERROR(_xll.ciqfunctions.udf.CIQ(mh_ticker, "IQ_PREF_EQUITY", , B884), "")</f>
        <v/>
      </c>
      <c r="I884" s="11">
        <f>IFERROR(_xll.ciqfunctions.udf.CIQ(mh_ticker, "IQ_MINORITY_INTEREST", , B884), "")</f>
        <v/>
      </c>
      <c r="J884" s="11">
        <f>IFERROR(_xll.ciqfunctions.udf.CIQ(mh_ticker, "IQ_EQUITY_METHOD", , B884), "")</f>
        <v/>
      </c>
      <c r="K884" s="11">
        <f>IFERROR(_xll.ciqfunctions.udf.CIQ(mh_ticker, "IQ_LT_Mark_Securities", , B884), "")</f>
        <v/>
      </c>
      <c r="L884" s="12">
        <f>IFERROR(C884*D884, "")</f>
        <v/>
      </c>
      <c r="M884" s="12">
        <f>IFERROR(L884-E884-F884+G884+H884+I884-J884-K884, "")</f>
        <v/>
      </c>
      <c r="N884" s="11">
        <f>IFERROR(_xll.ciqfunctions.udf.CIQ(mh_ticker, "IQ_EBITDA_EST", IQ_NTM, B884, , , "USD"), "")</f>
        <v/>
      </c>
      <c r="O884" s="13">
        <f>IFERROR(M884/N884, "")</f>
        <v/>
      </c>
    </row>
    <row r="885">
      <c r="B885" s="8" t="n"/>
      <c r="C885" s="9">
        <f>IFERROR(_xll.ciqfunctions.udf.CIQ(mh_ticker, "IQ_LASTSALEPRICE", B885), "")</f>
        <v/>
      </c>
      <c r="D885" s="10">
        <f>IFERROR(_xll.ciqfunctions.udf.CIQ(mh_ticker, "IQ_SHARESOUTSTANDING_OUT", B885), "")</f>
        <v/>
      </c>
      <c r="E885" s="11">
        <f>IFERROR(_xll.ciqfunctions.udf.CIQ(mh_ticker, "IQ_CASH_EQUIV", , B885), "")</f>
        <v/>
      </c>
      <c r="F885" s="11">
        <f>IFERROR(_xll.ciqfunctions.udf.CIQ(mh_ticker, "IQ_ST_INVEST", , B885), "")</f>
        <v/>
      </c>
      <c r="G885" s="11">
        <f>IFERROR(_xll.ciqfunctions.udf.CIQ(mh_ticker, "IQ_TOTAL_DEBT_EXCL_OPER_LEASES", , B885), "")</f>
        <v/>
      </c>
      <c r="H885" s="11">
        <f>IFERROR(_xll.ciqfunctions.udf.CIQ(mh_ticker, "IQ_PREF_EQUITY", , B885), "")</f>
        <v/>
      </c>
      <c r="I885" s="11">
        <f>IFERROR(_xll.ciqfunctions.udf.CIQ(mh_ticker, "IQ_MINORITY_INTEREST", , B885), "")</f>
        <v/>
      </c>
      <c r="J885" s="11">
        <f>IFERROR(_xll.ciqfunctions.udf.CIQ(mh_ticker, "IQ_EQUITY_METHOD", , B885), "")</f>
        <v/>
      </c>
      <c r="K885" s="11">
        <f>IFERROR(_xll.ciqfunctions.udf.CIQ(mh_ticker, "IQ_LT_Mark_Securities", , B885), "")</f>
        <v/>
      </c>
      <c r="L885" s="12">
        <f>IFERROR(C885*D885, "")</f>
        <v/>
      </c>
      <c r="M885" s="12">
        <f>IFERROR(L885-E885-F885+G885+H885+I885-J885-K885, "")</f>
        <v/>
      </c>
      <c r="N885" s="11">
        <f>IFERROR(_xll.ciqfunctions.udf.CIQ(mh_ticker, "IQ_EBITDA_EST", IQ_NTM, B885, , , "USD"), "")</f>
        <v/>
      </c>
      <c r="O885" s="13">
        <f>IFERROR(M885/N885, "")</f>
        <v/>
      </c>
    </row>
    <row r="886">
      <c r="B886" s="8" t="n"/>
      <c r="C886" s="9">
        <f>IFERROR(_xll.ciqfunctions.udf.CIQ(mh_ticker, "IQ_LASTSALEPRICE", B886), "")</f>
        <v/>
      </c>
      <c r="D886" s="10">
        <f>IFERROR(_xll.ciqfunctions.udf.CIQ(mh_ticker, "IQ_SHARESOUTSTANDING_OUT", B886), "")</f>
        <v/>
      </c>
      <c r="E886" s="11">
        <f>IFERROR(_xll.ciqfunctions.udf.CIQ(mh_ticker, "IQ_CASH_EQUIV", , B886), "")</f>
        <v/>
      </c>
      <c r="F886" s="11">
        <f>IFERROR(_xll.ciqfunctions.udf.CIQ(mh_ticker, "IQ_ST_INVEST", , B886), "")</f>
        <v/>
      </c>
      <c r="G886" s="11">
        <f>IFERROR(_xll.ciqfunctions.udf.CIQ(mh_ticker, "IQ_TOTAL_DEBT_EXCL_OPER_LEASES", , B886), "")</f>
        <v/>
      </c>
      <c r="H886" s="11">
        <f>IFERROR(_xll.ciqfunctions.udf.CIQ(mh_ticker, "IQ_PREF_EQUITY", , B886), "")</f>
        <v/>
      </c>
      <c r="I886" s="11">
        <f>IFERROR(_xll.ciqfunctions.udf.CIQ(mh_ticker, "IQ_MINORITY_INTEREST", , B886), "")</f>
        <v/>
      </c>
      <c r="J886" s="11">
        <f>IFERROR(_xll.ciqfunctions.udf.CIQ(mh_ticker, "IQ_EQUITY_METHOD", , B886), "")</f>
        <v/>
      </c>
      <c r="K886" s="11">
        <f>IFERROR(_xll.ciqfunctions.udf.CIQ(mh_ticker, "IQ_LT_Mark_Securities", , B886), "")</f>
        <v/>
      </c>
      <c r="L886" s="12">
        <f>IFERROR(C886*D886, "")</f>
        <v/>
      </c>
      <c r="M886" s="12">
        <f>IFERROR(L886-E886-F886+G886+H886+I886-J886-K886, "")</f>
        <v/>
      </c>
      <c r="N886" s="11">
        <f>IFERROR(_xll.ciqfunctions.udf.CIQ(mh_ticker, "IQ_EBITDA_EST", IQ_NTM, B886, , , "USD"), "")</f>
        <v/>
      </c>
      <c r="O886" s="13">
        <f>IFERROR(M886/N886, "")</f>
        <v/>
      </c>
    </row>
    <row r="887">
      <c r="B887" s="8" t="n"/>
      <c r="C887" s="9">
        <f>IFERROR(_xll.ciqfunctions.udf.CIQ(mh_ticker, "IQ_LASTSALEPRICE", B887), "")</f>
        <v/>
      </c>
      <c r="D887" s="10">
        <f>IFERROR(_xll.ciqfunctions.udf.CIQ(mh_ticker, "IQ_SHARESOUTSTANDING_OUT", B887), "")</f>
        <v/>
      </c>
      <c r="E887" s="11">
        <f>IFERROR(_xll.ciqfunctions.udf.CIQ(mh_ticker, "IQ_CASH_EQUIV", , B887), "")</f>
        <v/>
      </c>
      <c r="F887" s="11">
        <f>IFERROR(_xll.ciqfunctions.udf.CIQ(mh_ticker, "IQ_ST_INVEST", , B887), "")</f>
        <v/>
      </c>
      <c r="G887" s="11">
        <f>IFERROR(_xll.ciqfunctions.udf.CIQ(mh_ticker, "IQ_TOTAL_DEBT_EXCL_OPER_LEASES", , B887), "")</f>
        <v/>
      </c>
      <c r="H887" s="11">
        <f>IFERROR(_xll.ciqfunctions.udf.CIQ(mh_ticker, "IQ_PREF_EQUITY", , B887), "")</f>
        <v/>
      </c>
      <c r="I887" s="11">
        <f>IFERROR(_xll.ciqfunctions.udf.CIQ(mh_ticker, "IQ_MINORITY_INTEREST", , B887), "")</f>
        <v/>
      </c>
      <c r="J887" s="11">
        <f>IFERROR(_xll.ciqfunctions.udf.CIQ(mh_ticker, "IQ_EQUITY_METHOD", , B887), "")</f>
        <v/>
      </c>
      <c r="K887" s="11">
        <f>IFERROR(_xll.ciqfunctions.udf.CIQ(mh_ticker, "IQ_LT_Mark_Securities", , B887), "")</f>
        <v/>
      </c>
      <c r="L887" s="12">
        <f>IFERROR(C887*D887, "")</f>
        <v/>
      </c>
      <c r="M887" s="12">
        <f>IFERROR(L887-E887-F887+G887+H887+I887-J887-K887, "")</f>
        <v/>
      </c>
      <c r="N887" s="11">
        <f>IFERROR(_xll.ciqfunctions.udf.CIQ(mh_ticker, "IQ_EBITDA_EST", IQ_NTM, B887, , , "USD"), "")</f>
        <v/>
      </c>
      <c r="O887" s="13">
        <f>IFERROR(M887/N887, "")</f>
        <v/>
      </c>
    </row>
    <row r="888">
      <c r="B888" s="8" t="n"/>
      <c r="C888" s="9">
        <f>IFERROR(_xll.ciqfunctions.udf.CIQ(mh_ticker, "IQ_LASTSALEPRICE", B888), "")</f>
        <v/>
      </c>
      <c r="D888" s="10">
        <f>IFERROR(_xll.ciqfunctions.udf.CIQ(mh_ticker, "IQ_SHARESOUTSTANDING_OUT", B888), "")</f>
        <v/>
      </c>
      <c r="E888" s="11">
        <f>IFERROR(_xll.ciqfunctions.udf.CIQ(mh_ticker, "IQ_CASH_EQUIV", , B888), "")</f>
        <v/>
      </c>
      <c r="F888" s="11">
        <f>IFERROR(_xll.ciqfunctions.udf.CIQ(mh_ticker, "IQ_ST_INVEST", , B888), "")</f>
        <v/>
      </c>
      <c r="G888" s="11">
        <f>IFERROR(_xll.ciqfunctions.udf.CIQ(mh_ticker, "IQ_TOTAL_DEBT_EXCL_OPER_LEASES", , B888), "")</f>
        <v/>
      </c>
      <c r="H888" s="11">
        <f>IFERROR(_xll.ciqfunctions.udf.CIQ(mh_ticker, "IQ_PREF_EQUITY", , B888), "")</f>
        <v/>
      </c>
      <c r="I888" s="11">
        <f>IFERROR(_xll.ciqfunctions.udf.CIQ(mh_ticker, "IQ_MINORITY_INTEREST", , B888), "")</f>
        <v/>
      </c>
      <c r="J888" s="11">
        <f>IFERROR(_xll.ciqfunctions.udf.CIQ(mh_ticker, "IQ_EQUITY_METHOD", , B888), "")</f>
        <v/>
      </c>
      <c r="K888" s="11">
        <f>IFERROR(_xll.ciqfunctions.udf.CIQ(mh_ticker, "IQ_LT_Mark_Securities", , B888), "")</f>
        <v/>
      </c>
      <c r="L888" s="12">
        <f>IFERROR(C888*D888, "")</f>
        <v/>
      </c>
      <c r="M888" s="12">
        <f>IFERROR(L888-E888-F888+G888+H888+I888-J888-K888, "")</f>
        <v/>
      </c>
      <c r="N888" s="11">
        <f>IFERROR(_xll.ciqfunctions.udf.CIQ(mh_ticker, "IQ_EBITDA_EST", IQ_NTM, B888, , , "USD"), "")</f>
        <v/>
      </c>
      <c r="O888" s="13">
        <f>IFERROR(M888/N888, "")</f>
        <v/>
      </c>
    </row>
    <row r="889">
      <c r="B889" s="8" t="n"/>
      <c r="C889" s="9">
        <f>IFERROR(_xll.ciqfunctions.udf.CIQ(mh_ticker, "IQ_LASTSALEPRICE", B889), "")</f>
        <v/>
      </c>
      <c r="D889" s="10">
        <f>IFERROR(_xll.ciqfunctions.udf.CIQ(mh_ticker, "IQ_SHARESOUTSTANDING_OUT", B889), "")</f>
        <v/>
      </c>
      <c r="E889" s="11">
        <f>IFERROR(_xll.ciqfunctions.udf.CIQ(mh_ticker, "IQ_CASH_EQUIV", , B889), "")</f>
        <v/>
      </c>
      <c r="F889" s="11">
        <f>IFERROR(_xll.ciqfunctions.udf.CIQ(mh_ticker, "IQ_ST_INVEST", , B889), "")</f>
        <v/>
      </c>
      <c r="G889" s="11">
        <f>IFERROR(_xll.ciqfunctions.udf.CIQ(mh_ticker, "IQ_TOTAL_DEBT_EXCL_OPER_LEASES", , B889), "")</f>
        <v/>
      </c>
      <c r="H889" s="11">
        <f>IFERROR(_xll.ciqfunctions.udf.CIQ(mh_ticker, "IQ_PREF_EQUITY", , B889), "")</f>
        <v/>
      </c>
      <c r="I889" s="11">
        <f>IFERROR(_xll.ciqfunctions.udf.CIQ(mh_ticker, "IQ_MINORITY_INTEREST", , B889), "")</f>
        <v/>
      </c>
      <c r="J889" s="11">
        <f>IFERROR(_xll.ciqfunctions.udf.CIQ(mh_ticker, "IQ_EQUITY_METHOD", , B889), "")</f>
        <v/>
      </c>
      <c r="K889" s="11">
        <f>IFERROR(_xll.ciqfunctions.udf.CIQ(mh_ticker, "IQ_LT_Mark_Securities", , B889), "")</f>
        <v/>
      </c>
      <c r="L889" s="12">
        <f>IFERROR(C889*D889, "")</f>
        <v/>
      </c>
      <c r="M889" s="12">
        <f>IFERROR(L889-E889-F889+G889+H889+I889-J889-K889, "")</f>
        <v/>
      </c>
      <c r="N889" s="11">
        <f>IFERROR(_xll.ciqfunctions.udf.CIQ(mh_ticker, "IQ_EBITDA_EST", IQ_NTM, B889, , , "USD"), "")</f>
        <v/>
      </c>
      <c r="O889" s="13">
        <f>IFERROR(M889/N889, "")</f>
        <v/>
      </c>
    </row>
    <row r="890">
      <c r="B890" s="8" t="n"/>
      <c r="C890" s="9">
        <f>IFERROR(_xll.ciqfunctions.udf.CIQ(mh_ticker, "IQ_LASTSALEPRICE", B890), "")</f>
        <v/>
      </c>
      <c r="D890" s="10">
        <f>IFERROR(_xll.ciqfunctions.udf.CIQ(mh_ticker, "IQ_SHARESOUTSTANDING_OUT", B890), "")</f>
        <v/>
      </c>
      <c r="E890" s="11">
        <f>IFERROR(_xll.ciqfunctions.udf.CIQ(mh_ticker, "IQ_CASH_EQUIV", , B890), "")</f>
        <v/>
      </c>
      <c r="F890" s="11">
        <f>IFERROR(_xll.ciqfunctions.udf.CIQ(mh_ticker, "IQ_ST_INVEST", , B890), "")</f>
        <v/>
      </c>
      <c r="G890" s="11">
        <f>IFERROR(_xll.ciqfunctions.udf.CIQ(mh_ticker, "IQ_TOTAL_DEBT_EXCL_OPER_LEASES", , B890), "")</f>
        <v/>
      </c>
      <c r="H890" s="11">
        <f>IFERROR(_xll.ciqfunctions.udf.CIQ(mh_ticker, "IQ_PREF_EQUITY", , B890), "")</f>
        <v/>
      </c>
      <c r="I890" s="11">
        <f>IFERROR(_xll.ciqfunctions.udf.CIQ(mh_ticker, "IQ_MINORITY_INTEREST", , B890), "")</f>
        <v/>
      </c>
      <c r="J890" s="11">
        <f>IFERROR(_xll.ciqfunctions.udf.CIQ(mh_ticker, "IQ_EQUITY_METHOD", , B890), "")</f>
        <v/>
      </c>
      <c r="K890" s="11">
        <f>IFERROR(_xll.ciqfunctions.udf.CIQ(mh_ticker, "IQ_LT_Mark_Securities", , B890), "")</f>
        <v/>
      </c>
      <c r="L890" s="12">
        <f>IFERROR(C890*D890, "")</f>
        <v/>
      </c>
      <c r="M890" s="12">
        <f>IFERROR(L890-E890-F890+G890+H890+I890-J890-K890, "")</f>
        <v/>
      </c>
      <c r="N890" s="11">
        <f>IFERROR(_xll.ciqfunctions.udf.CIQ(mh_ticker, "IQ_EBITDA_EST", IQ_NTM, B890, , , "USD"), "")</f>
        <v/>
      </c>
      <c r="O890" s="13">
        <f>IFERROR(M890/N890, "")</f>
        <v/>
      </c>
    </row>
    <row r="891">
      <c r="B891" s="8" t="n"/>
      <c r="C891" s="9">
        <f>IFERROR(_xll.ciqfunctions.udf.CIQ(mh_ticker, "IQ_LASTSALEPRICE", B891), "")</f>
        <v/>
      </c>
      <c r="D891" s="10">
        <f>IFERROR(_xll.ciqfunctions.udf.CIQ(mh_ticker, "IQ_SHARESOUTSTANDING_OUT", B891), "")</f>
        <v/>
      </c>
      <c r="E891" s="11">
        <f>IFERROR(_xll.ciqfunctions.udf.CIQ(mh_ticker, "IQ_CASH_EQUIV", , B891), "")</f>
        <v/>
      </c>
      <c r="F891" s="11">
        <f>IFERROR(_xll.ciqfunctions.udf.CIQ(mh_ticker, "IQ_ST_INVEST", , B891), "")</f>
        <v/>
      </c>
      <c r="G891" s="11">
        <f>IFERROR(_xll.ciqfunctions.udf.CIQ(mh_ticker, "IQ_TOTAL_DEBT_EXCL_OPER_LEASES", , B891), "")</f>
        <v/>
      </c>
      <c r="H891" s="11">
        <f>IFERROR(_xll.ciqfunctions.udf.CIQ(mh_ticker, "IQ_PREF_EQUITY", , B891), "")</f>
        <v/>
      </c>
      <c r="I891" s="11">
        <f>IFERROR(_xll.ciqfunctions.udf.CIQ(mh_ticker, "IQ_MINORITY_INTEREST", , B891), "")</f>
        <v/>
      </c>
      <c r="J891" s="11">
        <f>IFERROR(_xll.ciqfunctions.udf.CIQ(mh_ticker, "IQ_EQUITY_METHOD", , B891), "")</f>
        <v/>
      </c>
      <c r="K891" s="11">
        <f>IFERROR(_xll.ciqfunctions.udf.CIQ(mh_ticker, "IQ_LT_Mark_Securities", , B891), "")</f>
        <v/>
      </c>
      <c r="L891" s="12">
        <f>IFERROR(C891*D891, "")</f>
        <v/>
      </c>
      <c r="M891" s="12">
        <f>IFERROR(L891-E891-F891+G891+H891+I891-J891-K891, "")</f>
        <v/>
      </c>
      <c r="N891" s="11">
        <f>IFERROR(_xll.ciqfunctions.udf.CIQ(mh_ticker, "IQ_EBITDA_EST", IQ_NTM, B891, , , "USD"), "")</f>
        <v/>
      </c>
      <c r="O891" s="13">
        <f>IFERROR(M891/N891, "")</f>
        <v/>
      </c>
    </row>
    <row r="892">
      <c r="B892" s="8" t="n"/>
      <c r="C892" s="9">
        <f>IFERROR(_xll.ciqfunctions.udf.CIQ(mh_ticker, "IQ_LASTSALEPRICE", B892), "")</f>
        <v/>
      </c>
      <c r="D892" s="10">
        <f>IFERROR(_xll.ciqfunctions.udf.CIQ(mh_ticker, "IQ_SHARESOUTSTANDING_OUT", B892), "")</f>
        <v/>
      </c>
      <c r="E892" s="11">
        <f>IFERROR(_xll.ciqfunctions.udf.CIQ(mh_ticker, "IQ_CASH_EQUIV", , B892), "")</f>
        <v/>
      </c>
      <c r="F892" s="11">
        <f>IFERROR(_xll.ciqfunctions.udf.CIQ(mh_ticker, "IQ_ST_INVEST", , B892), "")</f>
        <v/>
      </c>
      <c r="G892" s="11">
        <f>IFERROR(_xll.ciqfunctions.udf.CIQ(mh_ticker, "IQ_TOTAL_DEBT_EXCL_OPER_LEASES", , B892), "")</f>
        <v/>
      </c>
      <c r="H892" s="11">
        <f>IFERROR(_xll.ciqfunctions.udf.CIQ(mh_ticker, "IQ_PREF_EQUITY", , B892), "")</f>
        <v/>
      </c>
      <c r="I892" s="11">
        <f>IFERROR(_xll.ciqfunctions.udf.CIQ(mh_ticker, "IQ_MINORITY_INTEREST", , B892), "")</f>
        <v/>
      </c>
      <c r="J892" s="11">
        <f>IFERROR(_xll.ciqfunctions.udf.CIQ(mh_ticker, "IQ_EQUITY_METHOD", , B892), "")</f>
        <v/>
      </c>
      <c r="K892" s="11">
        <f>IFERROR(_xll.ciqfunctions.udf.CIQ(mh_ticker, "IQ_LT_Mark_Securities", , B892), "")</f>
        <v/>
      </c>
      <c r="L892" s="12">
        <f>IFERROR(C892*D892, "")</f>
        <v/>
      </c>
      <c r="M892" s="12">
        <f>IFERROR(L892-E892-F892+G892+H892+I892-J892-K892, "")</f>
        <v/>
      </c>
      <c r="N892" s="11">
        <f>IFERROR(_xll.ciqfunctions.udf.CIQ(mh_ticker, "IQ_EBITDA_EST", IQ_NTM, B892, , , "USD"), "")</f>
        <v/>
      </c>
      <c r="O892" s="13">
        <f>IFERROR(M892/N892, "")</f>
        <v/>
      </c>
    </row>
    <row r="893">
      <c r="B893" s="8" t="n"/>
      <c r="C893" s="9">
        <f>IFERROR(_xll.ciqfunctions.udf.CIQ(mh_ticker, "IQ_LASTSALEPRICE", B893), "")</f>
        <v/>
      </c>
      <c r="D893" s="10">
        <f>IFERROR(_xll.ciqfunctions.udf.CIQ(mh_ticker, "IQ_SHARESOUTSTANDING_OUT", B893), "")</f>
        <v/>
      </c>
      <c r="E893" s="11">
        <f>IFERROR(_xll.ciqfunctions.udf.CIQ(mh_ticker, "IQ_CASH_EQUIV", , B893), "")</f>
        <v/>
      </c>
      <c r="F893" s="11">
        <f>IFERROR(_xll.ciqfunctions.udf.CIQ(mh_ticker, "IQ_ST_INVEST", , B893), "")</f>
        <v/>
      </c>
      <c r="G893" s="11">
        <f>IFERROR(_xll.ciqfunctions.udf.CIQ(mh_ticker, "IQ_TOTAL_DEBT_EXCL_OPER_LEASES", , B893), "")</f>
        <v/>
      </c>
      <c r="H893" s="11">
        <f>IFERROR(_xll.ciqfunctions.udf.CIQ(mh_ticker, "IQ_PREF_EQUITY", , B893), "")</f>
        <v/>
      </c>
      <c r="I893" s="11">
        <f>IFERROR(_xll.ciqfunctions.udf.CIQ(mh_ticker, "IQ_MINORITY_INTEREST", , B893), "")</f>
        <v/>
      </c>
      <c r="J893" s="11">
        <f>IFERROR(_xll.ciqfunctions.udf.CIQ(mh_ticker, "IQ_EQUITY_METHOD", , B893), "")</f>
        <v/>
      </c>
      <c r="K893" s="11">
        <f>IFERROR(_xll.ciqfunctions.udf.CIQ(mh_ticker, "IQ_LT_Mark_Securities", , B893), "")</f>
        <v/>
      </c>
      <c r="L893" s="12">
        <f>IFERROR(C893*D893, "")</f>
        <v/>
      </c>
      <c r="M893" s="12">
        <f>IFERROR(L893-E893-F893+G893+H893+I893-J893-K893, "")</f>
        <v/>
      </c>
      <c r="N893" s="11">
        <f>IFERROR(_xll.ciqfunctions.udf.CIQ(mh_ticker, "IQ_EBITDA_EST", IQ_NTM, B893, , , "USD"), "")</f>
        <v/>
      </c>
      <c r="O893" s="13">
        <f>IFERROR(M893/N893, "")</f>
        <v/>
      </c>
    </row>
    <row r="894">
      <c r="B894" s="8" t="n"/>
      <c r="C894" s="9">
        <f>IFERROR(_xll.ciqfunctions.udf.CIQ(mh_ticker, "IQ_LASTSALEPRICE", B894), "")</f>
        <v/>
      </c>
      <c r="D894" s="10">
        <f>IFERROR(_xll.ciqfunctions.udf.CIQ(mh_ticker, "IQ_SHARESOUTSTANDING_OUT", B894), "")</f>
        <v/>
      </c>
      <c r="E894" s="11">
        <f>IFERROR(_xll.ciqfunctions.udf.CIQ(mh_ticker, "IQ_CASH_EQUIV", , B894), "")</f>
        <v/>
      </c>
      <c r="F894" s="11">
        <f>IFERROR(_xll.ciqfunctions.udf.CIQ(mh_ticker, "IQ_ST_INVEST", , B894), "")</f>
        <v/>
      </c>
      <c r="G894" s="11">
        <f>IFERROR(_xll.ciqfunctions.udf.CIQ(mh_ticker, "IQ_TOTAL_DEBT_EXCL_OPER_LEASES", , B894), "")</f>
        <v/>
      </c>
      <c r="H894" s="11">
        <f>IFERROR(_xll.ciqfunctions.udf.CIQ(mh_ticker, "IQ_PREF_EQUITY", , B894), "")</f>
        <v/>
      </c>
      <c r="I894" s="11">
        <f>IFERROR(_xll.ciqfunctions.udf.CIQ(mh_ticker, "IQ_MINORITY_INTEREST", , B894), "")</f>
        <v/>
      </c>
      <c r="J894" s="11">
        <f>IFERROR(_xll.ciqfunctions.udf.CIQ(mh_ticker, "IQ_EQUITY_METHOD", , B894), "")</f>
        <v/>
      </c>
      <c r="K894" s="11">
        <f>IFERROR(_xll.ciqfunctions.udf.CIQ(mh_ticker, "IQ_LT_Mark_Securities", , B894), "")</f>
        <v/>
      </c>
      <c r="L894" s="12">
        <f>IFERROR(C894*D894, "")</f>
        <v/>
      </c>
      <c r="M894" s="12">
        <f>IFERROR(L894-E894-F894+G894+H894+I894-J894-K894, "")</f>
        <v/>
      </c>
      <c r="N894" s="11">
        <f>IFERROR(_xll.ciqfunctions.udf.CIQ(mh_ticker, "IQ_EBITDA_EST", IQ_NTM, B894, , , "USD"), "")</f>
        <v/>
      </c>
      <c r="O894" s="13">
        <f>IFERROR(M894/N894, "")</f>
        <v/>
      </c>
    </row>
    <row r="895">
      <c r="B895" s="8" t="n"/>
      <c r="C895" s="9">
        <f>IFERROR(_xll.ciqfunctions.udf.CIQ(mh_ticker, "IQ_LASTSALEPRICE", B895), "")</f>
        <v/>
      </c>
      <c r="D895" s="10">
        <f>IFERROR(_xll.ciqfunctions.udf.CIQ(mh_ticker, "IQ_SHARESOUTSTANDING_OUT", B895), "")</f>
        <v/>
      </c>
      <c r="E895" s="11">
        <f>IFERROR(_xll.ciqfunctions.udf.CIQ(mh_ticker, "IQ_CASH_EQUIV", , B895), "")</f>
        <v/>
      </c>
      <c r="F895" s="11">
        <f>IFERROR(_xll.ciqfunctions.udf.CIQ(mh_ticker, "IQ_ST_INVEST", , B895), "")</f>
        <v/>
      </c>
      <c r="G895" s="11">
        <f>IFERROR(_xll.ciqfunctions.udf.CIQ(mh_ticker, "IQ_TOTAL_DEBT_EXCL_OPER_LEASES", , B895), "")</f>
        <v/>
      </c>
      <c r="H895" s="11">
        <f>IFERROR(_xll.ciqfunctions.udf.CIQ(mh_ticker, "IQ_PREF_EQUITY", , B895), "")</f>
        <v/>
      </c>
      <c r="I895" s="11">
        <f>IFERROR(_xll.ciqfunctions.udf.CIQ(mh_ticker, "IQ_MINORITY_INTEREST", , B895), "")</f>
        <v/>
      </c>
      <c r="J895" s="11">
        <f>IFERROR(_xll.ciqfunctions.udf.CIQ(mh_ticker, "IQ_EQUITY_METHOD", , B895), "")</f>
        <v/>
      </c>
      <c r="K895" s="11">
        <f>IFERROR(_xll.ciqfunctions.udf.CIQ(mh_ticker, "IQ_LT_Mark_Securities", , B895), "")</f>
        <v/>
      </c>
      <c r="L895" s="12">
        <f>IFERROR(C895*D895, "")</f>
        <v/>
      </c>
      <c r="M895" s="12">
        <f>IFERROR(L895-E895-F895+G895+H895+I895-J895-K895, "")</f>
        <v/>
      </c>
      <c r="N895" s="11">
        <f>IFERROR(_xll.ciqfunctions.udf.CIQ(mh_ticker, "IQ_EBITDA_EST", IQ_NTM, B895, , , "USD"), "")</f>
        <v/>
      </c>
      <c r="O895" s="13">
        <f>IFERROR(M895/N895, "")</f>
        <v/>
      </c>
    </row>
    <row r="896">
      <c r="B896" s="8" t="n"/>
      <c r="C896" s="9">
        <f>IFERROR(_xll.ciqfunctions.udf.CIQ(mh_ticker, "IQ_LASTSALEPRICE", B896), "")</f>
        <v/>
      </c>
      <c r="D896" s="10">
        <f>IFERROR(_xll.ciqfunctions.udf.CIQ(mh_ticker, "IQ_SHARESOUTSTANDING_OUT", B896), "")</f>
        <v/>
      </c>
      <c r="E896" s="11">
        <f>IFERROR(_xll.ciqfunctions.udf.CIQ(mh_ticker, "IQ_CASH_EQUIV", , B896), "")</f>
        <v/>
      </c>
      <c r="F896" s="11">
        <f>IFERROR(_xll.ciqfunctions.udf.CIQ(mh_ticker, "IQ_ST_INVEST", , B896), "")</f>
        <v/>
      </c>
      <c r="G896" s="11">
        <f>IFERROR(_xll.ciqfunctions.udf.CIQ(mh_ticker, "IQ_TOTAL_DEBT_EXCL_OPER_LEASES", , B896), "")</f>
        <v/>
      </c>
      <c r="H896" s="11">
        <f>IFERROR(_xll.ciqfunctions.udf.CIQ(mh_ticker, "IQ_PREF_EQUITY", , B896), "")</f>
        <v/>
      </c>
      <c r="I896" s="11">
        <f>IFERROR(_xll.ciqfunctions.udf.CIQ(mh_ticker, "IQ_MINORITY_INTEREST", , B896), "")</f>
        <v/>
      </c>
      <c r="J896" s="11">
        <f>IFERROR(_xll.ciqfunctions.udf.CIQ(mh_ticker, "IQ_EQUITY_METHOD", , B896), "")</f>
        <v/>
      </c>
      <c r="K896" s="11">
        <f>IFERROR(_xll.ciqfunctions.udf.CIQ(mh_ticker, "IQ_LT_Mark_Securities", , B896), "")</f>
        <v/>
      </c>
      <c r="L896" s="12">
        <f>IFERROR(C896*D896, "")</f>
        <v/>
      </c>
      <c r="M896" s="12">
        <f>IFERROR(L896-E896-F896+G896+H896+I896-J896-K896, "")</f>
        <v/>
      </c>
      <c r="N896" s="11">
        <f>IFERROR(_xll.ciqfunctions.udf.CIQ(mh_ticker, "IQ_EBITDA_EST", IQ_NTM, B896, , , "USD"), "")</f>
        <v/>
      </c>
      <c r="O896" s="13">
        <f>IFERROR(M896/N896, "")</f>
        <v/>
      </c>
    </row>
    <row r="897">
      <c r="B897" s="8" t="n"/>
      <c r="C897" s="9">
        <f>IFERROR(_xll.ciqfunctions.udf.CIQ(mh_ticker, "IQ_LASTSALEPRICE", B897), "")</f>
        <v/>
      </c>
      <c r="D897" s="10">
        <f>IFERROR(_xll.ciqfunctions.udf.CIQ(mh_ticker, "IQ_SHARESOUTSTANDING_OUT", B897), "")</f>
        <v/>
      </c>
      <c r="E897" s="11">
        <f>IFERROR(_xll.ciqfunctions.udf.CIQ(mh_ticker, "IQ_CASH_EQUIV", , B897), "")</f>
        <v/>
      </c>
      <c r="F897" s="11">
        <f>IFERROR(_xll.ciqfunctions.udf.CIQ(mh_ticker, "IQ_ST_INVEST", , B897), "")</f>
        <v/>
      </c>
      <c r="G897" s="11">
        <f>IFERROR(_xll.ciqfunctions.udf.CIQ(mh_ticker, "IQ_TOTAL_DEBT_EXCL_OPER_LEASES", , B897), "")</f>
        <v/>
      </c>
      <c r="H897" s="11">
        <f>IFERROR(_xll.ciqfunctions.udf.CIQ(mh_ticker, "IQ_PREF_EQUITY", , B897), "")</f>
        <v/>
      </c>
      <c r="I897" s="11">
        <f>IFERROR(_xll.ciqfunctions.udf.CIQ(mh_ticker, "IQ_MINORITY_INTEREST", , B897), "")</f>
        <v/>
      </c>
      <c r="J897" s="11">
        <f>IFERROR(_xll.ciqfunctions.udf.CIQ(mh_ticker, "IQ_EQUITY_METHOD", , B897), "")</f>
        <v/>
      </c>
      <c r="K897" s="11">
        <f>IFERROR(_xll.ciqfunctions.udf.CIQ(mh_ticker, "IQ_LT_Mark_Securities", , B897), "")</f>
        <v/>
      </c>
      <c r="L897" s="12">
        <f>IFERROR(C897*D897, "")</f>
        <v/>
      </c>
      <c r="M897" s="12">
        <f>IFERROR(L897-E897-F897+G897+H897+I897-J897-K897, "")</f>
        <v/>
      </c>
      <c r="N897" s="11">
        <f>IFERROR(_xll.ciqfunctions.udf.CIQ(mh_ticker, "IQ_EBITDA_EST", IQ_NTM, B897, , , "USD"), "")</f>
        <v/>
      </c>
      <c r="O897" s="13">
        <f>IFERROR(M897/N897, "")</f>
        <v/>
      </c>
    </row>
    <row r="898">
      <c r="B898" s="8" t="n"/>
      <c r="C898" s="9">
        <f>IFERROR(_xll.ciqfunctions.udf.CIQ(mh_ticker, "IQ_LASTSALEPRICE", B898), "")</f>
        <v/>
      </c>
      <c r="D898" s="10">
        <f>IFERROR(_xll.ciqfunctions.udf.CIQ(mh_ticker, "IQ_SHARESOUTSTANDING_OUT", B898), "")</f>
        <v/>
      </c>
      <c r="E898" s="11">
        <f>IFERROR(_xll.ciqfunctions.udf.CIQ(mh_ticker, "IQ_CASH_EQUIV", , B898), "")</f>
        <v/>
      </c>
      <c r="F898" s="11">
        <f>IFERROR(_xll.ciqfunctions.udf.CIQ(mh_ticker, "IQ_ST_INVEST", , B898), "")</f>
        <v/>
      </c>
      <c r="G898" s="11">
        <f>IFERROR(_xll.ciqfunctions.udf.CIQ(mh_ticker, "IQ_TOTAL_DEBT_EXCL_OPER_LEASES", , B898), "")</f>
        <v/>
      </c>
      <c r="H898" s="11">
        <f>IFERROR(_xll.ciqfunctions.udf.CIQ(mh_ticker, "IQ_PREF_EQUITY", , B898), "")</f>
        <v/>
      </c>
      <c r="I898" s="11">
        <f>IFERROR(_xll.ciqfunctions.udf.CIQ(mh_ticker, "IQ_MINORITY_INTEREST", , B898), "")</f>
        <v/>
      </c>
      <c r="J898" s="11">
        <f>IFERROR(_xll.ciqfunctions.udf.CIQ(mh_ticker, "IQ_EQUITY_METHOD", , B898), "")</f>
        <v/>
      </c>
      <c r="K898" s="11">
        <f>IFERROR(_xll.ciqfunctions.udf.CIQ(mh_ticker, "IQ_LT_Mark_Securities", , B898), "")</f>
        <v/>
      </c>
      <c r="L898" s="12">
        <f>IFERROR(C898*D898, "")</f>
        <v/>
      </c>
      <c r="M898" s="12">
        <f>IFERROR(L898-E898-F898+G898+H898+I898-J898-K898, "")</f>
        <v/>
      </c>
      <c r="N898" s="11">
        <f>IFERROR(_xll.ciqfunctions.udf.CIQ(mh_ticker, "IQ_EBITDA_EST", IQ_NTM, B898, , , "USD"), "")</f>
        <v/>
      </c>
      <c r="O898" s="13">
        <f>IFERROR(M898/N898, "")</f>
        <v/>
      </c>
    </row>
    <row r="899">
      <c r="B899" s="8" t="n"/>
      <c r="C899" s="9">
        <f>IFERROR(_xll.ciqfunctions.udf.CIQ(mh_ticker, "IQ_LASTSALEPRICE", B899), "")</f>
        <v/>
      </c>
      <c r="D899" s="10">
        <f>IFERROR(_xll.ciqfunctions.udf.CIQ(mh_ticker, "IQ_SHARESOUTSTANDING_OUT", B899), "")</f>
        <v/>
      </c>
      <c r="E899" s="11">
        <f>IFERROR(_xll.ciqfunctions.udf.CIQ(mh_ticker, "IQ_CASH_EQUIV", , B899), "")</f>
        <v/>
      </c>
      <c r="F899" s="11">
        <f>IFERROR(_xll.ciqfunctions.udf.CIQ(mh_ticker, "IQ_ST_INVEST", , B899), "")</f>
        <v/>
      </c>
      <c r="G899" s="11">
        <f>IFERROR(_xll.ciqfunctions.udf.CIQ(mh_ticker, "IQ_TOTAL_DEBT_EXCL_OPER_LEASES", , B899), "")</f>
        <v/>
      </c>
      <c r="H899" s="11">
        <f>IFERROR(_xll.ciqfunctions.udf.CIQ(mh_ticker, "IQ_PREF_EQUITY", , B899), "")</f>
        <v/>
      </c>
      <c r="I899" s="11">
        <f>IFERROR(_xll.ciqfunctions.udf.CIQ(mh_ticker, "IQ_MINORITY_INTEREST", , B899), "")</f>
        <v/>
      </c>
      <c r="J899" s="11">
        <f>IFERROR(_xll.ciqfunctions.udf.CIQ(mh_ticker, "IQ_EQUITY_METHOD", , B899), "")</f>
        <v/>
      </c>
      <c r="K899" s="11">
        <f>IFERROR(_xll.ciqfunctions.udf.CIQ(mh_ticker, "IQ_LT_Mark_Securities", , B899), "")</f>
        <v/>
      </c>
      <c r="L899" s="12">
        <f>IFERROR(C899*D899, "")</f>
        <v/>
      </c>
      <c r="M899" s="12">
        <f>IFERROR(L899-E899-F899+G899+H899+I899-J899-K899, "")</f>
        <v/>
      </c>
      <c r="N899" s="11">
        <f>IFERROR(_xll.ciqfunctions.udf.CIQ(mh_ticker, "IQ_EBITDA_EST", IQ_NTM, B899, , , "USD"), "")</f>
        <v/>
      </c>
      <c r="O899" s="13">
        <f>IFERROR(M899/N899, "")</f>
        <v/>
      </c>
    </row>
    <row r="900">
      <c r="B900" s="8" t="n"/>
      <c r="C900" s="9">
        <f>IFERROR(_xll.ciqfunctions.udf.CIQ(mh_ticker, "IQ_LASTSALEPRICE", B900), "")</f>
        <v/>
      </c>
      <c r="D900" s="10">
        <f>IFERROR(_xll.ciqfunctions.udf.CIQ(mh_ticker, "IQ_SHARESOUTSTANDING_OUT", B900), "")</f>
        <v/>
      </c>
      <c r="E900" s="11">
        <f>IFERROR(_xll.ciqfunctions.udf.CIQ(mh_ticker, "IQ_CASH_EQUIV", , B900), "")</f>
        <v/>
      </c>
      <c r="F900" s="11">
        <f>IFERROR(_xll.ciqfunctions.udf.CIQ(mh_ticker, "IQ_ST_INVEST", , B900), "")</f>
        <v/>
      </c>
      <c r="G900" s="11">
        <f>IFERROR(_xll.ciqfunctions.udf.CIQ(mh_ticker, "IQ_TOTAL_DEBT_EXCL_OPER_LEASES", , B900), "")</f>
        <v/>
      </c>
      <c r="H900" s="11">
        <f>IFERROR(_xll.ciqfunctions.udf.CIQ(mh_ticker, "IQ_PREF_EQUITY", , B900), "")</f>
        <v/>
      </c>
      <c r="I900" s="11">
        <f>IFERROR(_xll.ciqfunctions.udf.CIQ(mh_ticker, "IQ_MINORITY_INTEREST", , B900), "")</f>
        <v/>
      </c>
      <c r="J900" s="11">
        <f>IFERROR(_xll.ciqfunctions.udf.CIQ(mh_ticker, "IQ_EQUITY_METHOD", , B900), "")</f>
        <v/>
      </c>
      <c r="K900" s="11">
        <f>IFERROR(_xll.ciqfunctions.udf.CIQ(mh_ticker, "IQ_LT_Mark_Securities", , B900), "")</f>
        <v/>
      </c>
      <c r="L900" s="12">
        <f>IFERROR(C900*D900, "")</f>
        <v/>
      </c>
      <c r="M900" s="12">
        <f>IFERROR(L900-E900-F900+G900+H900+I900-J900-K900, "")</f>
        <v/>
      </c>
      <c r="N900" s="11">
        <f>IFERROR(_xll.ciqfunctions.udf.CIQ(mh_ticker, "IQ_EBITDA_EST", IQ_NTM, B900, , , "USD"), "")</f>
        <v/>
      </c>
      <c r="O900" s="13">
        <f>IFERROR(M900/N900, "")</f>
        <v/>
      </c>
    </row>
    <row r="901">
      <c r="B901" s="8" t="n"/>
      <c r="C901" s="9">
        <f>IFERROR(_xll.ciqfunctions.udf.CIQ(mh_ticker, "IQ_LASTSALEPRICE", B901), "")</f>
        <v/>
      </c>
      <c r="D901" s="10">
        <f>IFERROR(_xll.ciqfunctions.udf.CIQ(mh_ticker, "IQ_SHARESOUTSTANDING_OUT", B901), "")</f>
        <v/>
      </c>
      <c r="E901" s="11">
        <f>IFERROR(_xll.ciqfunctions.udf.CIQ(mh_ticker, "IQ_CASH_EQUIV", , B901), "")</f>
        <v/>
      </c>
      <c r="F901" s="11">
        <f>IFERROR(_xll.ciqfunctions.udf.CIQ(mh_ticker, "IQ_ST_INVEST", , B901), "")</f>
        <v/>
      </c>
      <c r="G901" s="11">
        <f>IFERROR(_xll.ciqfunctions.udf.CIQ(mh_ticker, "IQ_TOTAL_DEBT_EXCL_OPER_LEASES", , B901), "")</f>
        <v/>
      </c>
      <c r="H901" s="11">
        <f>IFERROR(_xll.ciqfunctions.udf.CIQ(mh_ticker, "IQ_PREF_EQUITY", , B901), "")</f>
        <v/>
      </c>
      <c r="I901" s="11">
        <f>IFERROR(_xll.ciqfunctions.udf.CIQ(mh_ticker, "IQ_MINORITY_INTEREST", , B901), "")</f>
        <v/>
      </c>
      <c r="J901" s="11">
        <f>IFERROR(_xll.ciqfunctions.udf.CIQ(mh_ticker, "IQ_EQUITY_METHOD", , B901), "")</f>
        <v/>
      </c>
      <c r="K901" s="11">
        <f>IFERROR(_xll.ciqfunctions.udf.CIQ(mh_ticker, "IQ_LT_Mark_Securities", , B901), "")</f>
        <v/>
      </c>
      <c r="L901" s="12">
        <f>IFERROR(C901*D901, "")</f>
        <v/>
      </c>
      <c r="M901" s="12">
        <f>IFERROR(L901-E901-F901+G901+H901+I901-J901-K901, "")</f>
        <v/>
      </c>
      <c r="N901" s="11">
        <f>IFERROR(_xll.ciqfunctions.udf.CIQ(mh_ticker, "IQ_EBITDA_EST", IQ_NTM, B901, , , "USD"), "")</f>
        <v/>
      </c>
      <c r="O901" s="13">
        <f>IFERROR(M901/N901, "")</f>
        <v/>
      </c>
    </row>
    <row r="902">
      <c r="B902" s="8" t="n"/>
      <c r="C902" s="9">
        <f>IFERROR(_xll.ciqfunctions.udf.CIQ(mh_ticker, "IQ_LASTSALEPRICE", B902), "")</f>
        <v/>
      </c>
      <c r="D902" s="10">
        <f>IFERROR(_xll.ciqfunctions.udf.CIQ(mh_ticker, "IQ_SHARESOUTSTANDING_OUT", B902), "")</f>
        <v/>
      </c>
      <c r="E902" s="11">
        <f>IFERROR(_xll.ciqfunctions.udf.CIQ(mh_ticker, "IQ_CASH_EQUIV", , B902), "")</f>
        <v/>
      </c>
      <c r="F902" s="11">
        <f>IFERROR(_xll.ciqfunctions.udf.CIQ(mh_ticker, "IQ_ST_INVEST", , B902), "")</f>
        <v/>
      </c>
      <c r="G902" s="11">
        <f>IFERROR(_xll.ciqfunctions.udf.CIQ(mh_ticker, "IQ_TOTAL_DEBT_EXCL_OPER_LEASES", , B902), "")</f>
        <v/>
      </c>
      <c r="H902" s="11">
        <f>IFERROR(_xll.ciqfunctions.udf.CIQ(mh_ticker, "IQ_PREF_EQUITY", , B902), "")</f>
        <v/>
      </c>
      <c r="I902" s="11">
        <f>IFERROR(_xll.ciqfunctions.udf.CIQ(mh_ticker, "IQ_MINORITY_INTEREST", , B902), "")</f>
        <v/>
      </c>
      <c r="J902" s="11">
        <f>IFERROR(_xll.ciqfunctions.udf.CIQ(mh_ticker, "IQ_EQUITY_METHOD", , B902), "")</f>
        <v/>
      </c>
      <c r="K902" s="11">
        <f>IFERROR(_xll.ciqfunctions.udf.CIQ(mh_ticker, "IQ_LT_Mark_Securities", , B902), "")</f>
        <v/>
      </c>
      <c r="L902" s="12">
        <f>IFERROR(C902*D902, "")</f>
        <v/>
      </c>
      <c r="M902" s="12">
        <f>IFERROR(L902-E902-F902+G902+H902+I902-J902-K902, "")</f>
        <v/>
      </c>
      <c r="N902" s="11">
        <f>IFERROR(_xll.ciqfunctions.udf.CIQ(mh_ticker, "IQ_EBITDA_EST", IQ_NTM, B902, , , "USD"), "")</f>
        <v/>
      </c>
      <c r="O902" s="13">
        <f>IFERROR(M902/N902, "")</f>
        <v/>
      </c>
    </row>
    <row r="903">
      <c r="B903" s="8" t="n"/>
      <c r="C903" s="9">
        <f>IFERROR(_xll.ciqfunctions.udf.CIQ(mh_ticker, "IQ_LASTSALEPRICE", B903), "")</f>
        <v/>
      </c>
      <c r="D903" s="10">
        <f>IFERROR(_xll.ciqfunctions.udf.CIQ(mh_ticker, "IQ_SHARESOUTSTANDING_OUT", B903), "")</f>
        <v/>
      </c>
      <c r="E903" s="11">
        <f>IFERROR(_xll.ciqfunctions.udf.CIQ(mh_ticker, "IQ_CASH_EQUIV", , B903), "")</f>
        <v/>
      </c>
      <c r="F903" s="11">
        <f>IFERROR(_xll.ciqfunctions.udf.CIQ(mh_ticker, "IQ_ST_INVEST", , B903), "")</f>
        <v/>
      </c>
      <c r="G903" s="11">
        <f>IFERROR(_xll.ciqfunctions.udf.CIQ(mh_ticker, "IQ_TOTAL_DEBT_EXCL_OPER_LEASES", , B903), "")</f>
        <v/>
      </c>
      <c r="H903" s="11">
        <f>IFERROR(_xll.ciqfunctions.udf.CIQ(mh_ticker, "IQ_PREF_EQUITY", , B903), "")</f>
        <v/>
      </c>
      <c r="I903" s="11">
        <f>IFERROR(_xll.ciqfunctions.udf.CIQ(mh_ticker, "IQ_MINORITY_INTEREST", , B903), "")</f>
        <v/>
      </c>
      <c r="J903" s="11">
        <f>IFERROR(_xll.ciqfunctions.udf.CIQ(mh_ticker, "IQ_EQUITY_METHOD", , B903), "")</f>
        <v/>
      </c>
      <c r="K903" s="11">
        <f>IFERROR(_xll.ciqfunctions.udf.CIQ(mh_ticker, "IQ_LT_Mark_Securities", , B903), "")</f>
        <v/>
      </c>
      <c r="L903" s="12">
        <f>IFERROR(C903*D903, "")</f>
        <v/>
      </c>
      <c r="M903" s="12">
        <f>IFERROR(L903-E903-F903+G903+H903+I903-J903-K903, "")</f>
        <v/>
      </c>
      <c r="N903" s="11">
        <f>IFERROR(_xll.ciqfunctions.udf.CIQ(mh_ticker, "IQ_EBITDA_EST", IQ_NTM, B903, , , "USD"), "")</f>
        <v/>
      </c>
      <c r="O903" s="13">
        <f>IFERROR(M903/N903, "")</f>
        <v/>
      </c>
    </row>
    <row r="904">
      <c r="B904" s="8" t="n"/>
      <c r="C904" s="9">
        <f>IFERROR(_xll.ciqfunctions.udf.CIQ(mh_ticker, "IQ_LASTSALEPRICE", B904), "")</f>
        <v/>
      </c>
      <c r="D904" s="10">
        <f>IFERROR(_xll.ciqfunctions.udf.CIQ(mh_ticker, "IQ_SHARESOUTSTANDING_OUT", B904), "")</f>
        <v/>
      </c>
      <c r="E904" s="11">
        <f>IFERROR(_xll.ciqfunctions.udf.CIQ(mh_ticker, "IQ_CASH_EQUIV", , B904), "")</f>
        <v/>
      </c>
      <c r="F904" s="11">
        <f>IFERROR(_xll.ciqfunctions.udf.CIQ(mh_ticker, "IQ_ST_INVEST", , B904), "")</f>
        <v/>
      </c>
      <c r="G904" s="11">
        <f>IFERROR(_xll.ciqfunctions.udf.CIQ(mh_ticker, "IQ_TOTAL_DEBT_EXCL_OPER_LEASES", , B904), "")</f>
        <v/>
      </c>
      <c r="H904" s="11">
        <f>IFERROR(_xll.ciqfunctions.udf.CIQ(mh_ticker, "IQ_PREF_EQUITY", , B904), "")</f>
        <v/>
      </c>
      <c r="I904" s="11">
        <f>IFERROR(_xll.ciqfunctions.udf.CIQ(mh_ticker, "IQ_MINORITY_INTEREST", , B904), "")</f>
        <v/>
      </c>
      <c r="J904" s="11">
        <f>IFERROR(_xll.ciqfunctions.udf.CIQ(mh_ticker, "IQ_EQUITY_METHOD", , B904), "")</f>
        <v/>
      </c>
      <c r="K904" s="11">
        <f>IFERROR(_xll.ciqfunctions.udf.CIQ(mh_ticker, "IQ_LT_Mark_Securities", , B904), "")</f>
        <v/>
      </c>
      <c r="L904" s="12">
        <f>IFERROR(C904*D904, "")</f>
        <v/>
      </c>
      <c r="M904" s="12">
        <f>IFERROR(L904-E904-F904+G904+H904+I904-J904-K904, "")</f>
        <v/>
      </c>
      <c r="N904" s="11">
        <f>IFERROR(_xll.ciqfunctions.udf.CIQ(mh_ticker, "IQ_EBITDA_EST", IQ_NTM, B904, , , "USD"), "")</f>
        <v/>
      </c>
      <c r="O904" s="13">
        <f>IFERROR(M904/N904, "")</f>
        <v/>
      </c>
    </row>
    <row r="905">
      <c r="B905" s="8" t="n"/>
      <c r="C905" s="9">
        <f>IFERROR(_xll.ciqfunctions.udf.CIQ(mh_ticker, "IQ_LASTSALEPRICE", B905), "")</f>
        <v/>
      </c>
      <c r="D905" s="10">
        <f>IFERROR(_xll.ciqfunctions.udf.CIQ(mh_ticker, "IQ_SHARESOUTSTANDING_OUT", B905), "")</f>
        <v/>
      </c>
      <c r="E905" s="11">
        <f>IFERROR(_xll.ciqfunctions.udf.CIQ(mh_ticker, "IQ_CASH_EQUIV", , B905), "")</f>
        <v/>
      </c>
      <c r="F905" s="11">
        <f>IFERROR(_xll.ciqfunctions.udf.CIQ(mh_ticker, "IQ_ST_INVEST", , B905), "")</f>
        <v/>
      </c>
      <c r="G905" s="11">
        <f>IFERROR(_xll.ciqfunctions.udf.CIQ(mh_ticker, "IQ_TOTAL_DEBT_EXCL_OPER_LEASES", , B905), "")</f>
        <v/>
      </c>
      <c r="H905" s="11">
        <f>IFERROR(_xll.ciqfunctions.udf.CIQ(mh_ticker, "IQ_PREF_EQUITY", , B905), "")</f>
        <v/>
      </c>
      <c r="I905" s="11">
        <f>IFERROR(_xll.ciqfunctions.udf.CIQ(mh_ticker, "IQ_MINORITY_INTEREST", , B905), "")</f>
        <v/>
      </c>
      <c r="J905" s="11">
        <f>IFERROR(_xll.ciqfunctions.udf.CIQ(mh_ticker, "IQ_EQUITY_METHOD", , B905), "")</f>
        <v/>
      </c>
      <c r="K905" s="11">
        <f>IFERROR(_xll.ciqfunctions.udf.CIQ(mh_ticker, "IQ_LT_Mark_Securities", , B905), "")</f>
        <v/>
      </c>
      <c r="L905" s="12">
        <f>IFERROR(C905*D905, "")</f>
        <v/>
      </c>
      <c r="M905" s="12">
        <f>IFERROR(L905-E905-F905+G905+H905+I905-J905-K905, "")</f>
        <v/>
      </c>
      <c r="N905" s="11">
        <f>IFERROR(_xll.ciqfunctions.udf.CIQ(mh_ticker, "IQ_EBITDA_EST", IQ_NTM, B905, , , "USD"), "")</f>
        <v/>
      </c>
      <c r="O905" s="13">
        <f>IFERROR(M905/N905, "")</f>
        <v/>
      </c>
    </row>
    <row r="906">
      <c r="B906" s="8" t="n"/>
      <c r="C906" s="9">
        <f>IFERROR(_xll.ciqfunctions.udf.CIQ(mh_ticker, "IQ_LASTSALEPRICE", B906), "")</f>
        <v/>
      </c>
      <c r="D906" s="10">
        <f>IFERROR(_xll.ciqfunctions.udf.CIQ(mh_ticker, "IQ_SHARESOUTSTANDING_OUT", B906), "")</f>
        <v/>
      </c>
      <c r="E906" s="11">
        <f>IFERROR(_xll.ciqfunctions.udf.CIQ(mh_ticker, "IQ_CASH_EQUIV", , B906), "")</f>
        <v/>
      </c>
      <c r="F906" s="11">
        <f>IFERROR(_xll.ciqfunctions.udf.CIQ(mh_ticker, "IQ_ST_INVEST", , B906), "")</f>
        <v/>
      </c>
      <c r="G906" s="11">
        <f>IFERROR(_xll.ciqfunctions.udf.CIQ(mh_ticker, "IQ_TOTAL_DEBT_EXCL_OPER_LEASES", , B906), "")</f>
        <v/>
      </c>
      <c r="H906" s="11">
        <f>IFERROR(_xll.ciqfunctions.udf.CIQ(mh_ticker, "IQ_PREF_EQUITY", , B906), "")</f>
        <v/>
      </c>
      <c r="I906" s="11">
        <f>IFERROR(_xll.ciqfunctions.udf.CIQ(mh_ticker, "IQ_MINORITY_INTEREST", , B906), "")</f>
        <v/>
      </c>
      <c r="J906" s="11">
        <f>IFERROR(_xll.ciqfunctions.udf.CIQ(mh_ticker, "IQ_EQUITY_METHOD", , B906), "")</f>
        <v/>
      </c>
      <c r="K906" s="11">
        <f>IFERROR(_xll.ciqfunctions.udf.CIQ(mh_ticker, "IQ_LT_Mark_Securities", , B906), "")</f>
        <v/>
      </c>
      <c r="L906" s="12">
        <f>IFERROR(C906*D906, "")</f>
        <v/>
      </c>
      <c r="M906" s="12">
        <f>IFERROR(L906-E906-F906+G906+H906+I906-J906-K906, "")</f>
        <v/>
      </c>
      <c r="N906" s="11">
        <f>IFERROR(_xll.ciqfunctions.udf.CIQ(mh_ticker, "IQ_EBITDA_EST", IQ_NTM, B906, , , "USD"), "")</f>
        <v/>
      </c>
      <c r="O906" s="13">
        <f>IFERROR(M906/N906, "")</f>
        <v/>
      </c>
    </row>
    <row r="907">
      <c r="B907" s="8" t="n"/>
      <c r="C907" s="9">
        <f>IFERROR(_xll.ciqfunctions.udf.CIQ(mh_ticker, "IQ_LASTSALEPRICE", B907), "")</f>
        <v/>
      </c>
      <c r="D907" s="10">
        <f>IFERROR(_xll.ciqfunctions.udf.CIQ(mh_ticker, "IQ_SHARESOUTSTANDING_OUT", B907), "")</f>
        <v/>
      </c>
      <c r="E907" s="11">
        <f>IFERROR(_xll.ciqfunctions.udf.CIQ(mh_ticker, "IQ_CASH_EQUIV", , B907), "")</f>
        <v/>
      </c>
      <c r="F907" s="11">
        <f>IFERROR(_xll.ciqfunctions.udf.CIQ(mh_ticker, "IQ_ST_INVEST", , B907), "")</f>
        <v/>
      </c>
      <c r="G907" s="11">
        <f>IFERROR(_xll.ciqfunctions.udf.CIQ(mh_ticker, "IQ_TOTAL_DEBT_EXCL_OPER_LEASES", , B907), "")</f>
        <v/>
      </c>
      <c r="H907" s="11">
        <f>IFERROR(_xll.ciqfunctions.udf.CIQ(mh_ticker, "IQ_PREF_EQUITY", , B907), "")</f>
        <v/>
      </c>
      <c r="I907" s="11">
        <f>IFERROR(_xll.ciqfunctions.udf.CIQ(mh_ticker, "IQ_MINORITY_INTEREST", , B907), "")</f>
        <v/>
      </c>
      <c r="J907" s="11">
        <f>IFERROR(_xll.ciqfunctions.udf.CIQ(mh_ticker, "IQ_EQUITY_METHOD", , B907), "")</f>
        <v/>
      </c>
      <c r="K907" s="11">
        <f>IFERROR(_xll.ciqfunctions.udf.CIQ(mh_ticker, "IQ_LT_Mark_Securities", , B907), "")</f>
        <v/>
      </c>
      <c r="L907" s="12">
        <f>IFERROR(C907*D907, "")</f>
        <v/>
      </c>
      <c r="M907" s="12">
        <f>IFERROR(L907-E907-F907+G907+H907+I907-J907-K907, "")</f>
        <v/>
      </c>
      <c r="N907" s="11">
        <f>IFERROR(_xll.ciqfunctions.udf.CIQ(mh_ticker, "IQ_EBITDA_EST", IQ_NTM, B907, , , "USD"), "")</f>
        <v/>
      </c>
      <c r="O907" s="13">
        <f>IFERROR(M907/N907, "")</f>
        <v/>
      </c>
    </row>
    <row r="908">
      <c r="B908" s="8" t="n"/>
      <c r="C908" s="9">
        <f>IFERROR(_xll.ciqfunctions.udf.CIQ(mh_ticker, "IQ_LASTSALEPRICE", B908), "")</f>
        <v/>
      </c>
      <c r="D908" s="10">
        <f>IFERROR(_xll.ciqfunctions.udf.CIQ(mh_ticker, "IQ_SHARESOUTSTANDING_OUT", B908), "")</f>
        <v/>
      </c>
      <c r="E908" s="11">
        <f>IFERROR(_xll.ciqfunctions.udf.CIQ(mh_ticker, "IQ_CASH_EQUIV", , B908), "")</f>
        <v/>
      </c>
      <c r="F908" s="11">
        <f>IFERROR(_xll.ciqfunctions.udf.CIQ(mh_ticker, "IQ_ST_INVEST", , B908), "")</f>
        <v/>
      </c>
      <c r="G908" s="11">
        <f>IFERROR(_xll.ciqfunctions.udf.CIQ(mh_ticker, "IQ_TOTAL_DEBT_EXCL_OPER_LEASES", , B908), "")</f>
        <v/>
      </c>
      <c r="H908" s="11">
        <f>IFERROR(_xll.ciqfunctions.udf.CIQ(mh_ticker, "IQ_PREF_EQUITY", , B908), "")</f>
        <v/>
      </c>
      <c r="I908" s="11">
        <f>IFERROR(_xll.ciqfunctions.udf.CIQ(mh_ticker, "IQ_MINORITY_INTEREST", , B908), "")</f>
        <v/>
      </c>
      <c r="J908" s="11">
        <f>IFERROR(_xll.ciqfunctions.udf.CIQ(mh_ticker, "IQ_EQUITY_METHOD", , B908), "")</f>
        <v/>
      </c>
      <c r="K908" s="11">
        <f>IFERROR(_xll.ciqfunctions.udf.CIQ(mh_ticker, "IQ_LT_Mark_Securities", , B908), "")</f>
        <v/>
      </c>
      <c r="L908" s="12">
        <f>IFERROR(C908*D908, "")</f>
        <v/>
      </c>
      <c r="M908" s="12">
        <f>IFERROR(L908-E908-F908+G908+H908+I908-J908-K908, "")</f>
        <v/>
      </c>
      <c r="N908" s="11">
        <f>IFERROR(_xll.ciqfunctions.udf.CIQ(mh_ticker, "IQ_EBITDA_EST", IQ_NTM, B908, , , "USD"), "")</f>
        <v/>
      </c>
      <c r="O908" s="13">
        <f>IFERROR(M908/N908, "")</f>
        <v/>
      </c>
    </row>
    <row r="909">
      <c r="B909" s="8" t="n"/>
      <c r="C909" s="9">
        <f>IFERROR(_xll.ciqfunctions.udf.CIQ(mh_ticker, "IQ_LASTSALEPRICE", B909), "")</f>
        <v/>
      </c>
      <c r="D909" s="10">
        <f>IFERROR(_xll.ciqfunctions.udf.CIQ(mh_ticker, "IQ_SHARESOUTSTANDING_OUT", B909), "")</f>
        <v/>
      </c>
      <c r="E909" s="11">
        <f>IFERROR(_xll.ciqfunctions.udf.CIQ(mh_ticker, "IQ_CASH_EQUIV", , B909), "")</f>
        <v/>
      </c>
      <c r="F909" s="11">
        <f>IFERROR(_xll.ciqfunctions.udf.CIQ(mh_ticker, "IQ_ST_INVEST", , B909), "")</f>
        <v/>
      </c>
      <c r="G909" s="11">
        <f>IFERROR(_xll.ciqfunctions.udf.CIQ(mh_ticker, "IQ_TOTAL_DEBT_EXCL_OPER_LEASES", , B909), "")</f>
        <v/>
      </c>
      <c r="H909" s="11">
        <f>IFERROR(_xll.ciqfunctions.udf.CIQ(mh_ticker, "IQ_PREF_EQUITY", , B909), "")</f>
        <v/>
      </c>
      <c r="I909" s="11">
        <f>IFERROR(_xll.ciqfunctions.udf.CIQ(mh_ticker, "IQ_MINORITY_INTEREST", , B909), "")</f>
        <v/>
      </c>
      <c r="J909" s="11">
        <f>IFERROR(_xll.ciqfunctions.udf.CIQ(mh_ticker, "IQ_EQUITY_METHOD", , B909), "")</f>
        <v/>
      </c>
      <c r="K909" s="11">
        <f>IFERROR(_xll.ciqfunctions.udf.CIQ(mh_ticker, "IQ_LT_Mark_Securities", , B909), "")</f>
        <v/>
      </c>
      <c r="L909" s="12">
        <f>IFERROR(C909*D909, "")</f>
        <v/>
      </c>
      <c r="M909" s="12">
        <f>IFERROR(L909-E909-F909+G909+H909+I909-J909-K909, "")</f>
        <v/>
      </c>
      <c r="N909" s="11">
        <f>IFERROR(_xll.ciqfunctions.udf.CIQ(mh_ticker, "IQ_EBITDA_EST", IQ_NTM, B909, , , "USD"), "")</f>
        <v/>
      </c>
      <c r="O909" s="13">
        <f>IFERROR(M909/N909, "")</f>
        <v/>
      </c>
    </row>
    <row r="910">
      <c r="B910" s="8" t="n"/>
      <c r="C910" s="9">
        <f>IFERROR(_xll.ciqfunctions.udf.CIQ(mh_ticker, "IQ_LASTSALEPRICE", B910), "")</f>
        <v/>
      </c>
      <c r="D910" s="10">
        <f>IFERROR(_xll.ciqfunctions.udf.CIQ(mh_ticker, "IQ_SHARESOUTSTANDING_OUT", B910), "")</f>
        <v/>
      </c>
      <c r="E910" s="11">
        <f>IFERROR(_xll.ciqfunctions.udf.CIQ(mh_ticker, "IQ_CASH_EQUIV", , B910), "")</f>
        <v/>
      </c>
      <c r="F910" s="11">
        <f>IFERROR(_xll.ciqfunctions.udf.CIQ(mh_ticker, "IQ_ST_INVEST", , B910), "")</f>
        <v/>
      </c>
      <c r="G910" s="11">
        <f>IFERROR(_xll.ciqfunctions.udf.CIQ(mh_ticker, "IQ_TOTAL_DEBT_EXCL_OPER_LEASES", , B910), "")</f>
        <v/>
      </c>
      <c r="H910" s="11">
        <f>IFERROR(_xll.ciqfunctions.udf.CIQ(mh_ticker, "IQ_PREF_EQUITY", , B910), "")</f>
        <v/>
      </c>
      <c r="I910" s="11">
        <f>IFERROR(_xll.ciqfunctions.udf.CIQ(mh_ticker, "IQ_MINORITY_INTEREST", , B910), "")</f>
        <v/>
      </c>
      <c r="J910" s="11">
        <f>IFERROR(_xll.ciqfunctions.udf.CIQ(mh_ticker, "IQ_EQUITY_METHOD", , B910), "")</f>
        <v/>
      </c>
      <c r="K910" s="11">
        <f>IFERROR(_xll.ciqfunctions.udf.CIQ(mh_ticker, "IQ_LT_Mark_Securities", , B910), "")</f>
        <v/>
      </c>
      <c r="L910" s="12">
        <f>IFERROR(C910*D910, "")</f>
        <v/>
      </c>
      <c r="M910" s="12">
        <f>IFERROR(L910-E910-F910+G910+H910+I910-J910-K910, "")</f>
        <v/>
      </c>
      <c r="N910" s="11">
        <f>IFERROR(_xll.ciqfunctions.udf.CIQ(mh_ticker, "IQ_EBITDA_EST", IQ_NTM, B910, , , "USD"), "")</f>
        <v/>
      </c>
      <c r="O910" s="13">
        <f>IFERROR(M910/N910, "")</f>
        <v/>
      </c>
    </row>
    <row r="911">
      <c r="B911" s="8" t="n"/>
      <c r="C911" s="9">
        <f>IFERROR(_xll.ciqfunctions.udf.CIQ(mh_ticker, "IQ_LASTSALEPRICE", B911), "")</f>
        <v/>
      </c>
      <c r="D911" s="10">
        <f>IFERROR(_xll.ciqfunctions.udf.CIQ(mh_ticker, "IQ_SHARESOUTSTANDING_OUT", B911), "")</f>
        <v/>
      </c>
      <c r="E911" s="11">
        <f>IFERROR(_xll.ciqfunctions.udf.CIQ(mh_ticker, "IQ_CASH_EQUIV", , B911), "")</f>
        <v/>
      </c>
      <c r="F911" s="11">
        <f>IFERROR(_xll.ciqfunctions.udf.CIQ(mh_ticker, "IQ_ST_INVEST", , B911), "")</f>
        <v/>
      </c>
      <c r="G911" s="11">
        <f>IFERROR(_xll.ciqfunctions.udf.CIQ(mh_ticker, "IQ_TOTAL_DEBT_EXCL_OPER_LEASES", , B911), "")</f>
        <v/>
      </c>
      <c r="H911" s="11">
        <f>IFERROR(_xll.ciqfunctions.udf.CIQ(mh_ticker, "IQ_PREF_EQUITY", , B911), "")</f>
        <v/>
      </c>
      <c r="I911" s="11">
        <f>IFERROR(_xll.ciqfunctions.udf.CIQ(mh_ticker, "IQ_MINORITY_INTEREST", , B911), "")</f>
        <v/>
      </c>
      <c r="J911" s="11">
        <f>IFERROR(_xll.ciqfunctions.udf.CIQ(mh_ticker, "IQ_EQUITY_METHOD", , B911), "")</f>
        <v/>
      </c>
      <c r="K911" s="11">
        <f>IFERROR(_xll.ciqfunctions.udf.CIQ(mh_ticker, "IQ_LT_Mark_Securities", , B911), "")</f>
        <v/>
      </c>
      <c r="L911" s="12">
        <f>IFERROR(C911*D911, "")</f>
        <v/>
      </c>
      <c r="M911" s="12">
        <f>IFERROR(L911-E911-F911+G911+H911+I911-J911-K911, "")</f>
        <v/>
      </c>
      <c r="N911" s="11">
        <f>IFERROR(_xll.ciqfunctions.udf.CIQ(mh_ticker, "IQ_EBITDA_EST", IQ_NTM, B911, , , "USD"), "")</f>
        <v/>
      </c>
      <c r="O911" s="13">
        <f>IFERROR(M911/N911, "")</f>
        <v/>
      </c>
    </row>
    <row r="912">
      <c r="B912" s="8" t="n"/>
      <c r="C912" s="9">
        <f>IFERROR(_xll.ciqfunctions.udf.CIQ(mh_ticker, "IQ_LASTSALEPRICE", B912), "")</f>
        <v/>
      </c>
      <c r="D912" s="10">
        <f>IFERROR(_xll.ciqfunctions.udf.CIQ(mh_ticker, "IQ_SHARESOUTSTANDING_OUT", B912), "")</f>
        <v/>
      </c>
      <c r="E912" s="11">
        <f>IFERROR(_xll.ciqfunctions.udf.CIQ(mh_ticker, "IQ_CASH_EQUIV", , B912), "")</f>
        <v/>
      </c>
      <c r="F912" s="11">
        <f>IFERROR(_xll.ciqfunctions.udf.CIQ(mh_ticker, "IQ_ST_INVEST", , B912), "")</f>
        <v/>
      </c>
      <c r="G912" s="11">
        <f>IFERROR(_xll.ciqfunctions.udf.CIQ(mh_ticker, "IQ_TOTAL_DEBT_EXCL_OPER_LEASES", , B912), "")</f>
        <v/>
      </c>
      <c r="H912" s="11">
        <f>IFERROR(_xll.ciqfunctions.udf.CIQ(mh_ticker, "IQ_PREF_EQUITY", , B912), "")</f>
        <v/>
      </c>
      <c r="I912" s="11">
        <f>IFERROR(_xll.ciqfunctions.udf.CIQ(mh_ticker, "IQ_MINORITY_INTEREST", , B912), "")</f>
        <v/>
      </c>
      <c r="J912" s="11">
        <f>IFERROR(_xll.ciqfunctions.udf.CIQ(mh_ticker, "IQ_EQUITY_METHOD", , B912), "")</f>
        <v/>
      </c>
      <c r="K912" s="11">
        <f>IFERROR(_xll.ciqfunctions.udf.CIQ(mh_ticker, "IQ_LT_Mark_Securities", , B912), "")</f>
        <v/>
      </c>
      <c r="L912" s="12">
        <f>IFERROR(C912*D912, "")</f>
        <v/>
      </c>
      <c r="M912" s="12">
        <f>IFERROR(L912-E912-F912+G912+H912+I912-J912-K912, "")</f>
        <v/>
      </c>
      <c r="N912" s="11">
        <f>IFERROR(_xll.ciqfunctions.udf.CIQ(mh_ticker, "IQ_EBITDA_EST", IQ_NTM, B912, , , "USD"), "")</f>
        <v/>
      </c>
      <c r="O912" s="13">
        <f>IFERROR(M912/N912, "")</f>
        <v/>
      </c>
    </row>
    <row r="913">
      <c r="B913" s="8" t="n"/>
      <c r="C913" s="9">
        <f>IFERROR(_xll.ciqfunctions.udf.CIQ(mh_ticker, "IQ_LASTSALEPRICE", B913), "")</f>
        <v/>
      </c>
      <c r="D913" s="10">
        <f>IFERROR(_xll.ciqfunctions.udf.CIQ(mh_ticker, "IQ_SHARESOUTSTANDING_OUT", B913), "")</f>
        <v/>
      </c>
      <c r="E913" s="11">
        <f>IFERROR(_xll.ciqfunctions.udf.CIQ(mh_ticker, "IQ_CASH_EQUIV", , B913), "")</f>
        <v/>
      </c>
      <c r="F913" s="11">
        <f>IFERROR(_xll.ciqfunctions.udf.CIQ(mh_ticker, "IQ_ST_INVEST", , B913), "")</f>
        <v/>
      </c>
      <c r="G913" s="11">
        <f>IFERROR(_xll.ciqfunctions.udf.CIQ(mh_ticker, "IQ_TOTAL_DEBT_EXCL_OPER_LEASES", , B913), "")</f>
        <v/>
      </c>
      <c r="H913" s="11">
        <f>IFERROR(_xll.ciqfunctions.udf.CIQ(mh_ticker, "IQ_PREF_EQUITY", , B913), "")</f>
        <v/>
      </c>
      <c r="I913" s="11">
        <f>IFERROR(_xll.ciqfunctions.udf.CIQ(mh_ticker, "IQ_MINORITY_INTEREST", , B913), "")</f>
        <v/>
      </c>
      <c r="J913" s="11">
        <f>IFERROR(_xll.ciqfunctions.udf.CIQ(mh_ticker, "IQ_EQUITY_METHOD", , B913), "")</f>
        <v/>
      </c>
      <c r="K913" s="11">
        <f>IFERROR(_xll.ciqfunctions.udf.CIQ(mh_ticker, "IQ_LT_Mark_Securities", , B913), "")</f>
        <v/>
      </c>
      <c r="L913" s="12">
        <f>IFERROR(C913*D913, "")</f>
        <v/>
      </c>
      <c r="M913" s="12">
        <f>IFERROR(L913-E913-F913+G913+H913+I913-J913-K913, "")</f>
        <v/>
      </c>
      <c r="N913" s="11">
        <f>IFERROR(_xll.ciqfunctions.udf.CIQ(mh_ticker, "IQ_EBITDA_EST", IQ_NTM, B913, , , "USD"), "")</f>
        <v/>
      </c>
      <c r="O913" s="13">
        <f>IFERROR(M913/N913, "")</f>
        <v/>
      </c>
    </row>
    <row r="914">
      <c r="B914" s="8" t="n"/>
      <c r="C914" s="9">
        <f>IFERROR(_xll.ciqfunctions.udf.CIQ(mh_ticker, "IQ_LASTSALEPRICE", B914), "")</f>
        <v/>
      </c>
      <c r="D914" s="10">
        <f>IFERROR(_xll.ciqfunctions.udf.CIQ(mh_ticker, "IQ_SHARESOUTSTANDING_OUT", B914), "")</f>
        <v/>
      </c>
      <c r="E914" s="11">
        <f>IFERROR(_xll.ciqfunctions.udf.CIQ(mh_ticker, "IQ_CASH_EQUIV", , B914), "")</f>
        <v/>
      </c>
      <c r="F914" s="11">
        <f>IFERROR(_xll.ciqfunctions.udf.CIQ(mh_ticker, "IQ_ST_INVEST", , B914), "")</f>
        <v/>
      </c>
      <c r="G914" s="11">
        <f>IFERROR(_xll.ciqfunctions.udf.CIQ(mh_ticker, "IQ_TOTAL_DEBT_EXCL_OPER_LEASES", , B914), "")</f>
        <v/>
      </c>
      <c r="H914" s="11">
        <f>IFERROR(_xll.ciqfunctions.udf.CIQ(mh_ticker, "IQ_PREF_EQUITY", , B914), "")</f>
        <v/>
      </c>
      <c r="I914" s="11">
        <f>IFERROR(_xll.ciqfunctions.udf.CIQ(mh_ticker, "IQ_MINORITY_INTEREST", , B914), "")</f>
        <v/>
      </c>
      <c r="J914" s="11">
        <f>IFERROR(_xll.ciqfunctions.udf.CIQ(mh_ticker, "IQ_EQUITY_METHOD", , B914), "")</f>
        <v/>
      </c>
      <c r="K914" s="11">
        <f>IFERROR(_xll.ciqfunctions.udf.CIQ(mh_ticker, "IQ_LT_Mark_Securities", , B914), "")</f>
        <v/>
      </c>
      <c r="L914" s="12">
        <f>IFERROR(C914*D914, "")</f>
        <v/>
      </c>
      <c r="M914" s="12">
        <f>IFERROR(L914-E914-F914+G914+H914+I914-J914-K914, "")</f>
        <v/>
      </c>
      <c r="N914" s="11">
        <f>IFERROR(_xll.ciqfunctions.udf.CIQ(mh_ticker, "IQ_EBITDA_EST", IQ_NTM, B914, , , "USD"), "")</f>
        <v/>
      </c>
      <c r="O914" s="13">
        <f>IFERROR(M914/N914, "")</f>
        <v/>
      </c>
    </row>
    <row r="915">
      <c r="B915" s="8" t="n"/>
      <c r="C915" s="9">
        <f>IFERROR(_xll.ciqfunctions.udf.CIQ(mh_ticker, "IQ_LASTSALEPRICE", B915), "")</f>
        <v/>
      </c>
      <c r="D915" s="10">
        <f>IFERROR(_xll.ciqfunctions.udf.CIQ(mh_ticker, "IQ_SHARESOUTSTANDING_OUT", B915), "")</f>
        <v/>
      </c>
      <c r="E915" s="11">
        <f>IFERROR(_xll.ciqfunctions.udf.CIQ(mh_ticker, "IQ_CASH_EQUIV", , B915), "")</f>
        <v/>
      </c>
      <c r="F915" s="11">
        <f>IFERROR(_xll.ciqfunctions.udf.CIQ(mh_ticker, "IQ_ST_INVEST", , B915), "")</f>
        <v/>
      </c>
      <c r="G915" s="11">
        <f>IFERROR(_xll.ciqfunctions.udf.CIQ(mh_ticker, "IQ_TOTAL_DEBT_EXCL_OPER_LEASES", , B915), "")</f>
        <v/>
      </c>
      <c r="H915" s="11">
        <f>IFERROR(_xll.ciqfunctions.udf.CIQ(mh_ticker, "IQ_PREF_EQUITY", , B915), "")</f>
        <v/>
      </c>
      <c r="I915" s="11">
        <f>IFERROR(_xll.ciqfunctions.udf.CIQ(mh_ticker, "IQ_MINORITY_INTEREST", , B915), "")</f>
        <v/>
      </c>
      <c r="J915" s="11">
        <f>IFERROR(_xll.ciqfunctions.udf.CIQ(mh_ticker, "IQ_EQUITY_METHOD", , B915), "")</f>
        <v/>
      </c>
      <c r="K915" s="11">
        <f>IFERROR(_xll.ciqfunctions.udf.CIQ(mh_ticker, "IQ_LT_Mark_Securities", , B915), "")</f>
        <v/>
      </c>
      <c r="L915" s="12">
        <f>IFERROR(C915*D915, "")</f>
        <v/>
      </c>
      <c r="M915" s="12">
        <f>IFERROR(L915-E915-F915+G915+H915+I915-J915-K915, "")</f>
        <v/>
      </c>
      <c r="N915" s="11">
        <f>IFERROR(_xll.ciqfunctions.udf.CIQ(mh_ticker, "IQ_EBITDA_EST", IQ_NTM, B915, , , "USD"), "")</f>
        <v/>
      </c>
      <c r="O915" s="13">
        <f>IFERROR(M915/N915, "")</f>
        <v/>
      </c>
    </row>
    <row r="916">
      <c r="B916" s="8" t="n"/>
      <c r="C916" s="9">
        <f>IFERROR(_xll.ciqfunctions.udf.CIQ(mh_ticker, "IQ_LASTSALEPRICE", B916), "")</f>
        <v/>
      </c>
      <c r="D916" s="10">
        <f>IFERROR(_xll.ciqfunctions.udf.CIQ(mh_ticker, "IQ_SHARESOUTSTANDING_OUT", B916), "")</f>
        <v/>
      </c>
      <c r="E916" s="11">
        <f>IFERROR(_xll.ciqfunctions.udf.CIQ(mh_ticker, "IQ_CASH_EQUIV", , B916), "")</f>
        <v/>
      </c>
      <c r="F916" s="11">
        <f>IFERROR(_xll.ciqfunctions.udf.CIQ(mh_ticker, "IQ_ST_INVEST", , B916), "")</f>
        <v/>
      </c>
      <c r="G916" s="11">
        <f>IFERROR(_xll.ciqfunctions.udf.CIQ(mh_ticker, "IQ_TOTAL_DEBT_EXCL_OPER_LEASES", , B916), "")</f>
        <v/>
      </c>
      <c r="H916" s="11">
        <f>IFERROR(_xll.ciqfunctions.udf.CIQ(mh_ticker, "IQ_PREF_EQUITY", , B916), "")</f>
        <v/>
      </c>
      <c r="I916" s="11">
        <f>IFERROR(_xll.ciqfunctions.udf.CIQ(mh_ticker, "IQ_MINORITY_INTEREST", , B916), "")</f>
        <v/>
      </c>
      <c r="J916" s="11">
        <f>IFERROR(_xll.ciqfunctions.udf.CIQ(mh_ticker, "IQ_EQUITY_METHOD", , B916), "")</f>
        <v/>
      </c>
      <c r="K916" s="11">
        <f>IFERROR(_xll.ciqfunctions.udf.CIQ(mh_ticker, "IQ_LT_Mark_Securities", , B916), "")</f>
        <v/>
      </c>
      <c r="L916" s="12">
        <f>IFERROR(C916*D916, "")</f>
        <v/>
      </c>
      <c r="M916" s="12">
        <f>IFERROR(L916-E916-F916+G916+H916+I916-J916-K916, "")</f>
        <v/>
      </c>
      <c r="N916" s="11">
        <f>IFERROR(_xll.ciqfunctions.udf.CIQ(mh_ticker, "IQ_EBITDA_EST", IQ_NTM, B916, , , "USD"), "")</f>
        <v/>
      </c>
      <c r="O916" s="13">
        <f>IFERROR(M916/N916, "")</f>
        <v/>
      </c>
    </row>
    <row r="917">
      <c r="B917" s="8" t="n"/>
      <c r="C917" s="9">
        <f>IFERROR(_xll.ciqfunctions.udf.CIQ(mh_ticker, "IQ_LASTSALEPRICE", B917), "")</f>
        <v/>
      </c>
      <c r="D917" s="10">
        <f>IFERROR(_xll.ciqfunctions.udf.CIQ(mh_ticker, "IQ_SHARESOUTSTANDING_OUT", B917), "")</f>
        <v/>
      </c>
      <c r="E917" s="11">
        <f>IFERROR(_xll.ciqfunctions.udf.CIQ(mh_ticker, "IQ_CASH_EQUIV", , B917), "")</f>
        <v/>
      </c>
      <c r="F917" s="11">
        <f>IFERROR(_xll.ciqfunctions.udf.CIQ(mh_ticker, "IQ_ST_INVEST", , B917), "")</f>
        <v/>
      </c>
      <c r="G917" s="11">
        <f>IFERROR(_xll.ciqfunctions.udf.CIQ(mh_ticker, "IQ_TOTAL_DEBT_EXCL_OPER_LEASES", , B917), "")</f>
        <v/>
      </c>
      <c r="H917" s="11">
        <f>IFERROR(_xll.ciqfunctions.udf.CIQ(mh_ticker, "IQ_PREF_EQUITY", , B917), "")</f>
        <v/>
      </c>
      <c r="I917" s="11">
        <f>IFERROR(_xll.ciqfunctions.udf.CIQ(mh_ticker, "IQ_MINORITY_INTEREST", , B917), "")</f>
        <v/>
      </c>
      <c r="J917" s="11">
        <f>IFERROR(_xll.ciqfunctions.udf.CIQ(mh_ticker, "IQ_EQUITY_METHOD", , B917), "")</f>
        <v/>
      </c>
      <c r="K917" s="11">
        <f>IFERROR(_xll.ciqfunctions.udf.CIQ(mh_ticker, "IQ_LT_Mark_Securities", , B917), "")</f>
        <v/>
      </c>
      <c r="L917" s="12">
        <f>IFERROR(C917*D917, "")</f>
        <v/>
      </c>
      <c r="M917" s="12">
        <f>IFERROR(L917-E917-F917+G917+H917+I917-J917-K917, "")</f>
        <v/>
      </c>
      <c r="N917" s="11">
        <f>IFERROR(_xll.ciqfunctions.udf.CIQ(mh_ticker, "IQ_EBITDA_EST", IQ_NTM, B917, , , "USD"), "")</f>
        <v/>
      </c>
      <c r="O917" s="13">
        <f>IFERROR(M917/N917, "")</f>
        <v/>
      </c>
    </row>
    <row r="918">
      <c r="B918" s="8" t="n"/>
      <c r="C918" s="9">
        <f>IFERROR(_xll.ciqfunctions.udf.CIQ(mh_ticker, "IQ_LASTSALEPRICE", B918), "")</f>
        <v/>
      </c>
      <c r="D918" s="10">
        <f>IFERROR(_xll.ciqfunctions.udf.CIQ(mh_ticker, "IQ_SHARESOUTSTANDING_OUT", B918), "")</f>
        <v/>
      </c>
      <c r="E918" s="11">
        <f>IFERROR(_xll.ciqfunctions.udf.CIQ(mh_ticker, "IQ_CASH_EQUIV", , B918), "")</f>
        <v/>
      </c>
      <c r="F918" s="11">
        <f>IFERROR(_xll.ciqfunctions.udf.CIQ(mh_ticker, "IQ_ST_INVEST", , B918), "")</f>
        <v/>
      </c>
      <c r="G918" s="11">
        <f>IFERROR(_xll.ciqfunctions.udf.CIQ(mh_ticker, "IQ_TOTAL_DEBT_EXCL_OPER_LEASES", , B918), "")</f>
        <v/>
      </c>
      <c r="H918" s="11">
        <f>IFERROR(_xll.ciqfunctions.udf.CIQ(mh_ticker, "IQ_PREF_EQUITY", , B918), "")</f>
        <v/>
      </c>
      <c r="I918" s="11">
        <f>IFERROR(_xll.ciqfunctions.udf.CIQ(mh_ticker, "IQ_MINORITY_INTEREST", , B918), "")</f>
        <v/>
      </c>
      <c r="J918" s="11">
        <f>IFERROR(_xll.ciqfunctions.udf.CIQ(mh_ticker, "IQ_EQUITY_METHOD", , B918), "")</f>
        <v/>
      </c>
      <c r="K918" s="11">
        <f>IFERROR(_xll.ciqfunctions.udf.CIQ(mh_ticker, "IQ_LT_Mark_Securities", , B918), "")</f>
        <v/>
      </c>
      <c r="L918" s="12">
        <f>IFERROR(C918*D918, "")</f>
        <v/>
      </c>
      <c r="M918" s="12">
        <f>IFERROR(L918-E918-F918+G918+H918+I918-J918-K918, "")</f>
        <v/>
      </c>
      <c r="N918" s="11">
        <f>IFERROR(_xll.ciqfunctions.udf.CIQ(mh_ticker, "IQ_EBITDA_EST", IQ_NTM, B918, , , "USD"), "")</f>
        <v/>
      </c>
      <c r="O918" s="13">
        <f>IFERROR(M918/N918, "")</f>
        <v/>
      </c>
    </row>
    <row r="919">
      <c r="B919" s="8" t="n"/>
      <c r="C919" s="9">
        <f>IFERROR(_xll.ciqfunctions.udf.CIQ(mh_ticker, "IQ_LASTSALEPRICE", B919), "")</f>
        <v/>
      </c>
      <c r="D919" s="10">
        <f>IFERROR(_xll.ciqfunctions.udf.CIQ(mh_ticker, "IQ_SHARESOUTSTANDING_OUT", B919), "")</f>
        <v/>
      </c>
      <c r="E919" s="11">
        <f>IFERROR(_xll.ciqfunctions.udf.CIQ(mh_ticker, "IQ_CASH_EQUIV", , B919), "")</f>
        <v/>
      </c>
      <c r="F919" s="11">
        <f>IFERROR(_xll.ciqfunctions.udf.CIQ(mh_ticker, "IQ_ST_INVEST", , B919), "")</f>
        <v/>
      </c>
      <c r="G919" s="11">
        <f>IFERROR(_xll.ciqfunctions.udf.CIQ(mh_ticker, "IQ_TOTAL_DEBT_EXCL_OPER_LEASES", , B919), "")</f>
        <v/>
      </c>
      <c r="H919" s="11">
        <f>IFERROR(_xll.ciqfunctions.udf.CIQ(mh_ticker, "IQ_PREF_EQUITY", , B919), "")</f>
        <v/>
      </c>
      <c r="I919" s="11">
        <f>IFERROR(_xll.ciqfunctions.udf.CIQ(mh_ticker, "IQ_MINORITY_INTEREST", , B919), "")</f>
        <v/>
      </c>
      <c r="J919" s="11">
        <f>IFERROR(_xll.ciqfunctions.udf.CIQ(mh_ticker, "IQ_EQUITY_METHOD", , B919), "")</f>
        <v/>
      </c>
      <c r="K919" s="11">
        <f>IFERROR(_xll.ciqfunctions.udf.CIQ(mh_ticker, "IQ_LT_Mark_Securities", , B919), "")</f>
        <v/>
      </c>
      <c r="L919" s="12">
        <f>IFERROR(C919*D919, "")</f>
        <v/>
      </c>
      <c r="M919" s="12">
        <f>IFERROR(L919-E919-F919+G919+H919+I919-J919-K919, "")</f>
        <v/>
      </c>
      <c r="N919" s="11">
        <f>IFERROR(_xll.ciqfunctions.udf.CIQ(mh_ticker, "IQ_EBITDA_EST", IQ_NTM, B919, , , "USD"), "")</f>
        <v/>
      </c>
      <c r="O919" s="13">
        <f>IFERROR(M919/N919, "")</f>
        <v/>
      </c>
    </row>
    <row r="920">
      <c r="B920" s="8" t="n"/>
      <c r="C920" s="9">
        <f>IFERROR(_xll.ciqfunctions.udf.CIQ(mh_ticker, "IQ_LASTSALEPRICE", B920), "")</f>
        <v/>
      </c>
      <c r="D920" s="10">
        <f>IFERROR(_xll.ciqfunctions.udf.CIQ(mh_ticker, "IQ_SHARESOUTSTANDING_OUT", B920), "")</f>
        <v/>
      </c>
      <c r="E920" s="11">
        <f>IFERROR(_xll.ciqfunctions.udf.CIQ(mh_ticker, "IQ_CASH_EQUIV", , B920), "")</f>
        <v/>
      </c>
      <c r="F920" s="11">
        <f>IFERROR(_xll.ciqfunctions.udf.CIQ(mh_ticker, "IQ_ST_INVEST", , B920), "")</f>
        <v/>
      </c>
      <c r="G920" s="11">
        <f>IFERROR(_xll.ciqfunctions.udf.CIQ(mh_ticker, "IQ_TOTAL_DEBT_EXCL_OPER_LEASES", , B920), "")</f>
        <v/>
      </c>
      <c r="H920" s="11">
        <f>IFERROR(_xll.ciqfunctions.udf.CIQ(mh_ticker, "IQ_PREF_EQUITY", , B920), "")</f>
        <v/>
      </c>
      <c r="I920" s="11">
        <f>IFERROR(_xll.ciqfunctions.udf.CIQ(mh_ticker, "IQ_MINORITY_INTEREST", , B920), "")</f>
        <v/>
      </c>
      <c r="J920" s="11">
        <f>IFERROR(_xll.ciqfunctions.udf.CIQ(mh_ticker, "IQ_EQUITY_METHOD", , B920), "")</f>
        <v/>
      </c>
      <c r="K920" s="11">
        <f>IFERROR(_xll.ciqfunctions.udf.CIQ(mh_ticker, "IQ_LT_Mark_Securities", , B920), "")</f>
        <v/>
      </c>
      <c r="L920" s="12">
        <f>IFERROR(C920*D920, "")</f>
        <v/>
      </c>
      <c r="M920" s="12">
        <f>IFERROR(L920-E920-F920+G920+H920+I920-J920-K920, "")</f>
        <v/>
      </c>
      <c r="N920" s="11">
        <f>IFERROR(_xll.ciqfunctions.udf.CIQ(mh_ticker, "IQ_EBITDA_EST", IQ_NTM, B920, , , "USD"), "")</f>
        <v/>
      </c>
      <c r="O920" s="13">
        <f>IFERROR(M920/N920, "")</f>
        <v/>
      </c>
    </row>
    <row r="921">
      <c r="B921" s="8" t="n"/>
      <c r="C921" s="9">
        <f>IFERROR(_xll.ciqfunctions.udf.CIQ(mh_ticker, "IQ_LASTSALEPRICE", B921), "")</f>
        <v/>
      </c>
      <c r="D921" s="10">
        <f>IFERROR(_xll.ciqfunctions.udf.CIQ(mh_ticker, "IQ_SHARESOUTSTANDING_OUT", B921), "")</f>
        <v/>
      </c>
      <c r="E921" s="11">
        <f>IFERROR(_xll.ciqfunctions.udf.CIQ(mh_ticker, "IQ_CASH_EQUIV", , B921), "")</f>
        <v/>
      </c>
      <c r="F921" s="11">
        <f>IFERROR(_xll.ciqfunctions.udf.CIQ(mh_ticker, "IQ_ST_INVEST", , B921), "")</f>
        <v/>
      </c>
      <c r="G921" s="11">
        <f>IFERROR(_xll.ciqfunctions.udf.CIQ(mh_ticker, "IQ_TOTAL_DEBT_EXCL_OPER_LEASES", , B921), "")</f>
        <v/>
      </c>
      <c r="H921" s="11">
        <f>IFERROR(_xll.ciqfunctions.udf.CIQ(mh_ticker, "IQ_PREF_EQUITY", , B921), "")</f>
        <v/>
      </c>
      <c r="I921" s="11">
        <f>IFERROR(_xll.ciqfunctions.udf.CIQ(mh_ticker, "IQ_MINORITY_INTEREST", , B921), "")</f>
        <v/>
      </c>
      <c r="J921" s="11">
        <f>IFERROR(_xll.ciqfunctions.udf.CIQ(mh_ticker, "IQ_EQUITY_METHOD", , B921), "")</f>
        <v/>
      </c>
      <c r="K921" s="11">
        <f>IFERROR(_xll.ciqfunctions.udf.CIQ(mh_ticker, "IQ_LT_Mark_Securities", , B921), "")</f>
        <v/>
      </c>
      <c r="L921" s="12">
        <f>IFERROR(C921*D921, "")</f>
        <v/>
      </c>
      <c r="M921" s="12">
        <f>IFERROR(L921-E921-F921+G921+H921+I921-J921-K921, "")</f>
        <v/>
      </c>
      <c r="N921" s="11">
        <f>IFERROR(_xll.ciqfunctions.udf.CIQ(mh_ticker, "IQ_EBITDA_EST", IQ_NTM, B921, , , "USD"), "")</f>
        <v/>
      </c>
      <c r="O921" s="13">
        <f>IFERROR(M921/N921, "")</f>
        <v/>
      </c>
    </row>
    <row r="922">
      <c r="B922" s="8" t="n"/>
      <c r="C922" s="9">
        <f>IFERROR(_xll.ciqfunctions.udf.CIQ(mh_ticker, "IQ_LASTSALEPRICE", B922), "")</f>
        <v/>
      </c>
      <c r="D922" s="10">
        <f>IFERROR(_xll.ciqfunctions.udf.CIQ(mh_ticker, "IQ_SHARESOUTSTANDING_OUT", B922), "")</f>
        <v/>
      </c>
      <c r="E922" s="11">
        <f>IFERROR(_xll.ciqfunctions.udf.CIQ(mh_ticker, "IQ_CASH_EQUIV", , B922), "")</f>
        <v/>
      </c>
      <c r="F922" s="11">
        <f>IFERROR(_xll.ciqfunctions.udf.CIQ(mh_ticker, "IQ_ST_INVEST", , B922), "")</f>
        <v/>
      </c>
      <c r="G922" s="11">
        <f>IFERROR(_xll.ciqfunctions.udf.CIQ(mh_ticker, "IQ_TOTAL_DEBT_EXCL_OPER_LEASES", , B922), "")</f>
        <v/>
      </c>
      <c r="H922" s="11">
        <f>IFERROR(_xll.ciqfunctions.udf.CIQ(mh_ticker, "IQ_PREF_EQUITY", , B922), "")</f>
        <v/>
      </c>
      <c r="I922" s="11">
        <f>IFERROR(_xll.ciqfunctions.udf.CIQ(mh_ticker, "IQ_MINORITY_INTEREST", , B922), "")</f>
        <v/>
      </c>
      <c r="J922" s="11">
        <f>IFERROR(_xll.ciqfunctions.udf.CIQ(mh_ticker, "IQ_EQUITY_METHOD", , B922), "")</f>
        <v/>
      </c>
      <c r="K922" s="11">
        <f>IFERROR(_xll.ciqfunctions.udf.CIQ(mh_ticker, "IQ_LT_Mark_Securities", , B922), "")</f>
        <v/>
      </c>
      <c r="L922" s="12">
        <f>IFERROR(C922*D922, "")</f>
        <v/>
      </c>
      <c r="M922" s="12">
        <f>IFERROR(L922-E922-F922+G922+H922+I922-J922-K922, "")</f>
        <v/>
      </c>
      <c r="N922" s="11">
        <f>IFERROR(_xll.ciqfunctions.udf.CIQ(mh_ticker, "IQ_EBITDA_EST", IQ_NTM, B922, , , "USD"), "")</f>
        <v/>
      </c>
      <c r="O922" s="13">
        <f>IFERROR(M922/N922, "")</f>
        <v/>
      </c>
    </row>
    <row r="923">
      <c r="B923" s="8" t="n"/>
      <c r="C923" s="9">
        <f>IFERROR(_xll.ciqfunctions.udf.CIQ(mh_ticker, "IQ_LASTSALEPRICE", B923), "")</f>
        <v/>
      </c>
      <c r="D923" s="10">
        <f>IFERROR(_xll.ciqfunctions.udf.CIQ(mh_ticker, "IQ_SHARESOUTSTANDING_OUT", B923), "")</f>
        <v/>
      </c>
      <c r="E923" s="11">
        <f>IFERROR(_xll.ciqfunctions.udf.CIQ(mh_ticker, "IQ_CASH_EQUIV", , B923), "")</f>
        <v/>
      </c>
      <c r="F923" s="11">
        <f>IFERROR(_xll.ciqfunctions.udf.CIQ(mh_ticker, "IQ_ST_INVEST", , B923), "")</f>
        <v/>
      </c>
      <c r="G923" s="11">
        <f>IFERROR(_xll.ciqfunctions.udf.CIQ(mh_ticker, "IQ_TOTAL_DEBT_EXCL_OPER_LEASES", , B923), "")</f>
        <v/>
      </c>
      <c r="H923" s="11">
        <f>IFERROR(_xll.ciqfunctions.udf.CIQ(mh_ticker, "IQ_PREF_EQUITY", , B923), "")</f>
        <v/>
      </c>
      <c r="I923" s="11">
        <f>IFERROR(_xll.ciqfunctions.udf.CIQ(mh_ticker, "IQ_MINORITY_INTEREST", , B923), "")</f>
        <v/>
      </c>
      <c r="J923" s="11">
        <f>IFERROR(_xll.ciqfunctions.udf.CIQ(mh_ticker, "IQ_EQUITY_METHOD", , B923), "")</f>
        <v/>
      </c>
      <c r="K923" s="11">
        <f>IFERROR(_xll.ciqfunctions.udf.CIQ(mh_ticker, "IQ_LT_Mark_Securities", , B923), "")</f>
        <v/>
      </c>
      <c r="L923" s="12">
        <f>IFERROR(C923*D923, "")</f>
        <v/>
      </c>
      <c r="M923" s="12">
        <f>IFERROR(L923-E923-F923+G923+H923+I923-J923-K923, "")</f>
        <v/>
      </c>
      <c r="N923" s="11">
        <f>IFERROR(_xll.ciqfunctions.udf.CIQ(mh_ticker, "IQ_EBITDA_EST", IQ_NTM, B923, , , "USD"), "")</f>
        <v/>
      </c>
      <c r="O923" s="13">
        <f>IFERROR(M923/N923, "")</f>
        <v/>
      </c>
    </row>
    <row r="924">
      <c r="B924" s="8" t="n"/>
      <c r="C924" s="9">
        <f>IFERROR(_xll.ciqfunctions.udf.CIQ(mh_ticker, "IQ_LASTSALEPRICE", B924), "")</f>
        <v/>
      </c>
      <c r="D924" s="10">
        <f>IFERROR(_xll.ciqfunctions.udf.CIQ(mh_ticker, "IQ_SHARESOUTSTANDING_OUT", B924), "")</f>
        <v/>
      </c>
      <c r="E924" s="11">
        <f>IFERROR(_xll.ciqfunctions.udf.CIQ(mh_ticker, "IQ_CASH_EQUIV", , B924), "")</f>
        <v/>
      </c>
      <c r="F924" s="11">
        <f>IFERROR(_xll.ciqfunctions.udf.CIQ(mh_ticker, "IQ_ST_INVEST", , B924), "")</f>
        <v/>
      </c>
      <c r="G924" s="11">
        <f>IFERROR(_xll.ciqfunctions.udf.CIQ(mh_ticker, "IQ_TOTAL_DEBT_EXCL_OPER_LEASES", , B924), "")</f>
        <v/>
      </c>
      <c r="H924" s="11">
        <f>IFERROR(_xll.ciqfunctions.udf.CIQ(mh_ticker, "IQ_PREF_EQUITY", , B924), "")</f>
        <v/>
      </c>
      <c r="I924" s="11">
        <f>IFERROR(_xll.ciqfunctions.udf.CIQ(mh_ticker, "IQ_MINORITY_INTEREST", , B924), "")</f>
        <v/>
      </c>
      <c r="J924" s="11">
        <f>IFERROR(_xll.ciqfunctions.udf.CIQ(mh_ticker, "IQ_EQUITY_METHOD", , B924), "")</f>
        <v/>
      </c>
      <c r="K924" s="11">
        <f>IFERROR(_xll.ciqfunctions.udf.CIQ(mh_ticker, "IQ_LT_Mark_Securities", , B924), "")</f>
        <v/>
      </c>
      <c r="L924" s="12">
        <f>IFERROR(C924*D924, "")</f>
        <v/>
      </c>
      <c r="M924" s="12">
        <f>IFERROR(L924-E924-F924+G924+H924+I924-J924-K924, "")</f>
        <v/>
      </c>
      <c r="N924" s="11">
        <f>IFERROR(_xll.ciqfunctions.udf.CIQ(mh_ticker, "IQ_EBITDA_EST", IQ_NTM, B924, , , "USD"), "")</f>
        <v/>
      </c>
      <c r="O924" s="13">
        <f>IFERROR(M924/N924, "")</f>
        <v/>
      </c>
    </row>
    <row r="925">
      <c r="B925" s="8" t="n"/>
      <c r="C925" s="9">
        <f>IFERROR(_xll.ciqfunctions.udf.CIQ(mh_ticker, "IQ_LASTSALEPRICE", B925), "")</f>
        <v/>
      </c>
      <c r="D925" s="10">
        <f>IFERROR(_xll.ciqfunctions.udf.CIQ(mh_ticker, "IQ_SHARESOUTSTANDING_OUT", B925), "")</f>
        <v/>
      </c>
      <c r="E925" s="11">
        <f>IFERROR(_xll.ciqfunctions.udf.CIQ(mh_ticker, "IQ_CASH_EQUIV", , B925), "")</f>
        <v/>
      </c>
      <c r="F925" s="11">
        <f>IFERROR(_xll.ciqfunctions.udf.CIQ(mh_ticker, "IQ_ST_INVEST", , B925), "")</f>
        <v/>
      </c>
      <c r="G925" s="11">
        <f>IFERROR(_xll.ciqfunctions.udf.CIQ(mh_ticker, "IQ_TOTAL_DEBT_EXCL_OPER_LEASES", , B925), "")</f>
        <v/>
      </c>
      <c r="H925" s="11">
        <f>IFERROR(_xll.ciqfunctions.udf.CIQ(mh_ticker, "IQ_PREF_EQUITY", , B925), "")</f>
        <v/>
      </c>
      <c r="I925" s="11">
        <f>IFERROR(_xll.ciqfunctions.udf.CIQ(mh_ticker, "IQ_MINORITY_INTEREST", , B925), "")</f>
        <v/>
      </c>
      <c r="J925" s="11">
        <f>IFERROR(_xll.ciqfunctions.udf.CIQ(mh_ticker, "IQ_EQUITY_METHOD", , B925), "")</f>
        <v/>
      </c>
      <c r="K925" s="11">
        <f>IFERROR(_xll.ciqfunctions.udf.CIQ(mh_ticker, "IQ_LT_Mark_Securities", , B925), "")</f>
        <v/>
      </c>
      <c r="L925" s="12">
        <f>IFERROR(C925*D925, "")</f>
        <v/>
      </c>
      <c r="M925" s="12">
        <f>IFERROR(L925-E925-F925+G925+H925+I925-J925-K925, "")</f>
        <v/>
      </c>
      <c r="N925" s="11">
        <f>IFERROR(_xll.ciqfunctions.udf.CIQ(mh_ticker, "IQ_EBITDA_EST", IQ_NTM, B925, , , "USD"), "")</f>
        <v/>
      </c>
      <c r="O925" s="13">
        <f>IFERROR(M925/N925, "")</f>
        <v/>
      </c>
    </row>
    <row r="926">
      <c r="B926" s="8" t="n"/>
      <c r="C926" s="9">
        <f>IFERROR(_xll.ciqfunctions.udf.CIQ(mh_ticker, "IQ_LASTSALEPRICE", B926), "")</f>
        <v/>
      </c>
      <c r="D926" s="10">
        <f>IFERROR(_xll.ciqfunctions.udf.CIQ(mh_ticker, "IQ_SHARESOUTSTANDING_OUT", B926), "")</f>
        <v/>
      </c>
      <c r="E926" s="11">
        <f>IFERROR(_xll.ciqfunctions.udf.CIQ(mh_ticker, "IQ_CASH_EQUIV", , B926), "")</f>
        <v/>
      </c>
      <c r="F926" s="11">
        <f>IFERROR(_xll.ciqfunctions.udf.CIQ(mh_ticker, "IQ_ST_INVEST", , B926), "")</f>
        <v/>
      </c>
      <c r="G926" s="11">
        <f>IFERROR(_xll.ciqfunctions.udf.CIQ(mh_ticker, "IQ_TOTAL_DEBT_EXCL_OPER_LEASES", , B926), "")</f>
        <v/>
      </c>
      <c r="H926" s="11">
        <f>IFERROR(_xll.ciqfunctions.udf.CIQ(mh_ticker, "IQ_PREF_EQUITY", , B926), "")</f>
        <v/>
      </c>
      <c r="I926" s="11">
        <f>IFERROR(_xll.ciqfunctions.udf.CIQ(mh_ticker, "IQ_MINORITY_INTEREST", , B926), "")</f>
        <v/>
      </c>
      <c r="J926" s="11">
        <f>IFERROR(_xll.ciqfunctions.udf.CIQ(mh_ticker, "IQ_EQUITY_METHOD", , B926), "")</f>
        <v/>
      </c>
      <c r="K926" s="11">
        <f>IFERROR(_xll.ciqfunctions.udf.CIQ(mh_ticker, "IQ_LT_Mark_Securities", , B926), "")</f>
        <v/>
      </c>
      <c r="L926" s="12">
        <f>IFERROR(C926*D926, "")</f>
        <v/>
      </c>
      <c r="M926" s="12">
        <f>IFERROR(L926-E926-F926+G926+H926+I926-J926-K926, "")</f>
        <v/>
      </c>
      <c r="N926" s="11">
        <f>IFERROR(_xll.ciqfunctions.udf.CIQ(mh_ticker, "IQ_EBITDA_EST", IQ_NTM, B926, , , "USD"), "")</f>
        <v/>
      </c>
      <c r="O926" s="13">
        <f>IFERROR(M926/N926, "")</f>
        <v/>
      </c>
    </row>
    <row r="927">
      <c r="B927" s="8" t="n"/>
      <c r="C927" s="9">
        <f>IFERROR(_xll.ciqfunctions.udf.CIQ(mh_ticker, "IQ_LASTSALEPRICE", B927), "")</f>
        <v/>
      </c>
      <c r="D927" s="10">
        <f>IFERROR(_xll.ciqfunctions.udf.CIQ(mh_ticker, "IQ_SHARESOUTSTANDING_OUT", B927), "")</f>
        <v/>
      </c>
      <c r="E927" s="11">
        <f>IFERROR(_xll.ciqfunctions.udf.CIQ(mh_ticker, "IQ_CASH_EQUIV", , B927), "")</f>
        <v/>
      </c>
      <c r="F927" s="11">
        <f>IFERROR(_xll.ciqfunctions.udf.CIQ(mh_ticker, "IQ_ST_INVEST", , B927), "")</f>
        <v/>
      </c>
      <c r="G927" s="11">
        <f>IFERROR(_xll.ciqfunctions.udf.CIQ(mh_ticker, "IQ_TOTAL_DEBT_EXCL_OPER_LEASES", , B927), "")</f>
        <v/>
      </c>
      <c r="H927" s="11">
        <f>IFERROR(_xll.ciqfunctions.udf.CIQ(mh_ticker, "IQ_PREF_EQUITY", , B927), "")</f>
        <v/>
      </c>
      <c r="I927" s="11">
        <f>IFERROR(_xll.ciqfunctions.udf.CIQ(mh_ticker, "IQ_MINORITY_INTEREST", , B927), "")</f>
        <v/>
      </c>
      <c r="J927" s="11">
        <f>IFERROR(_xll.ciqfunctions.udf.CIQ(mh_ticker, "IQ_EQUITY_METHOD", , B927), "")</f>
        <v/>
      </c>
      <c r="K927" s="11">
        <f>IFERROR(_xll.ciqfunctions.udf.CIQ(mh_ticker, "IQ_LT_Mark_Securities", , B927), "")</f>
        <v/>
      </c>
      <c r="L927" s="12">
        <f>IFERROR(C927*D927, "")</f>
        <v/>
      </c>
      <c r="M927" s="12">
        <f>IFERROR(L927-E927-F927+G927+H927+I927-J927-K927, "")</f>
        <v/>
      </c>
      <c r="N927" s="11">
        <f>IFERROR(_xll.ciqfunctions.udf.CIQ(mh_ticker, "IQ_EBITDA_EST", IQ_NTM, B927, , , "USD"), "")</f>
        <v/>
      </c>
      <c r="O927" s="13">
        <f>IFERROR(M927/N927, "")</f>
        <v/>
      </c>
    </row>
    <row r="928">
      <c r="B928" s="8" t="n"/>
      <c r="C928" s="9">
        <f>IFERROR(_xll.ciqfunctions.udf.CIQ(mh_ticker, "IQ_LASTSALEPRICE", B928), "")</f>
        <v/>
      </c>
      <c r="D928" s="10">
        <f>IFERROR(_xll.ciqfunctions.udf.CIQ(mh_ticker, "IQ_SHARESOUTSTANDING_OUT", B928), "")</f>
        <v/>
      </c>
      <c r="E928" s="11">
        <f>IFERROR(_xll.ciqfunctions.udf.CIQ(mh_ticker, "IQ_CASH_EQUIV", , B928), "")</f>
        <v/>
      </c>
      <c r="F928" s="11">
        <f>IFERROR(_xll.ciqfunctions.udf.CIQ(mh_ticker, "IQ_ST_INVEST", , B928), "")</f>
        <v/>
      </c>
      <c r="G928" s="11">
        <f>IFERROR(_xll.ciqfunctions.udf.CIQ(mh_ticker, "IQ_TOTAL_DEBT_EXCL_OPER_LEASES", , B928), "")</f>
        <v/>
      </c>
      <c r="H928" s="11">
        <f>IFERROR(_xll.ciqfunctions.udf.CIQ(mh_ticker, "IQ_PREF_EQUITY", , B928), "")</f>
        <v/>
      </c>
      <c r="I928" s="11">
        <f>IFERROR(_xll.ciqfunctions.udf.CIQ(mh_ticker, "IQ_MINORITY_INTEREST", , B928), "")</f>
        <v/>
      </c>
      <c r="J928" s="11">
        <f>IFERROR(_xll.ciqfunctions.udf.CIQ(mh_ticker, "IQ_EQUITY_METHOD", , B928), "")</f>
        <v/>
      </c>
      <c r="K928" s="11">
        <f>IFERROR(_xll.ciqfunctions.udf.CIQ(mh_ticker, "IQ_LT_Mark_Securities", , B928), "")</f>
        <v/>
      </c>
      <c r="L928" s="12">
        <f>IFERROR(C928*D928, "")</f>
        <v/>
      </c>
      <c r="M928" s="12">
        <f>IFERROR(L928-E928-F928+G928+H928+I928-J928-K928, "")</f>
        <v/>
      </c>
      <c r="N928" s="11">
        <f>IFERROR(_xll.ciqfunctions.udf.CIQ(mh_ticker, "IQ_EBITDA_EST", IQ_NTM, B928, , , "USD"), "")</f>
        <v/>
      </c>
      <c r="O928" s="13">
        <f>IFERROR(M928/N928, "")</f>
        <v/>
      </c>
    </row>
    <row r="929">
      <c r="B929" s="8" t="n"/>
      <c r="C929" s="9">
        <f>IFERROR(_xll.ciqfunctions.udf.CIQ(mh_ticker, "IQ_LASTSALEPRICE", B929), "")</f>
        <v/>
      </c>
      <c r="D929" s="10">
        <f>IFERROR(_xll.ciqfunctions.udf.CIQ(mh_ticker, "IQ_SHARESOUTSTANDING_OUT", B929), "")</f>
        <v/>
      </c>
      <c r="E929" s="11">
        <f>IFERROR(_xll.ciqfunctions.udf.CIQ(mh_ticker, "IQ_CASH_EQUIV", , B929), "")</f>
        <v/>
      </c>
      <c r="F929" s="11">
        <f>IFERROR(_xll.ciqfunctions.udf.CIQ(mh_ticker, "IQ_ST_INVEST", , B929), "")</f>
        <v/>
      </c>
      <c r="G929" s="11">
        <f>IFERROR(_xll.ciqfunctions.udf.CIQ(mh_ticker, "IQ_TOTAL_DEBT_EXCL_OPER_LEASES", , B929), "")</f>
        <v/>
      </c>
      <c r="H929" s="11">
        <f>IFERROR(_xll.ciqfunctions.udf.CIQ(mh_ticker, "IQ_PREF_EQUITY", , B929), "")</f>
        <v/>
      </c>
      <c r="I929" s="11">
        <f>IFERROR(_xll.ciqfunctions.udf.CIQ(mh_ticker, "IQ_MINORITY_INTEREST", , B929), "")</f>
        <v/>
      </c>
      <c r="J929" s="11">
        <f>IFERROR(_xll.ciqfunctions.udf.CIQ(mh_ticker, "IQ_EQUITY_METHOD", , B929), "")</f>
        <v/>
      </c>
      <c r="K929" s="11">
        <f>IFERROR(_xll.ciqfunctions.udf.CIQ(mh_ticker, "IQ_LT_Mark_Securities", , B929), "")</f>
        <v/>
      </c>
      <c r="L929" s="12">
        <f>IFERROR(C929*D929, "")</f>
        <v/>
      </c>
      <c r="M929" s="12">
        <f>IFERROR(L929-E929-F929+G929+H929+I929-J929-K929, "")</f>
        <v/>
      </c>
      <c r="N929" s="11">
        <f>IFERROR(_xll.ciqfunctions.udf.CIQ(mh_ticker, "IQ_EBITDA_EST", IQ_NTM, B929, , , "USD"), "")</f>
        <v/>
      </c>
      <c r="O929" s="13">
        <f>IFERROR(M929/N929, "")</f>
        <v/>
      </c>
    </row>
    <row r="930">
      <c r="B930" s="8" t="n"/>
      <c r="C930" s="9">
        <f>IFERROR(_xll.ciqfunctions.udf.CIQ(mh_ticker, "IQ_LASTSALEPRICE", B930), "")</f>
        <v/>
      </c>
      <c r="D930" s="10">
        <f>IFERROR(_xll.ciqfunctions.udf.CIQ(mh_ticker, "IQ_SHARESOUTSTANDING_OUT", B930), "")</f>
        <v/>
      </c>
      <c r="E930" s="11">
        <f>IFERROR(_xll.ciqfunctions.udf.CIQ(mh_ticker, "IQ_CASH_EQUIV", , B930), "")</f>
        <v/>
      </c>
      <c r="F930" s="11">
        <f>IFERROR(_xll.ciqfunctions.udf.CIQ(mh_ticker, "IQ_ST_INVEST", , B930), "")</f>
        <v/>
      </c>
      <c r="G930" s="11">
        <f>IFERROR(_xll.ciqfunctions.udf.CIQ(mh_ticker, "IQ_TOTAL_DEBT_EXCL_OPER_LEASES", , B930), "")</f>
        <v/>
      </c>
      <c r="H930" s="11">
        <f>IFERROR(_xll.ciqfunctions.udf.CIQ(mh_ticker, "IQ_PREF_EQUITY", , B930), "")</f>
        <v/>
      </c>
      <c r="I930" s="11">
        <f>IFERROR(_xll.ciqfunctions.udf.CIQ(mh_ticker, "IQ_MINORITY_INTEREST", , B930), "")</f>
        <v/>
      </c>
      <c r="J930" s="11">
        <f>IFERROR(_xll.ciqfunctions.udf.CIQ(mh_ticker, "IQ_EQUITY_METHOD", , B930), "")</f>
        <v/>
      </c>
      <c r="K930" s="11">
        <f>IFERROR(_xll.ciqfunctions.udf.CIQ(mh_ticker, "IQ_LT_Mark_Securities", , B930), "")</f>
        <v/>
      </c>
      <c r="L930" s="12">
        <f>IFERROR(C930*D930, "")</f>
        <v/>
      </c>
      <c r="M930" s="12">
        <f>IFERROR(L930-E930-F930+G930+H930+I930-J930-K930, "")</f>
        <v/>
      </c>
      <c r="N930" s="11">
        <f>IFERROR(_xll.ciqfunctions.udf.CIQ(mh_ticker, "IQ_EBITDA_EST", IQ_NTM, B930, , , "USD"), "")</f>
        <v/>
      </c>
      <c r="O930" s="13">
        <f>IFERROR(M930/N930, "")</f>
        <v/>
      </c>
    </row>
    <row r="931">
      <c r="B931" s="8" t="n"/>
      <c r="C931" s="9">
        <f>IFERROR(_xll.ciqfunctions.udf.CIQ(mh_ticker, "IQ_LASTSALEPRICE", B931), "")</f>
        <v/>
      </c>
      <c r="D931" s="10">
        <f>IFERROR(_xll.ciqfunctions.udf.CIQ(mh_ticker, "IQ_SHARESOUTSTANDING_OUT", B931), "")</f>
        <v/>
      </c>
      <c r="E931" s="11">
        <f>IFERROR(_xll.ciqfunctions.udf.CIQ(mh_ticker, "IQ_CASH_EQUIV", , B931), "")</f>
        <v/>
      </c>
      <c r="F931" s="11">
        <f>IFERROR(_xll.ciqfunctions.udf.CIQ(mh_ticker, "IQ_ST_INVEST", , B931), "")</f>
        <v/>
      </c>
      <c r="G931" s="11">
        <f>IFERROR(_xll.ciqfunctions.udf.CIQ(mh_ticker, "IQ_TOTAL_DEBT_EXCL_OPER_LEASES", , B931), "")</f>
        <v/>
      </c>
      <c r="H931" s="11">
        <f>IFERROR(_xll.ciqfunctions.udf.CIQ(mh_ticker, "IQ_PREF_EQUITY", , B931), "")</f>
        <v/>
      </c>
      <c r="I931" s="11">
        <f>IFERROR(_xll.ciqfunctions.udf.CIQ(mh_ticker, "IQ_MINORITY_INTEREST", , B931), "")</f>
        <v/>
      </c>
      <c r="J931" s="11">
        <f>IFERROR(_xll.ciqfunctions.udf.CIQ(mh_ticker, "IQ_EQUITY_METHOD", , B931), "")</f>
        <v/>
      </c>
      <c r="K931" s="11">
        <f>IFERROR(_xll.ciqfunctions.udf.CIQ(mh_ticker, "IQ_LT_Mark_Securities", , B931), "")</f>
        <v/>
      </c>
      <c r="L931" s="12">
        <f>IFERROR(C931*D931, "")</f>
        <v/>
      </c>
      <c r="M931" s="12">
        <f>IFERROR(L931-E931-F931+G931+H931+I931-J931-K931, "")</f>
        <v/>
      </c>
      <c r="N931" s="11">
        <f>IFERROR(_xll.ciqfunctions.udf.CIQ(mh_ticker, "IQ_EBITDA_EST", IQ_NTM, B931, , , "USD"), "")</f>
        <v/>
      </c>
      <c r="O931" s="13">
        <f>IFERROR(M931/N931, "")</f>
        <v/>
      </c>
    </row>
    <row r="932">
      <c r="B932" s="8" t="n"/>
      <c r="C932" s="9">
        <f>IFERROR(_xll.ciqfunctions.udf.CIQ(mh_ticker, "IQ_LASTSALEPRICE", B932), "")</f>
        <v/>
      </c>
      <c r="D932" s="10">
        <f>IFERROR(_xll.ciqfunctions.udf.CIQ(mh_ticker, "IQ_SHARESOUTSTANDING_OUT", B932), "")</f>
        <v/>
      </c>
      <c r="E932" s="11">
        <f>IFERROR(_xll.ciqfunctions.udf.CIQ(mh_ticker, "IQ_CASH_EQUIV", , B932), "")</f>
        <v/>
      </c>
      <c r="F932" s="11">
        <f>IFERROR(_xll.ciqfunctions.udf.CIQ(mh_ticker, "IQ_ST_INVEST", , B932), "")</f>
        <v/>
      </c>
      <c r="G932" s="11">
        <f>IFERROR(_xll.ciqfunctions.udf.CIQ(mh_ticker, "IQ_TOTAL_DEBT_EXCL_OPER_LEASES", , B932), "")</f>
        <v/>
      </c>
      <c r="H932" s="11">
        <f>IFERROR(_xll.ciqfunctions.udf.CIQ(mh_ticker, "IQ_PREF_EQUITY", , B932), "")</f>
        <v/>
      </c>
      <c r="I932" s="11">
        <f>IFERROR(_xll.ciqfunctions.udf.CIQ(mh_ticker, "IQ_MINORITY_INTEREST", , B932), "")</f>
        <v/>
      </c>
      <c r="J932" s="11">
        <f>IFERROR(_xll.ciqfunctions.udf.CIQ(mh_ticker, "IQ_EQUITY_METHOD", , B932), "")</f>
        <v/>
      </c>
      <c r="K932" s="11">
        <f>IFERROR(_xll.ciqfunctions.udf.CIQ(mh_ticker, "IQ_LT_Mark_Securities", , B932), "")</f>
        <v/>
      </c>
      <c r="L932" s="12">
        <f>IFERROR(C932*D932, "")</f>
        <v/>
      </c>
      <c r="M932" s="12">
        <f>IFERROR(L932-E932-F932+G932+H932+I932-J932-K932, "")</f>
        <v/>
      </c>
      <c r="N932" s="11">
        <f>IFERROR(_xll.ciqfunctions.udf.CIQ(mh_ticker, "IQ_EBITDA_EST", IQ_NTM, B932, , , "USD"), "")</f>
        <v/>
      </c>
      <c r="O932" s="13">
        <f>IFERROR(M932/N932, "")</f>
        <v/>
      </c>
    </row>
    <row r="933">
      <c r="B933" s="8" t="n"/>
      <c r="C933" s="9">
        <f>IFERROR(_xll.ciqfunctions.udf.CIQ(mh_ticker, "IQ_LASTSALEPRICE", B933), "")</f>
        <v/>
      </c>
      <c r="D933" s="10">
        <f>IFERROR(_xll.ciqfunctions.udf.CIQ(mh_ticker, "IQ_SHARESOUTSTANDING_OUT", B933), "")</f>
        <v/>
      </c>
      <c r="E933" s="11">
        <f>IFERROR(_xll.ciqfunctions.udf.CIQ(mh_ticker, "IQ_CASH_EQUIV", , B933), "")</f>
        <v/>
      </c>
      <c r="F933" s="11">
        <f>IFERROR(_xll.ciqfunctions.udf.CIQ(mh_ticker, "IQ_ST_INVEST", , B933), "")</f>
        <v/>
      </c>
      <c r="G933" s="11">
        <f>IFERROR(_xll.ciqfunctions.udf.CIQ(mh_ticker, "IQ_TOTAL_DEBT_EXCL_OPER_LEASES", , B933), "")</f>
        <v/>
      </c>
      <c r="H933" s="11">
        <f>IFERROR(_xll.ciqfunctions.udf.CIQ(mh_ticker, "IQ_PREF_EQUITY", , B933), "")</f>
        <v/>
      </c>
      <c r="I933" s="11">
        <f>IFERROR(_xll.ciqfunctions.udf.CIQ(mh_ticker, "IQ_MINORITY_INTEREST", , B933), "")</f>
        <v/>
      </c>
      <c r="J933" s="11">
        <f>IFERROR(_xll.ciqfunctions.udf.CIQ(mh_ticker, "IQ_EQUITY_METHOD", , B933), "")</f>
        <v/>
      </c>
      <c r="K933" s="11">
        <f>IFERROR(_xll.ciqfunctions.udf.CIQ(mh_ticker, "IQ_LT_Mark_Securities", , B933), "")</f>
        <v/>
      </c>
      <c r="L933" s="12">
        <f>IFERROR(C933*D933, "")</f>
        <v/>
      </c>
      <c r="M933" s="12">
        <f>IFERROR(L933-E933-F933+G933+H933+I933-J933-K933, "")</f>
        <v/>
      </c>
      <c r="N933" s="11">
        <f>IFERROR(_xll.ciqfunctions.udf.CIQ(mh_ticker, "IQ_EBITDA_EST", IQ_NTM, B933, , , "USD"), "")</f>
        <v/>
      </c>
      <c r="O933" s="13">
        <f>IFERROR(M933/N933, "")</f>
        <v/>
      </c>
    </row>
    <row r="934">
      <c r="B934" s="8" t="n"/>
      <c r="C934" s="9">
        <f>IFERROR(_xll.ciqfunctions.udf.CIQ(mh_ticker, "IQ_LASTSALEPRICE", B934), "")</f>
        <v/>
      </c>
      <c r="D934" s="10">
        <f>IFERROR(_xll.ciqfunctions.udf.CIQ(mh_ticker, "IQ_SHARESOUTSTANDING_OUT", B934), "")</f>
        <v/>
      </c>
      <c r="E934" s="11">
        <f>IFERROR(_xll.ciqfunctions.udf.CIQ(mh_ticker, "IQ_CASH_EQUIV", , B934), "")</f>
        <v/>
      </c>
      <c r="F934" s="11">
        <f>IFERROR(_xll.ciqfunctions.udf.CIQ(mh_ticker, "IQ_ST_INVEST", , B934), "")</f>
        <v/>
      </c>
      <c r="G934" s="11">
        <f>IFERROR(_xll.ciqfunctions.udf.CIQ(mh_ticker, "IQ_TOTAL_DEBT_EXCL_OPER_LEASES", , B934), "")</f>
        <v/>
      </c>
      <c r="H934" s="11">
        <f>IFERROR(_xll.ciqfunctions.udf.CIQ(mh_ticker, "IQ_PREF_EQUITY", , B934), "")</f>
        <v/>
      </c>
      <c r="I934" s="11">
        <f>IFERROR(_xll.ciqfunctions.udf.CIQ(mh_ticker, "IQ_MINORITY_INTEREST", , B934), "")</f>
        <v/>
      </c>
      <c r="J934" s="11">
        <f>IFERROR(_xll.ciqfunctions.udf.CIQ(mh_ticker, "IQ_EQUITY_METHOD", , B934), "")</f>
        <v/>
      </c>
      <c r="K934" s="11">
        <f>IFERROR(_xll.ciqfunctions.udf.CIQ(mh_ticker, "IQ_LT_Mark_Securities", , B934), "")</f>
        <v/>
      </c>
      <c r="L934" s="12">
        <f>IFERROR(C934*D934, "")</f>
        <v/>
      </c>
      <c r="M934" s="12">
        <f>IFERROR(L934-E934-F934+G934+H934+I934-J934-K934, "")</f>
        <v/>
      </c>
      <c r="N934" s="11">
        <f>IFERROR(_xll.ciqfunctions.udf.CIQ(mh_ticker, "IQ_EBITDA_EST", IQ_NTM, B934, , , "USD"), "")</f>
        <v/>
      </c>
      <c r="O934" s="13">
        <f>IFERROR(M934/N934, "")</f>
        <v/>
      </c>
    </row>
    <row r="935">
      <c r="B935" s="8" t="n"/>
      <c r="C935" s="9">
        <f>IFERROR(_xll.ciqfunctions.udf.CIQ(mh_ticker, "IQ_LASTSALEPRICE", B935), "")</f>
        <v/>
      </c>
      <c r="D935" s="10">
        <f>IFERROR(_xll.ciqfunctions.udf.CIQ(mh_ticker, "IQ_SHARESOUTSTANDING_OUT", B935), "")</f>
        <v/>
      </c>
      <c r="E935" s="11">
        <f>IFERROR(_xll.ciqfunctions.udf.CIQ(mh_ticker, "IQ_CASH_EQUIV", , B935), "")</f>
        <v/>
      </c>
      <c r="F935" s="11">
        <f>IFERROR(_xll.ciqfunctions.udf.CIQ(mh_ticker, "IQ_ST_INVEST", , B935), "")</f>
        <v/>
      </c>
      <c r="G935" s="11">
        <f>IFERROR(_xll.ciqfunctions.udf.CIQ(mh_ticker, "IQ_TOTAL_DEBT_EXCL_OPER_LEASES", , B935), "")</f>
        <v/>
      </c>
      <c r="H935" s="11">
        <f>IFERROR(_xll.ciqfunctions.udf.CIQ(mh_ticker, "IQ_PREF_EQUITY", , B935), "")</f>
        <v/>
      </c>
      <c r="I935" s="11">
        <f>IFERROR(_xll.ciqfunctions.udf.CIQ(mh_ticker, "IQ_MINORITY_INTEREST", , B935), "")</f>
        <v/>
      </c>
      <c r="J935" s="11">
        <f>IFERROR(_xll.ciqfunctions.udf.CIQ(mh_ticker, "IQ_EQUITY_METHOD", , B935), "")</f>
        <v/>
      </c>
      <c r="K935" s="11">
        <f>IFERROR(_xll.ciqfunctions.udf.CIQ(mh_ticker, "IQ_LT_Mark_Securities", , B935), "")</f>
        <v/>
      </c>
      <c r="L935" s="12">
        <f>IFERROR(C935*D935, "")</f>
        <v/>
      </c>
      <c r="M935" s="12">
        <f>IFERROR(L935-E935-F935+G935+H935+I935-J935-K935, "")</f>
        <v/>
      </c>
      <c r="N935" s="11">
        <f>IFERROR(_xll.ciqfunctions.udf.CIQ(mh_ticker, "IQ_EBITDA_EST", IQ_NTM, B935, , , "USD"), "")</f>
        <v/>
      </c>
      <c r="O935" s="13">
        <f>IFERROR(M935/N935, "")</f>
        <v/>
      </c>
    </row>
    <row r="936">
      <c r="B936" s="8" t="n"/>
      <c r="C936" s="9">
        <f>IFERROR(_xll.ciqfunctions.udf.CIQ(mh_ticker, "IQ_LASTSALEPRICE", B936), "")</f>
        <v/>
      </c>
      <c r="D936" s="10">
        <f>IFERROR(_xll.ciqfunctions.udf.CIQ(mh_ticker, "IQ_SHARESOUTSTANDING_OUT", B936), "")</f>
        <v/>
      </c>
      <c r="E936" s="11">
        <f>IFERROR(_xll.ciqfunctions.udf.CIQ(mh_ticker, "IQ_CASH_EQUIV", , B936), "")</f>
        <v/>
      </c>
      <c r="F936" s="11">
        <f>IFERROR(_xll.ciqfunctions.udf.CIQ(mh_ticker, "IQ_ST_INVEST", , B936), "")</f>
        <v/>
      </c>
      <c r="G936" s="11">
        <f>IFERROR(_xll.ciqfunctions.udf.CIQ(mh_ticker, "IQ_TOTAL_DEBT_EXCL_OPER_LEASES", , B936), "")</f>
        <v/>
      </c>
      <c r="H936" s="11">
        <f>IFERROR(_xll.ciqfunctions.udf.CIQ(mh_ticker, "IQ_PREF_EQUITY", , B936), "")</f>
        <v/>
      </c>
      <c r="I936" s="11">
        <f>IFERROR(_xll.ciqfunctions.udf.CIQ(mh_ticker, "IQ_MINORITY_INTEREST", , B936), "")</f>
        <v/>
      </c>
      <c r="J936" s="11">
        <f>IFERROR(_xll.ciqfunctions.udf.CIQ(mh_ticker, "IQ_EQUITY_METHOD", , B936), "")</f>
        <v/>
      </c>
      <c r="K936" s="11">
        <f>IFERROR(_xll.ciqfunctions.udf.CIQ(mh_ticker, "IQ_LT_Mark_Securities", , B936), "")</f>
        <v/>
      </c>
      <c r="L936" s="12">
        <f>IFERROR(C936*D936, "")</f>
        <v/>
      </c>
      <c r="M936" s="12">
        <f>IFERROR(L936-E936-F936+G936+H936+I936-J936-K936, "")</f>
        <v/>
      </c>
      <c r="N936" s="11">
        <f>IFERROR(_xll.ciqfunctions.udf.CIQ(mh_ticker, "IQ_EBITDA_EST", IQ_NTM, B936, , , "USD"), "")</f>
        <v/>
      </c>
      <c r="O936" s="13">
        <f>IFERROR(M936/N936, "")</f>
        <v/>
      </c>
    </row>
    <row r="937">
      <c r="B937" s="8" t="n"/>
      <c r="C937" s="9">
        <f>IFERROR(_xll.ciqfunctions.udf.CIQ(mh_ticker, "IQ_LASTSALEPRICE", B937), "")</f>
        <v/>
      </c>
      <c r="D937" s="10">
        <f>IFERROR(_xll.ciqfunctions.udf.CIQ(mh_ticker, "IQ_SHARESOUTSTANDING_OUT", B937), "")</f>
        <v/>
      </c>
      <c r="E937" s="11">
        <f>IFERROR(_xll.ciqfunctions.udf.CIQ(mh_ticker, "IQ_CASH_EQUIV", , B937), "")</f>
        <v/>
      </c>
      <c r="F937" s="11">
        <f>IFERROR(_xll.ciqfunctions.udf.CIQ(mh_ticker, "IQ_ST_INVEST", , B937), "")</f>
        <v/>
      </c>
      <c r="G937" s="11">
        <f>IFERROR(_xll.ciqfunctions.udf.CIQ(mh_ticker, "IQ_TOTAL_DEBT_EXCL_OPER_LEASES", , B937), "")</f>
        <v/>
      </c>
      <c r="H937" s="11">
        <f>IFERROR(_xll.ciqfunctions.udf.CIQ(mh_ticker, "IQ_PREF_EQUITY", , B937), "")</f>
        <v/>
      </c>
      <c r="I937" s="11">
        <f>IFERROR(_xll.ciqfunctions.udf.CIQ(mh_ticker, "IQ_MINORITY_INTEREST", , B937), "")</f>
        <v/>
      </c>
      <c r="J937" s="11">
        <f>IFERROR(_xll.ciqfunctions.udf.CIQ(mh_ticker, "IQ_EQUITY_METHOD", , B937), "")</f>
        <v/>
      </c>
      <c r="K937" s="11">
        <f>IFERROR(_xll.ciqfunctions.udf.CIQ(mh_ticker, "IQ_LT_Mark_Securities", , B937), "")</f>
        <v/>
      </c>
      <c r="L937" s="12">
        <f>IFERROR(C937*D937, "")</f>
        <v/>
      </c>
      <c r="M937" s="12">
        <f>IFERROR(L937-E937-F937+G937+H937+I937-J937-K937, "")</f>
        <v/>
      </c>
      <c r="N937" s="11">
        <f>IFERROR(_xll.ciqfunctions.udf.CIQ(mh_ticker, "IQ_EBITDA_EST", IQ_NTM, B937, , , "USD"), "")</f>
        <v/>
      </c>
      <c r="O937" s="13">
        <f>IFERROR(M937/N937, "")</f>
        <v/>
      </c>
    </row>
    <row r="938">
      <c r="B938" s="8" t="n"/>
      <c r="C938" s="9">
        <f>IFERROR(_xll.ciqfunctions.udf.CIQ(mh_ticker, "IQ_LASTSALEPRICE", B938), "")</f>
        <v/>
      </c>
      <c r="D938" s="10">
        <f>IFERROR(_xll.ciqfunctions.udf.CIQ(mh_ticker, "IQ_SHARESOUTSTANDING_OUT", B938), "")</f>
        <v/>
      </c>
      <c r="E938" s="11">
        <f>IFERROR(_xll.ciqfunctions.udf.CIQ(mh_ticker, "IQ_CASH_EQUIV", , B938), "")</f>
        <v/>
      </c>
      <c r="F938" s="11">
        <f>IFERROR(_xll.ciqfunctions.udf.CIQ(mh_ticker, "IQ_ST_INVEST", , B938), "")</f>
        <v/>
      </c>
      <c r="G938" s="11">
        <f>IFERROR(_xll.ciqfunctions.udf.CIQ(mh_ticker, "IQ_TOTAL_DEBT_EXCL_OPER_LEASES", , B938), "")</f>
        <v/>
      </c>
      <c r="H938" s="11">
        <f>IFERROR(_xll.ciqfunctions.udf.CIQ(mh_ticker, "IQ_PREF_EQUITY", , B938), "")</f>
        <v/>
      </c>
      <c r="I938" s="11">
        <f>IFERROR(_xll.ciqfunctions.udf.CIQ(mh_ticker, "IQ_MINORITY_INTEREST", , B938), "")</f>
        <v/>
      </c>
      <c r="J938" s="11">
        <f>IFERROR(_xll.ciqfunctions.udf.CIQ(mh_ticker, "IQ_EQUITY_METHOD", , B938), "")</f>
        <v/>
      </c>
      <c r="K938" s="11">
        <f>IFERROR(_xll.ciqfunctions.udf.CIQ(mh_ticker, "IQ_LT_Mark_Securities", , B938), "")</f>
        <v/>
      </c>
      <c r="L938" s="12">
        <f>IFERROR(C938*D938, "")</f>
        <v/>
      </c>
      <c r="M938" s="12">
        <f>IFERROR(L938-E938-F938+G938+H938+I938-J938-K938, "")</f>
        <v/>
      </c>
      <c r="N938" s="11">
        <f>IFERROR(_xll.ciqfunctions.udf.CIQ(mh_ticker, "IQ_EBITDA_EST", IQ_NTM, B938, , , "USD"), "")</f>
        <v/>
      </c>
      <c r="O938" s="13">
        <f>IFERROR(M938/N938, "")</f>
        <v/>
      </c>
    </row>
    <row r="939">
      <c r="B939" s="8" t="n"/>
      <c r="C939" s="9">
        <f>IFERROR(_xll.ciqfunctions.udf.CIQ(mh_ticker, "IQ_LASTSALEPRICE", B939), "")</f>
        <v/>
      </c>
      <c r="D939" s="10">
        <f>IFERROR(_xll.ciqfunctions.udf.CIQ(mh_ticker, "IQ_SHARESOUTSTANDING_OUT", B939), "")</f>
        <v/>
      </c>
      <c r="E939" s="11">
        <f>IFERROR(_xll.ciqfunctions.udf.CIQ(mh_ticker, "IQ_CASH_EQUIV", , B939), "")</f>
        <v/>
      </c>
      <c r="F939" s="11">
        <f>IFERROR(_xll.ciqfunctions.udf.CIQ(mh_ticker, "IQ_ST_INVEST", , B939), "")</f>
        <v/>
      </c>
      <c r="G939" s="11">
        <f>IFERROR(_xll.ciqfunctions.udf.CIQ(mh_ticker, "IQ_TOTAL_DEBT_EXCL_OPER_LEASES", , B939), "")</f>
        <v/>
      </c>
      <c r="H939" s="11">
        <f>IFERROR(_xll.ciqfunctions.udf.CIQ(mh_ticker, "IQ_PREF_EQUITY", , B939), "")</f>
        <v/>
      </c>
      <c r="I939" s="11">
        <f>IFERROR(_xll.ciqfunctions.udf.CIQ(mh_ticker, "IQ_MINORITY_INTEREST", , B939), "")</f>
        <v/>
      </c>
      <c r="J939" s="11">
        <f>IFERROR(_xll.ciqfunctions.udf.CIQ(mh_ticker, "IQ_EQUITY_METHOD", , B939), "")</f>
        <v/>
      </c>
      <c r="K939" s="11">
        <f>IFERROR(_xll.ciqfunctions.udf.CIQ(mh_ticker, "IQ_LT_Mark_Securities", , B939), "")</f>
        <v/>
      </c>
      <c r="L939" s="12">
        <f>IFERROR(C939*D939, "")</f>
        <v/>
      </c>
      <c r="M939" s="12">
        <f>IFERROR(L939-E939-F939+G939+H939+I939-J939-K939, "")</f>
        <v/>
      </c>
      <c r="N939" s="11">
        <f>IFERROR(_xll.ciqfunctions.udf.CIQ(mh_ticker, "IQ_EBITDA_EST", IQ_NTM, B939, , , "USD"), "")</f>
        <v/>
      </c>
      <c r="O939" s="13">
        <f>IFERROR(M939/N939, "")</f>
        <v/>
      </c>
    </row>
    <row r="940">
      <c r="B940" s="8" t="n"/>
      <c r="C940" s="9">
        <f>IFERROR(_xll.ciqfunctions.udf.CIQ(mh_ticker, "IQ_LASTSALEPRICE", B940), "")</f>
        <v/>
      </c>
      <c r="D940" s="10">
        <f>IFERROR(_xll.ciqfunctions.udf.CIQ(mh_ticker, "IQ_SHARESOUTSTANDING_OUT", B940), "")</f>
        <v/>
      </c>
      <c r="E940" s="11">
        <f>IFERROR(_xll.ciqfunctions.udf.CIQ(mh_ticker, "IQ_CASH_EQUIV", , B940), "")</f>
        <v/>
      </c>
      <c r="F940" s="11">
        <f>IFERROR(_xll.ciqfunctions.udf.CIQ(mh_ticker, "IQ_ST_INVEST", , B940), "")</f>
        <v/>
      </c>
      <c r="G940" s="11">
        <f>IFERROR(_xll.ciqfunctions.udf.CIQ(mh_ticker, "IQ_TOTAL_DEBT_EXCL_OPER_LEASES", , B940), "")</f>
        <v/>
      </c>
      <c r="H940" s="11">
        <f>IFERROR(_xll.ciqfunctions.udf.CIQ(mh_ticker, "IQ_PREF_EQUITY", , B940), "")</f>
        <v/>
      </c>
      <c r="I940" s="11">
        <f>IFERROR(_xll.ciqfunctions.udf.CIQ(mh_ticker, "IQ_MINORITY_INTEREST", , B940), "")</f>
        <v/>
      </c>
      <c r="J940" s="11">
        <f>IFERROR(_xll.ciqfunctions.udf.CIQ(mh_ticker, "IQ_EQUITY_METHOD", , B940), "")</f>
        <v/>
      </c>
      <c r="K940" s="11">
        <f>IFERROR(_xll.ciqfunctions.udf.CIQ(mh_ticker, "IQ_LT_Mark_Securities", , B940), "")</f>
        <v/>
      </c>
      <c r="L940" s="12">
        <f>IFERROR(C940*D940, "")</f>
        <v/>
      </c>
      <c r="M940" s="12">
        <f>IFERROR(L940-E940-F940+G940+H940+I940-J940-K940, "")</f>
        <v/>
      </c>
      <c r="N940" s="11">
        <f>IFERROR(_xll.ciqfunctions.udf.CIQ(mh_ticker, "IQ_EBITDA_EST", IQ_NTM, B940, , , "USD"), "")</f>
        <v/>
      </c>
      <c r="O940" s="13">
        <f>IFERROR(M940/N940, "")</f>
        <v/>
      </c>
    </row>
    <row r="941">
      <c r="B941" s="8" t="n"/>
      <c r="C941" s="9">
        <f>IFERROR(_xll.ciqfunctions.udf.CIQ(mh_ticker, "IQ_LASTSALEPRICE", B941), "")</f>
        <v/>
      </c>
      <c r="D941" s="10">
        <f>IFERROR(_xll.ciqfunctions.udf.CIQ(mh_ticker, "IQ_SHARESOUTSTANDING_OUT", B941), "")</f>
        <v/>
      </c>
      <c r="E941" s="11">
        <f>IFERROR(_xll.ciqfunctions.udf.CIQ(mh_ticker, "IQ_CASH_EQUIV", , B941), "")</f>
        <v/>
      </c>
      <c r="F941" s="11">
        <f>IFERROR(_xll.ciqfunctions.udf.CIQ(mh_ticker, "IQ_ST_INVEST", , B941), "")</f>
        <v/>
      </c>
      <c r="G941" s="11">
        <f>IFERROR(_xll.ciqfunctions.udf.CIQ(mh_ticker, "IQ_TOTAL_DEBT_EXCL_OPER_LEASES", , B941), "")</f>
        <v/>
      </c>
      <c r="H941" s="11">
        <f>IFERROR(_xll.ciqfunctions.udf.CIQ(mh_ticker, "IQ_PREF_EQUITY", , B941), "")</f>
        <v/>
      </c>
      <c r="I941" s="11">
        <f>IFERROR(_xll.ciqfunctions.udf.CIQ(mh_ticker, "IQ_MINORITY_INTEREST", , B941), "")</f>
        <v/>
      </c>
      <c r="J941" s="11">
        <f>IFERROR(_xll.ciqfunctions.udf.CIQ(mh_ticker, "IQ_EQUITY_METHOD", , B941), "")</f>
        <v/>
      </c>
      <c r="K941" s="11">
        <f>IFERROR(_xll.ciqfunctions.udf.CIQ(mh_ticker, "IQ_LT_Mark_Securities", , B941), "")</f>
        <v/>
      </c>
      <c r="L941" s="12">
        <f>IFERROR(C941*D941, "")</f>
        <v/>
      </c>
      <c r="M941" s="12">
        <f>IFERROR(L941-E941-F941+G941+H941+I941-J941-K941, "")</f>
        <v/>
      </c>
      <c r="N941" s="11">
        <f>IFERROR(_xll.ciqfunctions.udf.CIQ(mh_ticker, "IQ_EBITDA_EST", IQ_NTM, B941, , , "USD"), "")</f>
        <v/>
      </c>
      <c r="O941" s="13">
        <f>IFERROR(M941/N941, "")</f>
        <v/>
      </c>
    </row>
    <row r="942">
      <c r="B942" s="8" t="n"/>
      <c r="C942" s="9">
        <f>IFERROR(_xll.ciqfunctions.udf.CIQ(mh_ticker, "IQ_LASTSALEPRICE", B942), "")</f>
        <v/>
      </c>
      <c r="D942" s="10">
        <f>IFERROR(_xll.ciqfunctions.udf.CIQ(mh_ticker, "IQ_SHARESOUTSTANDING_OUT", B942), "")</f>
        <v/>
      </c>
      <c r="E942" s="11">
        <f>IFERROR(_xll.ciqfunctions.udf.CIQ(mh_ticker, "IQ_CASH_EQUIV", , B942), "")</f>
        <v/>
      </c>
      <c r="F942" s="11">
        <f>IFERROR(_xll.ciqfunctions.udf.CIQ(mh_ticker, "IQ_ST_INVEST", , B942), "")</f>
        <v/>
      </c>
      <c r="G942" s="11">
        <f>IFERROR(_xll.ciqfunctions.udf.CIQ(mh_ticker, "IQ_TOTAL_DEBT_EXCL_OPER_LEASES", , B942), "")</f>
        <v/>
      </c>
      <c r="H942" s="11">
        <f>IFERROR(_xll.ciqfunctions.udf.CIQ(mh_ticker, "IQ_PREF_EQUITY", , B942), "")</f>
        <v/>
      </c>
      <c r="I942" s="11">
        <f>IFERROR(_xll.ciqfunctions.udf.CIQ(mh_ticker, "IQ_MINORITY_INTEREST", , B942), "")</f>
        <v/>
      </c>
      <c r="J942" s="11">
        <f>IFERROR(_xll.ciqfunctions.udf.CIQ(mh_ticker, "IQ_EQUITY_METHOD", , B942), "")</f>
        <v/>
      </c>
      <c r="K942" s="11">
        <f>IFERROR(_xll.ciqfunctions.udf.CIQ(mh_ticker, "IQ_LT_Mark_Securities", , B942), "")</f>
        <v/>
      </c>
      <c r="L942" s="12">
        <f>IFERROR(C942*D942, "")</f>
        <v/>
      </c>
      <c r="M942" s="12">
        <f>IFERROR(L942-E942-F942+G942+H942+I942-J942-K942, "")</f>
        <v/>
      </c>
      <c r="N942" s="11">
        <f>IFERROR(_xll.ciqfunctions.udf.CIQ(mh_ticker, "IQ_EBITDA_EST", IQ_NTM, B942, , , "USD"), "")</f>
        <v/>
      </c>
      <c r="O942" s="13">
        <f>IFERROR(M942/N942, "")</f>
        <v/>
      </c>
    </row>
    <row r="943">
      <c r="B943" s="8" t="n"/>
      <c r="C943" s="9">
        <f>IFERROR(_xll.ciqfunctions.udf.CIQ(mh_ticker, "IQ_LASTSALEPRICE", B943), "")</f>
        <v/>
      </c>
      <c r="D943" s="10">
        <f>IFERROR(_xll.ciqfunctions.udf.CIQ(mh_ticker, "IQ_SHARESOUTSTANDING_OUT", B943), "")</f>
        <v/>
      </c>
      <c r="E943" s="11">
        <f>IFERROR(_xll.ciqfunctions.udf.CIQ(mh_ticker, "IQ_CASH_EQUIV", , B943), "")</f>
        <v/>
      </c>
      <c r="F943" s="11">
        <f>IFERROR(_xll.ciqfunctions.udf.CIQ(mh_ticker, "IQ_ST_INVEST", , B943), "")</f>
        <v/>
      </c>
      <c r="G943" s="11">
        <f>IFERROR(_xll.ciqfunctions.udf.CIQ(mh_ticker, "IQ_TOTAL_DEBT_EXCL_OPER_LEASES", , B943), "")</f>
        <v/>
      </c>
      <c r="H943" s="11">
        <f>IFERROR(_xll.ciqfunctions.udf.CIQ(mh_ticker, "IQ_PREF_EQUITY", , B943), "")</f>
        <v/>
      </c>
      <c r="I943" s="11">
        <f>IFERROR(_xll.ciqfunctions.udf.CIQ(mh_ticker, "IQ_MINORITY_INTEREST", , B943), "")</f>
        <v/>
      </c>
      <c r="J943" s="11">
        <f>IFERROR(_xll.ciqfunctions.udf.CIQ(mh_ticker, "IQ_EQUITY_METHOD", , B943), "")</f>
        <v/>
      </c>
      <c r="K943" s="11">
        <f>IFERROR(_xll.ciqfunctions.udf.CIQ(mh_ticker, "IQ_LT_Mark_Securities", , B943), "")</f>
        <v/>
      </c>
      <c r="L943" s="12">
        <f>IFERROR(C943*D943, "")</f>
        <v/>
      </c>
      <c r="M943" s="12">
        <f>IFERROR(L943-E943-F943+G943+H943+I943-J943-K943, "")</f>
        <v/>
      </c>
      <c r="N943" s="11">
        <f>IFERROR(_xll.ciqfunctions.udf.CIQ(mh_ticker, "IQ_EBITDA_EST", IQ_NTM, B943, , , "USD"), "")</f>
        <v/>
      </c>
      <c r="O943" s="13">
        <f>IFERROR(M943/N943, "")</f>
        <v/>
      </c>
    </row>
    <row r="944">
      <c r="B944" s="8" t="n"/>
      <c r="C944" s="9">
        <f>IFERROR(_xll.ciqfunctions.udf.CIQ(mh_ticker, "IQ_LASTSALEPRICE", B944), "")</f>
        <v/>
      </c>
      <c r="D944" s="10">
        <f>IFERROR(_xll.ciqfunctions.udf.CIQ(mh_ticker, "IQ_SHARESOUTSTANDING_OUT", B944), "")</f>
        <v/>
      </c>
      <c r="E944" s="11">
        <f>IFERROR(_xll.ciqfunctions.udf.CIQ(mh_ticker, "IQ_CASH_EQUIV", , B944), "")</f>
        <v/>
      </c>
      <c r="F944" s="11">
        <f>IFERROR(_xll.ciqfunctions.udf.CIQ(mh_ticker, "IQ_ST_INVEST", , B944), "")</f>
        <v/>
      </c>
      <c r="G944" s="11">
        <f>IFERROR(_xll.ciqfunctions.udf.CIQ(mh_ticker, "IQ_TOTAL_DEBT_EXCL_OPER_LEASES", , B944), "")</f>
        <v/>
      </c>
      <c r="H944" s="11">
        <f>IFERROR(_xll.ciqfunctions.udf.CIQ(mh_ticker, "IQ_PREF_EQUITY", , B944), "")</f>
        <v/>
      </c>
      <c r="I944" s="11">
        <f>IFERROR(_xll.ciqfunctions.udf.CIQ(mh_ticker, "IQ_MINORITY_INTEREST", , B944), "")</f>
        <v/>
      </c>
      <c r="J944" s="11">
        <f>IFERROR(_xll.ciqfunctions.udf.CIQ(mh_ticker, "IQ_EQUITY_METHOD", , B944), "")</f>
        <v/>
      </c>
      <c r="K944" s="11">
        <f>IFERROR(_xll.ciqfunctions.udf.CIQ(mh_ticker, "IQ_LT_Mark_Securities", , B944), "")</f>
        <v/>
      </c>
      <c r="L944" s="12">
        <f>IFERROR(C944*D944, "")</f>
        <v/>
      </c>
      <c r="M944" s="12">
        <f>IFERROR(L944-E944-F944+G944+H944+I944-J944-K944, "")</f>
        <v/>
      </c>
      <c r="N944" s="11">
        <f>IFERROR(_xll.ciqfunctions.udf.CIQ(mh_ticker, "IQ_EBITDA_EST", IQ_NTM, B944, , , "USD"), "")</f>
        <v/>
      </c>
      <c r="O944" s="13">
        <f>IFERROR(M944/N944, "")</f>
        <v/>
      </c>
    </row>
    <row r="945">
      <c r="B945" s="8" t="n"/>
      <c r="C945" s="9">
        <f>IFERROR(_xll.ciqfunctions.udf.CIQ(mh_ticker, "IQ_LASTSALEPRICE", B945), "")</f>
        <v/>
      </c>
      <c r="D945" s="10">
        <f>IFERROR(_xll.ciqfunctions.udf.CIQ(mh_ticker, "IQ_SHARESOUTSTANDING_OUT", B945), "")</f>
        <v/>
      </c>
      <c r="E945" s="11">
        <f>IFERROR(_xll.ciqfunctions.udf.CIQ(mh_ticker, "IQ_CASH_EQUIV", , B945), "")</f>
        <v/>
      </c>
      <c r="F945" s="11">
        <f>IFERROR(_xll.ciqfunctions.udf.CIQ(mh_ticker, "IQ_ST_INVEST", , B945), "")</f>
        <v/>
      </c>
      <c r="G945" s="11">
        <f>IFERROR(_xll.ciqfunctions.udf.CIQ(mh_ticker, "IQ_TOTAL_DEBT_EXCL_OPER_LEASES", , B945), "")</f>
        <v/>
      </c>
      <c r="H945" s="11">
        <f>IFERROR(_xll.ciqfunctions.udf.CIQ(mh_ticker, "IQ_PREF_EQUITY", , B945), "")</f>
        <v/>
      </c>
      <c r="I945" s="11">
        <f>IFERROR(_xll.ciqfunctions.udf.CIQ(mh_ticker, "IQ_MINORITY_INTEREST", , B945), "")</f>
        <v/>
      </c>
      <c r="J945" s="11">
        <f>IFERROR(_xll.ciqfunctions.udf.CIQ(mh_ticker, "IQ_EQUITY_METHOD", , B945), "")</f>
        <v/>
      </c>
      <c r="K945" s="11">
        <f>IFERROR(_xll.ciqfunctions.udf.CIQ(mh_ticker, "IQ_LT_Mark_Securities", , B945), "")</f>
        <v/>
      </c>
      <c r="L945" s="12">
        <f>IFERROR(C945*D945, "")</f>
        <v/>
      </c>
      <c r="M945" s="12">
        <f>IFERROR(L945-E945-F945+G945+H945+I945-J945-K945, "")</f>
        <v/>
      </c>
      <c r="N945" s="11">
        <f>IFERROR(_xll.ciqfunctions.udf.CIQ(mh_ticker, "IQ_EBITDA_EST", IQ_NTM, B945, , , "USD"), "")</f>
        <v/>
      </c>
      <c r="O945" s="13">
        <f>IFERROR(M945/N945, "")</f>
        <v/>
      </c>
    </row>
    <row r="946">
      <c r="B946" s="8" t="n"/>
      <c r="C946" s="9">
        <f>IFERROR(_xll.ciqfunctions.udf.CIQ(mh_ticker, "IQ_LASTSALEPRICE", B946), "")</f>
        <v/>
      </c>
      <c r="D946" s="10">
        <f>IFERROR(_xll.ciqfunctions.udf.CIQ(mh_ticker, "IQ_SHARESOUTSTANDING_OUT", B946), "")</f>
        <v/>
      </c>
      <c r="E946" s="11">
        <f>IFERROR(_xll.ciqfunctions.udf.CIQ(mh_ticker, "IQ_CASH_EQUIV", , B946), "")</f>
        <v/>
      </c>
      <c r="F946" s="11">
        <f>IFERROR(_xll.ciqfunctions.udf.CIQ(mh_ticker, "IQ_ST_INVEST", , B946), "")</f>
        <v/>
      </c>
      <c r="G946" s="11">
        <f>IFERROR(_xll.ciqfunctions.udf.CIQ(mh_ticker, "IQ_TOTAL_DEBT_EXCL_OPER_LEASES", , B946), "")</f>
        <v/>
      </c>
      <c r="H946" s="11">
        <f>IFERROR(_xll.ciqfunctions.udf.CIQ(mh_ticker, "IQ_PREF_EQUITY", , B946), "")</f>
        <v/>
      </c>
      <c r="I946" s="11">
        <f>IFERROR(_xll.ciqfunctions.udf.CIQ(mh_ticker, "IQ_MINORITY_INTEREST", , B946), "")</f>
        <v/>
      </c>
      <c r="J946" s="11">
        <f>IFERROR(_xll.ciqfunctions.udf.CIQ(mh_ticker, "IQ_EQUITY_METHOD", , B946), "")</f>
        <v/>
      </c>
      <c r="K946" s="11">
        <f>IFERROR(_xll.ciqfunctions.udf.CIQ(mh_ticker, "IQ_LT_Mark_Securities", , B946), "")</f>
        <v/>
      </c>
      <c r="L946" s="12">
        <f>IFERROR(C946*D946, "")</f>
        <v/>
      </c>
      <c r="M946" s="12">
        <f>IFERROR(L946-E946-F946+G946+H946+I946-J946-K946, "")</f>
        <v/>
      </c>
      <c r="N946" s="11">
        <f>IFERROR(_xll.ciqfunctions.udf.CIQ(mh_ticker, "IQ_EBITDA_EST", IQ_NTM, B946, , , "USD"), "")</f>
        <v/>
      </c>
      <c r="O946" s="13">
        <f>IFERROR(M946/N946, "")</f>
        <v/>
      </c>
    </row>
    <row r="947">
      <c r="B947" s="8" t="n"/>
      <c r="C947" s="9">
        <f>IFERROR(_xll.ciqfunctions.udf.CIQ(mh_ticker, "IQ_LASTSALEPRICE", B947), "")</f>
        <v/>
      </c>
      <c r="D947" s="10">
        <f>IFERROR(_xll.ciqfunctions.udf.CIQ(mh_ticker, "IQ_SHARESOUTSTANDING_OUT", B947), "")</f>
        <v/>
      </c>
      <c r="E947" s="11">
        <f>IFERROR(_xll.ciqfunctions.udf.CIQ(mh_ticker, "IQ_CASH_EQUIV", , B947), "")</f>
        <v/>
      </c>
      <c r="F947" s="11">
        <f>IFERROR(_xll.ciqfunctions.udf.CIQ(mh_ticker, "IQ_ST_INVEST", , B947), "")</f>
        <v/>
      </c>
      <c r="G947" s="11">
        <f>IFERROR(_xll.ciqfunctions.udf.CIQ(mh_ticker, "IQ_TOTAL_DEBT_EXCL_OPER_LEASES", , B947), "")</f>
        <v/>
      </c>
      <c r="H947" s="11">
        <f>IFERROR(_xll.ciqfunctions.udf.CIQ(mh_ticker, "IQ_PREF_EQUITY", , B947), "")</f>
        <v/>
      </c>
      <c r="I947" s="11">
        <f>IFERROR(_xll.ciqfunctions.udf.CIQ(mh_ticker, "IQ_MINORITY_INTEREST", , B947), "")</f>
        <v/>
      </c>
      <c r="J947" s="11">
        <f>IFERROR(_xll.ciqfunctions.udf.CIQ(mh_ticker, "IQ_EQUITY_METHOD", , B947), "")</f>
        <v/>
      </c>
      <c r="K947" s="11">
        <f>IFERROR(_xll.ciqfunctions.udf.CIQ(mh_ticker, "IQ_LT_Mark_Securities", , B947), "")</f>
        <v/>
      </c>
      <c r="L947" s="12">
        <f>IFERROR(C947*D947, "")</f>
        <v/>
      </c>
      <c r="M947" s="12">
        <f>IFERROR(L947-E947-F947+G947+H947+I947-J947-K947, "")</f>
        <v/>
      </c>
      <c r="N947" s="11">
        <f>IFERROR(_xll.ciqfunctions.udf.CIQ(mh_ticker, "IQ_EBITDA_EST", IQ_NTM, B947, , , "USD"), "")</f>
        <v/>
      </c>
      <c r="O947" s="13">
        <f>IFERROR(M947/N947, "")</f>
        <v/>
      </c>
    </row>
    <row r="948">
      <c r="B948" s="8" t="n"/>
      <c r="C948" s="9">
        <f>IFERROR(_xll.ciqfunctions.udf.CIQ(mh_ticker, "IQ_LASTSALEPRICE", B948), "")</f>
        <v/>
      </c>
      <c r="D948" s="10">
        <f>IFERROR(_xll.ciqfunctions.udf.CIQ(mh_ticker, "IQ_SHARESOUTSTANDING_OUT", B948), "")</f>
        <v/>
      </c>
      <c r="E948" s="11">
        <f>IFERROR(_xll.ciqfunctions.udf.CIQ(mh_ticker, "IQ_CASH_EQUIV", , B948), "")</f>
        <v/>
      </c>
      <c r="F948" s="11">
        <f>IFERROR(_xll.ciqfunctions.udf.CIQ(mh_ticker, "IQ_ST_INVEST", , B948), "")</f>
        <v/>
      </c>
      <c r="G948" s="11">
        <f>IFERROR(_xll.ciqfunctions.udf.CIQ(mh_ticker, "IQ_TOTAL_DEBT_EXCL_OPER_LEASES", , B948), "")</f>
        <v/>
      </c>
      <c r="H948" s="11">
        <f>IFERROR(_xll.ciqfunctions.udf.CIQ(mh_ticker, "IQ_PREF_EQUITY", , B948), "")</f>
        <v/>
      </c>
      <c r="I948" s="11">
        <f>IFERROR(_xll.ciqfunctions.udf.CIQ(mh_ticker, "IQ_MINORITY_INTEREST", , B948), "")</f>
        <v/>
      </c>
      <c r="J948" s="11">
        <f>IFERROR(_xll.ciqfunctions.udf.CIQ(mh_ticker, "IQ_EQUITY_METHOD", , B948), "")</f>
        <v/>
      </c>
      <c r="K948" s="11">
        <f>IFERROR(_xll.ciqfunctions.udf.CIQ(mh_ticker, "IQ_LT_Mark_Securities", , B948), "")</f>
        <v/>
      </c>
      <c r="L948" s="12">
        <f>IFERROR(C948*D948, "")</f>
        <v/>
      </c>
      <c r="M948" s="12">
        <f>IFERROR(L948-E948-F948+G948+H948+I948-J948-K948, "")</f>
        <v/>
      </c>
      <c r="N948" s="11">
        <f>IFERROR(_xll.ciqfunctions.udf.CIQ(mh_ticker, "IQ_EBITDA_EST", IQ_NTM, B948, , , "USD"), "")</f>
        <v/>
      </c>
      <c r="O948" s="13">
        <f>IFERROR(M948/N948, "")</f>
        <v/>
      </c>
    </row>
    <row r="949">
      <c r="B949" s="8" t="n"/>
      <c r="C949" s="9">
        <f>IFERROR(_xll.ciqfunctions.udf.CIQ(mh_ticker, "IQ_LASTSALEPRICE", B949), "")</f>
        <v/>
      </c>
      <c r="D949" s="10">
        <f>IFERROR(_xll.ciqfunctions.udf.CIQ(mh_ticker, "IQ_SHARESOUTSTANDING_OUT", B949), "")</f>
        <v/>
      </c>
      <c r="E949" s="11">
        <f>IFERROR(_xll.ciqfunctions.udf.CIQ(mh_ticker, "IQ_CASH_EQUIV", , B949), "")</f>
        <v/>
      </c>
      <c r="F949" s="11">
        <f>IFERROR(_xll.ciqfunctions.udf.CIQ(mh_ticker, "IQ_ST_INVEST", , B949), "")</f>
        <v/>
      </c>
      <c r="G949" s="11">
        <f>IFERROR(_xll.ciqfunctions.udf.CIQ(mh_ticker, "IQ_TOTAL_DEBT_EXCL_OPER_LEASES", , B949), "")</f>
        <v/>
      </c>
      <c r="H949" s="11">
        <f>IFERROR(_xll.ciqfunctions.udf.CIQ(mh_ticker, "IQ_PREF_EQUITY", , B949), "")</f>
        <v/>
      </c>
      <c r="I949" s="11">
        <f>IFERROR(_xll.ciqfunctions.udf.CIQ(mh_ticker, "IQ_MINORITY_INTEREST", , B949), "")</f>
        <v/>
      </c>
      <c r="J949" s="11">
        <f>IFERROR(_xll.ciqfunctions.udf.CIQ(mh_ticker, "IQ_EQUITY_METHOD", , B949), "")</f>
        <v/>
      </c>
      <c r="K949" s="11">
        <f>IFERROR(_xll.ciqfunctions.udf.CIQ(mh_ticker, "IQ_LT_Mark_Securities", , B949), "")</f>
        <v/>
      </c>
      <c r="L949" s="12">
        <f>IFERROR(C949*D949, "")</f>
        <v/>
      </c>
      <c r="M949" s="12">
        <f>IFERROR(L949-E949-F949+G949+H949+I949-J949-K949, "")</f>
        <v/>
      </c>
      <c r="N949" s="11">
        <f>IFERROR(_xll.ciqfunctions.udf.CIQ(mh_ticker, "IQ_EBITDA_EST", IQ_NTM, B949, , , "USD"), "")</f>
        <v/>
      </c>
      <c r="O949" s="13">
        <f>IFERROR(M949/N949, "")</f>
        <v/>
      </c>
    </row>
    <row r="950">
      <c r="B950" s="8" t="n"/>
      <c r="C950" s="9">
        <f>IFERROR(_xll.ciqfunctions.udf.CIQ(mh_ticker, "IQ_LASTSALEPRICE", B950), "")</f>
        <v/>
      </c>
      <c r="D950" s="10">
        <f>IFERROR(_xll.ciqfunctions.udf.CIQ(mh_ticker, "IQ_SHARESOUTSTANDING_OUT", B950), "")</f>
        <v/>
      </c>
      <c r="E950" s="11">
        <f>IFERROR(_xll.ciqfunctions.udf.CIQ(mh_ticker, "IQ_CASH_EQUIV", , B950), "")</f>
        <v/>
      </c>
      <c r="F950" s="11">
        <f>IFERROR(_xll.ciqfunctions.udf.CIQ(mh_ticker, "IQ_ST_INVEST", , B950), "")</f>
        <v/>
      </c>
      <c r="G950" s="11">
        <f>IFERROR(_xll.ciqfunctions.udf.CIQ(mh_ticker, "IQ_TOTAL_DEBT_EXCL_OPER_LEASES", , B950), "")</f>
        <v/>
      </c>
      <c r="H950" s="11">
        <f>IFERROR(_xll.ciqfunctions.udf.CIQ(mh_ticker, "IQ_PREF_EQUITY", , B950), "")</f>
        <v/>
      </c>
      <c r="I950" s="11">
        <f>IFERROR(_xll.ciqfunctions.udf.CIQ(mh_ticker, "IQ_MINORITY_INTEREST", , B950), "")</f>
        <v/>
      </c>
      <c r="J950" s="11">
        <f>IFERROR(_xll.ciqfunctions.udf.CIQ(mh_ticker, "IQ_EQUITY_METHOD", , B950), "")</f>
        <v/>
      </c>
      <c r="K950" s="11">
        <f>IFERROR(_xll.ciqfunctions.udf.CIQ(mh_ticker, "IQ_LT_Mark_Securities", , B950), "")</f>
        <v/>
      </c>
      <c r="L950" s="12">
        <f>IFERROR(C950*D950, "")</f>
        <v/>
      </c>
      <c r="M950" s="12">
        <f>IFERROR(L950-E950-F950+G950+H950+I950-J950-K950, "")</f>
        <v/>
      </c>
      <c r="N950" s="11">
        <f>IFERROR(_xll.ciqfunctions.udf.CIQ(mh_ticker, "IQ_EBITDA_EST", IQ_NTM, B950, , , "USD"), "")</f>
        <v/>
      </c>
      <c r="O950" s="13">
        <f>IFERROR(M950/N950, "")</f>
        <v/>
      </c>
    </row>
    <row r="951">
      <c r="B951" s="8" t="n"/>
      <c r="C951" s="9">
        <f>IFERROR(_xll.ciqfunctions.udf.CIQ(mh_ticker, "IQ_LASTSALEPRICE", B951), "")</f>
        <v/>
      </c>
      <c r="D951" s="10">
        <f>IFERROR(_xll.ciqfunctions.udf.CIQ(mh_ticker, "IQ_SHARESOUTSTANDING_OUT", B951), "")</f>
        <v/>
      </c>
      <c r="E951" s="11">
        <f>IFERROR(_xll.ciqfunctions.udf.CIQ(mh_ticker, "IQ_CASH_EQUIV", , B951), "")</f>
        <v/>
      </c>
      <c r="F951" s="11">
        <f>IFERROR(_xll.ciqfunctions.udf.CIQ(mh_ticker, "IQ_ST_INVEST", , B951), "")</f>
        <v/>
      </c>
      <c r="G951" s="11">
        <f>IFERROR(_xll.ciqfunctions.udf.CIQ(mh_ticker, "IQ_TOTAL_DEBT_EXCL_OPER_LEASES", , B951), "")</f>
        <v/>
      </c>
      <c r="H951" s="11">
        <f>IFERROR(_xll.ciqfunctions.udf.CIQ(mh_ticker, "IQ_PREF_EQUITY", , B951), "")</f>
        <v/>
      </c>
      <c r="I951" s="11">
        <f>IFERROR(_xll.ciqfunctions.udf.CIQ(mh_ticker, "IQ_MINORITY_INTEREST", , B951), "")</f>
        <v/>
      </c>
      <c r="J951" s="11">
        <f>IFERROR(_xll.ciqfunctions.udf.CIQ(mh_ticker, "IQ_EQUITY_METHOD", , B951), "")</f>
        <v/>
      </c>
      <c r="K951" s="11">
        <f>IFERROR(_xll.ciqfunctions.udf.CIQ(mh_ticker, "IQ_LT_Mark_Securities", , B951), "")</f>
        <v/>
      </c>
      <c r="L951" s="12">
        <f>IFERROR(C951*D951, "")</f>
        <v/>
      </c>
      <c r="M951" s="12">
        <f>IFERROR(L951-E951-F951+G951+H951+I951-J951-K951, "")</f>
        <v/>
      </c>
      <c r="N951" s="11">
        <f>IFERROR(_xll.ciqfunctions.udf.CIQ(mh_ticker, "IQ_EBITDA_EST", IQ_NTM, B951, , , "USD"), "")</f>
        <v/>
      </c>
      <c r="O951" s="13">
        <f>IFERROR(M951/N951, "")</f>
        <v/>
      </c>
    </row>
    <row r="952">
      <c r="B952" s="8" t="n"/>
      <c r="C952" s="9">
        <f>IFERROR(_xll.ciqfunctions.udf.CIQ(mh_ticker, "IQ_LASTSALEPRICE", B952), "")</f>
        <v/>
      </c>
      <c r="D952" s="10">
        <f>IFERROR(_xll.ciqfunctions.udf.CIQ(mh_ticker, "IQ_SHARESOUTSTANDING_OUT", B952), "")</f>
        <v/>
      </c>
      <c r="E952" s="11">
        <f>IFERROR(_xll.ciqfunctions.udf.CIQ(mh_ticker, "IQ_CASH_EQUIV", , B952), "")</f>
        <v/>
      </c>
      <c r="F952" s="11">
        <f>IFERROR(_xll.ciqfunctions.udf.CIQ(mh_ticker, "IQ_ST_INVEST", , B952), "")</f>
        <v/>
      </c>
      <c r="G952" s="11">
        <f>IFERROR(_xll.ciqfunctions.udf.CIQ(mh_ticker, "IQ_TOTAL_DEBT_EXCL_OPER_LEASES", , B952), "")</f>
        <v/>
      </c>
      <c r="H952" s="11">
        <f>IFERROR(_xll.ciqfunctions.udf.CIQ(mh_ticker, "IQ_PREF_EQUITY", , B952), "")</f>
        <v/>
      </c>
      <c r="I952" s="11">
        <f>IFERROR(_xll.ciqfunctions.udf.CIQ(mh_ticker, "IQ_MINORITY_INTEREST", , B952), "")</f>
        <v/>
      </c>
      <c r="J952" s="11">
        <f>IFERROR(_xll.ciqfunctions.udf.CIQ(mh_ticker, "IQ_EQUITY_METHOD", , B952), "")</f>
        <v/>
      </c>
      <c r="K952" s="11">
        <f>IFERROR(_xll.ciqfunctions.udf.CIQ(mh_ticker, "IQ_LT_Mark_Securities", , B952), "")</f>
        <v/>
      </c>
      <c r="L952" s="12">
        <f>IFERROR(C952*D952, "")</f>
        <v/>
      </c>
      <c r="M952" s="12">
        <f>IFERROR(L952-E952-F952+G952+H952+I952-J952-K952, "")</f>
        <v/>
      </c>
      <c r="N952" s="11">
        <f>IFERROR(_xll.ciqfunctions.udf.CIQ(mh_ticker, "IQ_EBITDA_EST", IQ_NTM, B952, , , "USD"), "")</f>
        <v/>
      </c>
      <c r="O952" s="13">
        <f>IFERROR(M952/N952, "")</f>
        <v/>
      </c>
    </row>
    <row r="953">
      <c r="B953" s="8" t="n"/>
      <c r="C953" s="9">
        <f>IFERROR(_xll.ciqfunctions.udf.CIQ(mh_ticker, "IQ_LASTSALEPRICE", B953), "")</f>
        <v/>
      </c>
      <c r="D953" s="10">
        <f>IFERROR(_xll.ciqfunctions.udf.CIQ(mh_ticker, "IQ_SHARESOUTSTANDING_OUT", B953), "")</f>
        <v/>
      </c>
      <c r="E953" s="11">
        <f>IFERROR(_xll.ciqfunctions.udf.CIQ(mh_ticker, "IQ_CASH_EQUIV", , B953), "")</f>
        <v/>
      </c>
      <c r="F953" s="11">
        <f>IFERROR(_xll.ciqfunctions.udf.CIQ(mh_ticker, "IQ_ST_INVEST", , B953), "")</f>
        <v/>
      </c>
      <c r="G953" s="11">
        <f>IFERROR(_xll.ciqfunctions.udf.CIQ(mh_ticker, "IQ_TOTAL_DEBT_EXCL_OPER_LEASES", , B953), "")</f>
        <v/>
      </c>
      <c r="H953" s="11">
        <f>IFERROR(_xll.ciqfunctions.udf.CIQ(mh_ticker, "IQ_PREF_EQUITY", , B953), "")</f>
        <v/>
      </c>
      <c r="I953" s="11">
        <f>IFERROR(_xll.ciqfunctions.udf.CIQ(mh_ticker, "IQ_MINORITY_INTEREST", , B953), "")</f>
        <v/>
      </c>
      <c r="J953" s="11">
        <f>IFERROR(_xll.ciqfunctions.udf.CIQ(mh_ticker, "IQ_EQUITY_METHOD", , B953), "")</f>
        <v/>
      </c>
      <c r="K953" s="11">
        <f>IFERROR(_xll.ciqfunctions.udf.CIQ(mh_ticker, "IQ_LT_Mark_Securities", , B953), "")</f>
        <v/>
      </c>
      <c r="L953" s="12">
        <f>IFERROR(C953*D953, "")</f>
        <v/>
      </c>
      <c r="M953" s="12">
        <f>IFERROR(L953-E953-F953+G953+H953+I953-J953-K953, "")</f>
        <v/>
      </c>
      <c r="N953" s="11">
        <f>IFERROR(_xll.ciqfunctions.udf.CIQ(mh_ticker, "IQ_EBITDA_EST", IQ_NTM, B953, , , "USD"), "")</f>
        <v/>
      </c>
      <c r="O953" s="13">
        <f>IFERROR(M953/N953, "")</f>
        <v/>
      </c>
    </row>
    <row r="954">
      <c r="B954" s="8" t="n"/>
      <c r="C954" s="9">
        <f>IFERROR(_xll.ciqfunctions.udf.CIQ(mh_ticker, "IQ_LASTSALEPRICE", B954), "")</f>
        <v/>
      </c>
      <c r="D954" s="10">
        <f>IFERROR(_xll.ciqfunctions.udf.CIQ(mh_ticker, "IQ_SHARESOUTSTANDING_OUT", B954), "")</f>
        <v/>
      </c>
      <c r="E954" s="11">
        <f>IFERROR(_xll.ciqfunctions.udf.CIQ(mh_ticker, "IQ_CASH_EQUIV", , B954), "")</f>
        <v/>
      </c>
      <c r="F954" s="11">
        <f>IFERROR(_xll.ciqfunctions.udf.CIQ(mh_ticker, "IQ_ST_INVEST", , B954), "")</f>
        <v/>
      </c>
      <c r="G954" s="11">
        <f>IFERROR(_xll.ciqfunctions.udf.CIQ(mh_ticker, "IQ_TOTAL_DEBT_EXCL_OPER_LEASES", , B954), "")</f>
        <v/>
      </c>
      <c r="H954" s="11">
        <f>IFERROR(_xll.ciqfunctions.udf.CIQ(mh_ticker, "IQ_PREF_EQUITY", , B954), "")</f>
        <v/>
      </c>
      <c r="I954" s="11">
        <f>IFERROR(_xll.ciqfunctions.udf.CIQ(mh_ticker, "IQ_MINORITY_INTEREST", , B954), "")</f>
        <v/>
      </c>
      <c r="J954" s="11">
        <f>IFERROR(_xll.ciqfunctions.udf.CIQ(mh_ticker, "IQ_EQUITY_METHOD", , B954), "")</f>
        <v/>
      </c>
      <c r="K954" s="11">
        <f>IFERROR(_xll.ciqfunctions.udf.CIQ(mh_ticker, "IQ_LT_Mark_Securities", , B954), "")</f>
        <v/>
      </c>
      <c r="L954" s="12">
        <f>IFERROR(C954*D954, "")</f>
        <v/>
      </c>
      <c r="M954" s="12">
        <f>IFERROR(L954-E954-F954+G954+H954+I954-J954-K954, "")</f>
        <v/>
      </c>
      <c r="N954" s="11">
        <f>IFERROR(_xll.ciqfunctions.udf.CIQ(mh_ticker, "IQ_EBITDA_EST", IQ_NTM, B954, , , "USD"), "")</f>
        <v/>
      </c>
      <c r="O954" s="13">
        <f>IFERROR(M954/N954, "")</f>
        <v/>
      </c>
    </row>
    <row r="955">
      <c r="B955" s="8" t="n"/>
      <c r="C955" s="9">
        <f>IFERROR(_xll.ciqfunctions.udf.CIQ(mh_ticker, "IQ_LASTSALEPRICE", B955), "")</f>
        <v/>
      </c>
      <c r="D955" s="10">
        <f>IFERROR(_xll.ciqfunctions.udf.CIQ(mh_ticker, "IQ_SHARESOUTSTANDING_OUT", B955), "")</f>
        <v/>
      </c>
      <c r="E955" s="11">
        <f>IFERROR(_xll.ciqfunctions.udf.CIQ(mh_ticker, "IQ_CASH_EQUIV", , B955), "")</f>
        <v/>
      </c>
      <c r="F955" s="11">
        <f>IFERROR(_xll.ciqfunctions.udf.CIQ(mh_ticker, "IQ_ST_INVEST", , B955), "")</f>
        <v/>
      </c>
      <c r="G955" s="11">
        <f>IFERROR(_xll.ciqfunctions.udf.CIQ(mh_ticker, "IQ_TOTAL_DEBT_EXCL_OPER_LEASES", , B955), "")</f>
        <v/>
      </c>
      <c r="H955" s="11">
        <f>IFERROR(_xll.ciqfunctions.udf.CIQ(mh_ticker, "IQ_PREF_EQUITY", , B955), "")</f>
        <v/>
      </c>
      <c r="I955" s="11">
        <f>IFERROR(_xll.ciqfunctions.udf.CIQ(mh_ticker, "IQ_MINORITY_INTEREST", , B955), "")</f>
        <v/>
      </c>
      <c r="J955" s="11">
        <f>IFERROR(_xll.ciqfunctions.udf.CIQ(mh_ticker, "IQ_EQUITY_METHOD", , B955), "")</f>
        <v/>
      </c>
      <c r="K955" s="11">
        <f>IFERROR(_xll.ciqfunctions.udf.CIQ(mh_ticker, "IQ_LT_Mark_Securities", , B955), "")</f>
        <v/>
      </c>
      <c r="L955" s="12">
        <f>IFERROR(C955*D955, "")</f>
        <v/>
      </c>
      <c r="M955" s="12">
        <f>IFERROR(L955-E955-F955+G955+H955+I955-J955-K955, "")</f>
        <v/>
      </c>
      <c r="N955" s="11">
        <f>IFERROR(_xll.ciqfunctions.udf.CIQ(mh_ticker, "IQ_EBITDA_EST", IQ_NTM, B955, , , "USD"), "")</f>
        <v/>
      </c>
      <c r="O955" s="13">
        <f>IFERROR(M955/N955, "")</f>
        <v/>
      </c>
    </row>
    <row r="956">
      <c r="B956" s="8" t="n"/>
      <c r="C956" s="9">
        <f>IFERROR(_xll.ciqfunctions.udf.CIQ(mh_ticker, "IQ_LASTSALEPRICE", B956), "")</f>
        <v/>
      </c>
      <c r="D956" s="10">
        <f>IFERROR(_xll.ciqfunctions.udf.CIQ(mh_ticker, "IQ_SHARESOUTSTANDING_OUT", B956), "")</f>
        <v/>
      </c>
      <c r="E956" s="11">
        <f>IFERROR(_xll.ciqfunctions.udf.CIQ(mh_ticker, "IQ_CASH_EQUIV", , B956), "")</f>
        <v/>
      </c>
      <c r="F956" s="11">
        <f>IFERROR(_xll.ciqfunctions.udf.CIQ(mh_ticker, "IQ_ST_INVEST", , B956), "")</f>
        <v/>
      </c>
      <c r="G956" s="11">
        <f>IFERROR(_xll.ciqfunctions.udf.CIQ(mh_ticker, "IQ_TOTAL_DEBT_EXCL_OPER_LEASES", , B956), "")</f>
        <v/>
      </c>
      <c r="H956" s="11">
        <f>IFERROR(_xll.ciqfunctions.udf.CIQ(mh_ticker, "IQ_PREF_EQUITY", , B956), "")</f>
        <v/>
      </c>
      <c r="I956" s="11">
        <f>IFERROR(_xll.ciqfunctions.udf.CIQ(mh_ticker, "IQ_MINORITY_INTEREST", , B956), "")</f>
        <v/>
      </c>
      <c r="J956" s="11">
        <f>IFERROR(_xll.ciqfunctions.udf.CIQ(mh_ticker, "IQ_EQUITY_METHOD", , B956), "")</f>
        <v/>
      </c>
      <c r="K956" s="11">
        <f>IFERROR(_xll.ciqfunctions.udf.CIQ(mh_ticker, "IQ_LT_Mark_Securities", , B956), "")</f>
        <v/>
      </c>
      <c r="L956" s="12">
        <f>IFERROR(C956*D956, "")</f>
        <v/>
      </c>
      <c r="M956" s="12">
        <f>IFERROR(L956-E956-F956+G956+H956+I956-J956-K956, "")</f>
        <v/>
      </c>
      <c r="N956" s="11">
        <f>IFERROR(_xll.ciqfunctions.udf.CIQ(mh_ticker, "IQ_EBITDA_EST", IQ_NTM, B956, , , "USD"), "")</f>
        <v/>
      </c>
      <c r="O956" s="13">
        <f>IFERROR(M956/N956, "")</f>
        <v/>
      </c>
    </row>
    <row r="957">
      <c r="B957" s="8" t="n"/>
      <c r="C957" s="9">
        <f>IFERROR(_xll.ciqfunctions.udf.CIQ(mh_ticker, "IQ_LASTSALEPRICE", B957), "")</f>
        <v/>
      </c>
      <c r="D957" s="10">
        <f>IFERROR(_xll.ciqfunctions.udf.CIQ(mh_ticker, "IQ_SHARESOUTSTANDING_OUT", B957), "")</f>
        <v/>
      </c>
      <c r="E957" s="11">
        <f>IFERROR(_xll.ciqfunctions.udf.CIQ(mh_ticker, "IQ_CASH_EQUIV", , B957), "")</f>
        <v/>
      </c>
      <c r="F957" s="11">
        <f>IFERROR(_xll.ciqfunctions.udf.CIQ(mh_ticker, "IQ_ST_INVEST", , B957), "")</f>
        <v/>
      </c>
      <c r="G957" s="11">
        <f>IFERROR(_xll.ciqfunctions.udf.CIQ(mh_ticker, "IQ_TOTAL_DEBT_EXCL_OPER_LEASES", , B957), "")</f>
        <v/>
      </c>
      <c r="H957" s="11">
        <f>IFERROR(_xll.ciqfunctions.udf.CIQ(mh_ticker, "IQ_PREF_EQUITY", , B957), "")</f>
        <v/>
      </c>
      <c r="I957" s="11">
        <f>IFERROR(_xll.ciqfunctions.udf.CIQ(mh_ticker, "IQ_MINORITY_INTEREST", , B957), "")</f>
        <v/>
      </c>
      <c r="J957" s="11">
        <f>IFERROR(_xll.ciqfunctions.udf.CIQ(mh_ticker, "IQ_EQUITY_METHOD", , B957), "")</f>
        <v/>
      </c>
      <c r="K957" s="11">
        <f>IFERROR(_xll.ciqfunctions.udf.CIQ(mh_ticker, "IQ_LT_Mark_Securities", , B957), "")</f>
        <v/>
      </c>
      <c r="L957" s="12">
        <f>IFERROR(C957*D957, "")</f>
        <v/>
      </c>
      <c r="M957" s="12">
        <f>IFERROR(L957-E957-F957+G957+H957+I957-J957-K957, "")</f>
        <v/>
      </c>
      <c r="N957" s="11">
        <f>IFERROR(_xll.ciqfunctions.udf.CIQ(mh_ticker, "IQ_EBITDA_EST", IQ_NTM, B957, , , "USD"), "")</f>
        <v/>
      </c>
      <c r="O957" s="13">
        <f>IFERROR(M957/N957, "")</f>
        <v/>
      </c>
    </row>
    <row r="958">
      <c r="B958" s="8" t="n"/>
      <c r="C958" s="9">
        <f>IFERROR(_xll.ciqfunctions.udf.CIQ(mh_ticker, "IQ_LASTSALEPRICE", B958), "")</f>
        <v/>
      </c>
      <c r="D958" s="10">
        <f>IFERROR(_xll.ciqfunctions.udf.CIQ(mh_ticker, "IQ_SHARESOUTSTANDING_OUT", B958), "")</f>
        <v/>
      </c>
      <c r="E958" s="11">
        <f>IFERROR(_xll.ciqfunctions.udf.CIQ(mh_ticker, "IQ_CASH_EQUIV", , B958), "")</f>
        <v/>
      </c>
      <c r="F958" s="11">
        <f>IFERROR(_xll.ciqfunctions.udf.CIQ(mh_ticker, "IQ_ST_INVEST", , B958), "")</f>
        <v/>
      </c>
      <c r="G958" s="11">
        <f>IFERROR(_xll.ciqfunctions.udf.CIQ(mh_ticker, "IQ_TOTAL_DEBT_EXCL_OPER_LEASES", , B958), "")</f>
        <v/>
      </c>
      <c r="H958" s="11">
        <f>IFERROR(_xll.ciqfunctions.udf.CIQ(mh_ticker, "IQ_PREF_EQUITY", , B958), "")</f>
        <v/>
      </c>
      <c r="I958" s="11">
        <f>IFERROR(_xll.ciqfunctions.udf.CIQ(mh_ticker, "IQ_MINORITY_INTEREST", , B958), "")</f>
        <v/>
      </c>
      <c r="J958" s="11">
        <f>IFERROR(_xll.ciqfunctions.udf.CIQ(mh_ticker, "IQ_EQUITY_METHOD", , B958), "")</f>
        <v/>
      </c>
      <c r="K958" s="11">
        <f>IFERROR(_xll.ciqfunctions.udf.CIQ(mh_ticker, "IQ_LT_Mark_Securities", , B958), "")</f>
        <v/>
      </c>
      <c r="L958" s="12">
        <f>IFERROR(C958*D958, "")</f>
        <v/>
      </c>
      <c r="M958" s="12">
        <f>IFERROR(L958-E958-F958+G958+H958+I958-J958-K958, "")</f>
        <v/>
      </c>
      <c r="N958" s="11">
        <f>IFERROR(_xll.ciqfunctions.udf.CIQ(mh_ticker, "IQ_EBITDA_EST", IQ_NTM, B958, , , "USD"), "")</f>
        <v/>
      </c>
      <c r="O958" s="13">
        <f>IFERROR(M958/N958, "")</f>
        <v/>
      </c>
    </row>
    <row r="959">
      <c r="B959" s="8" t="n"/>
      <c r="C959" s="9">
        <f>IFERROR(_xll.ciqfunctions.udf.CIQ(mh_ticker, "IQ_LASTSALEPRICE", B959), "")</f>
        <v/>
      </c>
      <c r="D959" s="10">
        <f>IFERROR(_xll.ciqfunctions.udf.CIQ(mh_ticker, "IQ_SHARESOUTSTANDING_OUT", B959), "")</f>
        <v/>
      </c>
      <c r="E959" s="11">
        <f>IFERROR(_xll.ciqfunctions.udf.CIQ(mh_ticker, "IQ_CASH_EQUIV", , B959), "")</f>
        <v/>
      </c>
      <c r="F959" s="11">
        <f>IFERROR(_xll.ciqfunctions.udf.CIQ(mh_ticker, "IQ_ST_INVEST", , B959), "")</f>
        <v/>
      </c>
      <c r="G959" s="11">
        <f>IFERROR(_xll.ciqfunctions.udf.CIQ(mh_ticker, "IQ_TOTAL_DEBT_EXCL_OPER_LEASES", , B959), "")</f>
        <v/>
      </c>
      <c r="H959" s="11">
        <f>IFERROR(_xll.ciqfunctions.udf.CIQ(mh_ticker, "IQ_PREF_EQUITY", , B959), "")</f>
        <v/>
      </c>
      <c r="I959" s="11">
        <f>IFERROR(_xll.ciqfunctions.udf.CIQ(mh_ticker, "IQ_MINORITY_INTEREST", , B959), "")</f>
        <v/>
      </c>
      <c r="J959" s="11">
        <f>IFERROR(_xll.ciqfunctions.udf.CIQ(mh_ticker, "IQ_EQUITY_METHOD", , B959), "")</f>
        <v/>
      </c>
      <c r="K959" s="11">
        <f>IFERROR(_xll.ciqfunctions.udf.CIQ(mh_ticker, "IQ_LT_Mark_Securities", , B959), "")</f>
        <v/>
      </c>
      <c r="L959" s="12">
        <f>IFERROR(C959*D959, "")</f>
        <v/>
      </c>
      <c r="M959" s="12">
        <f>IFERROR(L959-E959-F959+G959+H959+I959-J959-K959, "")</f>
        <v/>
      </c>
      <c r="N959" s="11">
        <f>IFERROR(_xll.ciqfunctions.udf.CIQ(mh_ticker, "IQ_EBITDA_EST", IQ_NTM, B959, , , "USD"), "")</f>
        <v/>
      </c>
      <c r="O959" s="13">
        <f>IFERROR(M959/N959, "")</f>
        <v/>
      </c>
    </row>
    <row r="960">
      <c r="B960" s="8" t="n"/>
      <c r="C960" s="9">
        <f>IFERROR(_xll.ciqfunctions.udf.CIQ(mh_ticker, "IQ_LASTSALEPRICE", B960), "")</f>
        <v/>
      </c>
      <c r="D960" s="10">
        <f>IFERROR(_xll.ciqfunctions.udf.CIQ(mh_ticker, "IQ_SHARESOUTSTANDING_OUT", B960), "")</f>
        <v/>
      </c>
      <c r="E960" s="11">
        <f>IFERROR(_xll.ciqfunctions.udf.CIQ(mh_ticker, "IQ_CASH_EQUIV", , B960), "")</f>
        <v/>
      </c>
      <c r="F960" s="11">
        <f>IFERROR(_xll.ciqfunctions.udf.CIQ(mh_ticker, "IQ_ST_INVEST", , B960), "")</f>
        <v/>
      </c>
      <c r="G960" s="11">
        <f>IFERROR(_xll.ciqfunctions.udf.CIQ(mh_ticker, "IQ_TOTAL_DEBT_EXCL_OPER_LEASES", , B960), "")</f>
        <v/>
      </c>
      <c r="H960" s="11">
        <f>IFERROR(_xll.ciqfunctions.udf.CIQ(mh_ticker, "IQ_PREF_EQUITY", , B960), "")</f>
        <v/>
      </c>
      <c r="I960" s="11">
        <f>IFERROR(_xll.ciqfunctions.udf.CIQ(mh_ticker, "IQ_MINORITY_INTEREST", , B960), "")</f>
        <v/>
      </c>
      <c r="J960" s="11">
        <f>IFERROR(_xll.ciqfunctions.udf.CIQ(mh_ticker, "IQ_EQUITY_METHOD", , B960), "")</f>
        <v/>
      </c>
      <c r="K960" s="11">
        <f>IFERROR(_xll.ciqfunctions.udf.CIQ(mh_ticker, "IQ_LT_Mark_Securities", , B960), "")</f>
        <v/>
      </c>
      <c r="L960" s="12">
        <f>IFERROR(C960*D960, "")</f>
        <v/>
      </c>
      <c r="M960" s="12">
        <f>IFERROR(L960-E960-F960+G960+H960+I960-J960-K960, "")</f>
        <v/>
      </c>
      <c r="N960" s="11">
        <f>IFERROR(_xll.ciqfunctions.udf.CIQ(mh_ticker, "IQ_EBITDA_EST", IQ_NTM, B960, , , "USD"), "")</f>
        <v/>
      </c>
      <c r="O960" s="13">
        <f>IFERROR(M960/N960, "")</f>
        <v/>
      </c>
    </row>
    <row r="961">
      <c r="B961" s="8" t="n"/>
      <c r="C961" s="9">
        <f>IFERROR(_xll.ciqfunctions.udf.CIQ(mh_ticker, "IQ_LASTSALEPRICE", B961), "")</f>
        <v/>
      </c>
      <c r="D961" s="10">
        <f>IFERROR(_xll.ciqfunctions.udf.CIQ(mh_ticker, "IQ_SHARESOUTSTANDING_OUT", B961), "")</f>
        <v/>
      </c>
      <c r="E961" s="11">
        <f>IFERROR(_xll.ciqfunctions.udf.CIQ(mh_ticker, "IQ_CASH_EQUIV", , B961), "")</f>
        <v/>
      </c>
      <c r="F961" s="11">
        <f>IFERROR(_xll.ciqfunctions.udf.CIQ(mh_ticker, "IQ_ST_INVEST", , B961), "")</f>
        <v/>
      </c>
      <c r="G961" s="11">
        <f>IFERROR(_xll.ciqfunctions.udf.CIQ(mh_ticker, "IQ_TOTAL_DEBT_EXCL_OPER_LEASES", , B961), "")</f>
        <v/>
      </c>
      <c r="H961" s="11">
        <f>IFERROR(_xll.ciqfunctions.udf.CIQ(mh_ticker, "IQ_PREF_EQUITY", , B961), "")</f>
        <v/>
      </c>
      <c r="I961" s="11">
        <f>IFERROR(_xll.ciqfunctions.udf.CIQ(mh_ticker, "IQ_MINORITY_INTEREST", , B961), "")</f>
        <v/>
      </c>
      <c r="J961" s="11">
        <f>IFERROR(_xll.ciqfunctions.udf.CIQ(mh_ticker, "IQ_EQUITY_METHOD", , B961), "")</f>
        <v/>
      </c>
      <c r="K961" s="11">
        <f>IFERROR(_xll.ciqfunctions.udf.CIQ(mh_ticker, "IQ_LT_Mark_Securities", , B961), "")</f>
        <v/>
      </c>
      <c r="L961" s="12">
        <f>IFERROR(C961*D961, "")</f>
        <v/>
      </c>
      <c r="M961" s="12">
        <f>IFERROR(L961-E961-F961+G961+H961+I961-J961-K961, "")</f>
        <v/>
      </c>
      <c r="N961" s="11">
        <f>IFERROR(_xll.ciqfunctions.udf.CIQ(mh_ticker, "IQ_EBITDA_EST", IQ_NTM, B961, , , "USD"), "")</f>
        <v/>
      </c>
      <c r="O961" s="13">
        <f>IFERROR(M961/N961, "")</f>
        <v/>
      </c>
    </row>
    <row r="962">
      <c r="B962" s="8" t="n"/>
      <c r="C962" s="9">
        <f>IFERROR(_xll.ciqfunctions.udf.CIQ(mh_ticker, "IQ_LASTSALEPRICE", B962), "")</f>
        <v/>
      </c>
      <c r="D962" s="10">
        <f>IFERROR(_xll.ciqfunctions.udf.CIQ(mh_ticker, "IQ_SHARESOUTSTANDING_OUT", B962), "")</f>
        <v/>
      </c>
      <c r="E962" s="11">
        <f>IFERROR(_xll.ciqfunctions.udf.CIQ(mh_ticker, "IQ_CASH_EQUIV", , B962), "")</f>
        <v/>
      </c>
      <c r="F962" s="11">
        <f>IFERROR(_xll.ciqfunctions.udf.CIQ(mh_ticker, "IQ_ST_INVEST", , B962), "")</f>
        <v/>
      </c>
      <c r="G962" s="11">
        <f>IFERROR(_xll.ciqfunctions.udf.CIQ(mh_ticker, "IQ_TOTAL_DEBT_EXCL_OPER_LEASES", , B962), "")</f>
        <v/>
      </c>
      <c r="H962" s="11">
        <f>IFERROR(_xll.ciqfunctions.udf.CIQ(mh_ticker, "IQ_PREF_EQUITY", , B962), "")</f>
        <v/>
      </c>
      <c r="I962" s="11">
        <f>IFERROR(_xll.ciqfunctions.udf.CIQ(mh_ticker, "IQ_MINORITY_INTEREST", , B962), "")</f>
        <v/>
      </c>
      <c r="J962" s="11">
        <f>IFERROR(_xll.ciqfunctions.udf.CIQ(mh_ticker, "IQ_EQUITY_METHOD", , B962), "")</f>
        <v/>
      </c>
      <c r="K962" s="11">
        <f>IFERROR(_xll.ciqfunctions.udf.CIQ(mh_ticker, "IQ_LT_Mark_Securities", , B962), "")</f>
        <v/>
      </c>
      <c r="L962" s="12">
        <f>IFERROR(C962*D962, "")</f>
        <v/>
      </c>
      <c r="M962" s="12">
        <f>IFERROR(L962-E962-F962+G962+H962+I962-J962-K962, "")</f>
        <v/>
      </c>
      <c r="N962" s="11">
        <f>IFERROR(_xll.ciqfunctions.udf.CIQ(mh_ticker, "IQ_EBITDA_EST", IQ_NTM, B962, , , "USD"), "")</f>
        <v/>
      </c>
      <c r="O962" s="13">
        <f>IFERROR(M962/N962, "")</f>
        <v/>
      </c>
    </row>
    <row r="963">
      <c r="B963" s="8" t="n"/>
      <c r="C963" s="9">
        <f>IFERROR(_xll.ciqfunctions.udf.CIQ(mh_ticker, "IQ_LASTSALEPRICE", B963), "")</f>
        <v/>
      </c>
      <c r="D963" s="10">
        <f>IFERROR(_xll.ciqfunctions.udf.CIQ(mh_ticker, "IQ_SHARESOUTSTANDING_OUT", B963), "")</f>
        <v/>
      </c>
      <c r="E963" s="11">
        <f>IFERROR(_xll.ciqfunctions.udf.CIQ(mh_ticker, "IQ_CASH_EQUIV", , B963), "")</f>
        <v/>
      </c>
      <c r="F963" s="11">
        <f>IFERROR(_xll.ciqfunctions.udf.CIQ(mh_ticker, "IQ_ST_INVEST", , B963), "")</f>
        <v/>
      </c>
      <c r="G963" s="11">
        <f>IFERROR(_xll.ciqfunctions.udf.CIQ(mh_ticker, "IQ_TOTAL_DEBT_EXCL_OPER_LEASES", , B963), "")</f>
        <v/>
      </c>
      <c r="H963" s="11">
        <f>IFERROR(_xll.ciqfunctions.udf.CIQ(mh_ticker, "IQ_PREF_EQUITY", , B963), "")</f>
        <v/>
      </c>
      <c r="I963" s="11">
        <f>IFERROR(_xll.ciqfunctions.udf.CIQ(mh_ticker, "IQ_MINORITY_INTEREST", , B963), "")</f>
        <v/>
      </c>
      <c r="J963" s="11">
        <f>IFERROR(_xll.ciqfunctions.udf.CIQ(mh_ticker, "IQ_EQUITY_METHOD", , B963), "")</f>
        <v/>
      </c>
      <c r="K963" s="11">
        <f>IFERROR(_xll.ciqfunctions.udf.CIQ(mh_ticker, "IQ_LT_Mark_Securities", , B963), "")</f>
        <v/>
      </c>
      <c r="L963" s="12">
        <f>IFERROR(C963*D963, "")</f>
        <v/>
      </c>
      <c r="M963" s="12">
        <f>IFERROR(L963-E963-F963+G963+H963+I963-J963-K963, "")</f>
        <v/>
      </c>
      <c r="N963" s="11">
        <f>IFERROR(_xll.ciqfunctions.udf.CIQ(mh_ticker, "IQ_EBITDA_EST", IQ_NTM, B963, , , "USD"), "")</f>
        <v/>
      </c>
      <c r="O963" s="13">
        <f>IFERROR(M963/N963, "")</f>
        <v/>
      </c>
    </row>
    <row r="964">
      <c r="B964" s="8" t="n"/>
      <c r="C964" s="9">
        <f>IFERROR(_xll.ciqfunctions.udf.CIQ(mh_ticker, "IQ_LASTSALEPRICE", B964), "")</f>
        <v/>
      </c>
      <c r="D964" s="10">
        <f>IFERROR(_xll.ciqfunctions.udf.CIQ(mh_ticker, "IQ_SHARESOUTSTANDING_OUT", B964), "")</f>
        <v/>
      </c>
      <c r="E964" s="11">
        <f>IFERROR(_xll.ciqfunctions.udf.CIQ(mh_ticker, "IQ_CASH_EQUIV", , B964), "")</f>
        <v/>
      </c>
      <c r="F964" s="11">
        <f>IFERROR(_xll.ciqfunctions.udf.CIQ(mh_ticker, "IQ_ST_INVEST", , B964), "")</f>
        <v/>
      </c>
      <c r="G964" s="11">
        <f>IFERROR(_xll.ciqfunctions.udf.CIQ(mh_ticker, "IQ_TOTAL_DEBT_EXCL_OPER_LEASES", , B964), "")</f>
        <v/>
      </c>
      <c r="H964" s="11">
        <f>IFERROR(_xll.ciqfunctions.udf.CIQ(mh_ticker, "IQ_PREF_EQUITY", , B964), "")</f>
        <v/>
      </c>
      <c r="I964" s="11">
        <f>IFERROR(_xll.ciqfunctions.udf.CIQ(mh_ticker, "IQ_MINORITY_INTEREST", , B964), "")</f>
        <v/>
      </c>
      <c r="J964" s="11">
        <f>IFERROR(_xll.ciqfunctions.udf.CIQ(mh_ticker, "IQ_EQUITY_METHOD", , B964), "")</f>
        <v/>
      </c>
      <c r="K964" s="11">
        <f>IFERROR(_xll.ciqfunctions.udf.CIQ(mh_ticker, "IQ_LT_Mark_Securities", , B964), "")</f>
        <v/>
      </c>
      <c r="L964" s="12">
        <f>IFERROR(C964*D964, "")</f>
        <v/>
      </c>
      <c r="M964" s="12">
        <f>IFERROR(L964-E964-F964+G964+H964+I964-J964-K964, "")</f>
        <v/>
      </c>
      <c r="N964" s="11">
        <f>IFERROR(_xll.ciqfunctions.udf.CIQ(mh_ticker, "IQ_EBITDA_EST", IQ_NTM, B964, , , "USD"), "")</f>
        <v/>
      </c>
      <c r="O964" s="13">
        <f>IFERROR(M964/N964, "")</f>
        <v/>
      </c>
    </row>
    <row r="965">
      <c r="B965" s="8" t="n"/>
      <c r="C965" s="9">
        <f>IFERROR(_xll.ciqfunctions.udf.CIQ(mh_ticker, "IQ_LASTSALEPRICE", B965), "")</f>
        <v/>
      </c>
      <c r="D965" s="10">
        <f>IFERROR(_xll.ciqfunctions.udf.CIQ(mh_ticker, "IQ_SHARESOUTSTANDING_OUT", B965), "")</f>
        <v/>
      </c>
      <c r="E965" s="11">
        <f>IFERROR(_xll.ciqfunctions.udf.CIQ(mh_ticker, "IQ_CASH_EQUIV", , B965), "")</f>
        <v/>
      </c>
      <c r="F965" s="11">
        <f>IFERROR(_xll.ciqfunctions.udf.CIQ(mh_ticker, "IQ_ST_INVEST", , B965), "")</f>
        <v/>
      </c>
      <c r="G965" s="11">
        <f>IFERROR(_xll.ciqfunctions.udf.CIQ(mh_ticker, "IQ_TOTAL_DEBT_EXCL_OPER_LEASES", , B965), "")</f>
        <v/>
      </c>
      <c r="H965" s="11">
        <f>IFERROR(_xll.ciqfunctions.udf.CIQ(mh_ticker, "IQ_PREF_EQUITY", , B965), "")</f>
        <v/>
      </c>
      <c r="I965" s="11">
        <f>IFERROR(_xll.ciqfunctions.udf.CIQ(mh_ticker, "IQ_MINORITY_INTEREST", , B965), "")</f>
        <v/>
      </c>
      <c r="J965" s="11">
        <f>IFERROR(_xll.ciqfunctions.udf.CIQ(mh_ticker, "IQ_EQUITY_METHOD", , B965), "")</f>
        <v/>
      </c>
      <c r="K965" s="11">
        <f>IFERROR(_xll.ciqfunctions.udf.CIQ(mh_ticker, "IQ_LT_Mark_Securities", , B965), "")</f>
        <v/>
      </c>
      <c r="L965" s="12">
        <f>IFERROR(C965*D965, "")</f>
        <v/>
      </c>
      <c r="M965" s="12">
        <f>IFERROR(L965-E965-F965+G965+H965+I965-J965-K965, "")</f>
        <v/>
      </c>
      <c r="N965" s="11">
        <f>IFERROR(_xll.ciqfunctions.udf.CIQ(mh_ticker, "IQ_EBITDA_EST", IQ_NTM, B965, , , "USD"), "")</f>
        <v/>
      </c>
      <c r="O965" s="13">
        <f>IFERROR(M965/N965, "")</f>
        <v/>
      </c>
    </row>
    <row r="966">
      <c r="B966" s="8" t="n"/>
      <c r="C966" s="9">
        <f>IFERROR(_xll.ciqfunctions.udf.CIQ(mh_ticker, "IQ_LASTSALEPRICE", B966), "")</f>
        <v/>
      </c>
      <c r="D966" s="10">
        <f>IFERROR(_xll.ciqfunctions.udf.CIQ(mh_ticker, "IQ_SHARESOUTSTANDING_OUT", B966), "")</f>
        <v/>
      </c>
      <c r="E966" s="11">
        <f>IFERROR(_xll.ciqfunctions.udf.CIQ(mh_ticker, "IQ_CASH_EQUIV", , B966), "")</f>
        <v/>
      </c>
      <c r="F966" s="11">
        <f>IFERROR(_xll.ciqfunctions.udf.CIQ(mh_ticker, "IQ_ST_INVEST", , B966), "")</f>
        <v/>
      </c>
      <c r="G966" s="11">
        <f>IFERROR(_xll.ciqfunctions.udf.CIQ(mh_ticker, "IQ_TOTAL_DEBT_EXCL_OPER_LEASES", , B966), "")</f>
        <v/>
      </c>
      <c r="H966" s="11">
        <f>IFERROR(_xll.ciqfunctions.udf.CIQ(mh_ticker, "IQ_PREF_EQUITY", , B966), "")</f>
        <v/>
      </c>
      <c r="I966" s="11">
        <f>IFERROR(_xll.ciqfunctions.udf.CIQ(mh_ticker, "IQ_MINORITY_INTEREST", , B966), "")</f>
        <v/>
      </c>
      <c r="J966" s="11">
        <f>IFERROR(_xll.ciqfunctions.udf.CIQ(mh_ticker, "IQ_EQUITY_METHOD", , B966), "")</f>
        <v/>
      </c>
      <c r="K966" s="11">
        <f>IFERROR(_xll.ciqfunctions.udf.CIQ(mh_ticker, "IQ_LT_Mark_Securities", , B966), "")</f>
        <v/>
      </c>
      <c r="L966" s="12">
        <f>IFERROR(C966*D966, "")</f>
        <v/>
      </c>
      <c r="M966" s="12">
        <f>IFERROR(L966-E966-F966+G966+H966+I966-J966-K966, "")</f>
        <v/>
      </c>
      <c r="N966" s="11">
        <f>IFERROR(_xll.ciqfunctions.udf.CIQ(mh_ticker, "IQ_EBITDA_EST", IQ_NTM, B966, , , "USD"), "")</f>
        <v/>
      </c>
      <c r="O966" s="13">
        <f>IFERROR(M966/N966, "")</f>
        <v/>
      </c>
    </row>
    <row r="967">
      <c r="B967" s="8" t="n"/>
      <c r="C967" s="9">
        <f>IFERROR(_xll.ciqfunctions.udf.CIQ(mh_ticker, "IQ_LASTSALEPRICE", B967), "")</f>
        <v/>
      </c>
      <c r="D967" s="10">
        <f>IFERROR(_xll.ciqfunctions.udf.CIQ(mh_ticker, "IQ_SHARESOUTSTANDING_OUT", B967), "")</f>
        <v/>
      </c>
      <c r="E967" s="11">
        <f>IFERROR(_xll.ciqfunctions.udf.CIQ(mh_ticker, "IQ_CASH_EQUIV", , B967), "")</f>
        <v/>
      </c>
      <c r="F967" s="11">
        <f>IFERROR(_xll.ciqfunctions.udf.CIQ(mh_ticker, "IQ_ST_INVEST", , B967), "")</f>
        <v/>
      </c>
      <c r="G967" s="11">
        <f>IFERROR(_xll.ciqfunctions.udf.CIQ(mh_ticker, "IQ_TOTAL_DEBT_EXCL_OPER_LEASES", , B967), "")</f>
        <v/>
      </c>
      <c r="H967" s="11">
        <f>IFERROR(_xll.ciqfunctions.udf.CIQ(mh_ticker, "IQ_PREF_EQUITY", , B967), "")</f>
        <v/>
      </c>
      <c r="I967" s="11">
        <f>IFERROR(_xll.ciqfunctions.udf.CIQ(mh_ticker, "IQ_MINORITY_INTEREST", , B967), "")</f>
        <v/>
      </c>
      <c r="J967" s="11">
        <f>IFERROR(_xll.ciqfunctions.udf.CIQ(mh_ticker, "IQ_EQUITY_METHOD", , B967), "")</f>
        <v/>
      </c>
      <c r="K967" s="11">
        <f>IFERROR(_xll.ciqfunctions.udf.CIQ(mh_ticker, "IQ_LT_Mark_Securities", , B967), "")</f>
        <v/>
      </c>
      <c r="L967" s="12">
        <f>IFERROR(C967*D967, "")</f>
        <v/>
      </c>
      <c r="M967" s="12">
        <f>IFERROR(L967-E967-F967+G967+H967+I967-J967-K967, "")</f>
        <v/>
      </c>
      <c r="N967" s="11">
        <f>IFERROR(_xll.ciqfunctions.udf.CIQ(mh_ticker, "IQ_EBITDA_EST", IQ_NTM, B967, , , "USD"), "")</f>
        <v/>
      </c>
      <c r="O967" s="13">
        <f>IFERROR(M967/N967, "")</f>
        <v/>
      </c>
    </row>
    <row r="968">
      <c r="B968" s="8" t="n"/>
      <c r="C968" s="9">
        <f>IFERROR(_xll.ciqfunctions.udf.CIQ(mh_ticker, "IQ_LASTSALEPRICE", B968), "")</f>
        <v/>
      </c>
      <c r="D968" s="10">
        <f>IFERROR(_xll.ciqfunctions.udf.CIQ(mh_ticker, "IQ_SHARESOUTSTANDING_OUT", B968), "")</f>
        <v/>
      </c>
      <c r="E968" s="11">
        <f>IFERROR(_xll.ciqfunctions.udf.CIQ(mh_ticker, "IQ_CASH_EQUIV", , B968), "")</f>
        <v/>
      </c>
      <c r="F968" s="11">
        <f>IFERROR(_xll.ciqfunctions.udf.CIQ(mh_ticker, "IQ_ST_INVEST", , B968), "")</f>
        <v/>
      </c>
      <c r="G968" s="11">
        <f>IFERROR(_xll.ciqfunctions.udf.CIQ(mh_ticker, "IQ_TOTAL_DEBT_EXCL_OPER_LEASES", , B968), "")</f>
        <v/>
      </c>
      <c r="H968" s="11">
        <f>IFERROR(_xll.ciqfunctions.udf.CIQ(mh_ticker, "IQ_PREF_EQUITY", , B968), "")</f>
        <v/>
      </c>
      <c r="I968" s="11">
        <f>IFERROR(_xll.ciqfunctions.udf.CIQ(mh_ticker, "IQ_MINORITY_INTEREST", , B968), "")</f>
        <v/>
      </c>
      <c r="J968" s="11">
        <f>IFERROR(_xll.ciqfunctions.udf.CIQ(mh_ticker, "IQ_EQUITY_METHOD", , B968), "")</f>
        <v/>
      </c>
      <c r="K968" s="11">
        <f>IFERROR(_xll.ciqfunctions.udf.CIQ(mh_ticker, "IQ_LT_Mark_Securities", , B968), "")</f>
        <v/>
      </c>
      <c r="L968" s="12">
        <f>IFERROR(C968*D968, "")</f>
        <v/>
      </c>
      <c r="M968" s="12">
        <f>IFERROR(L968-E968-F968+G968+H968+I968-J968-K968, "")</f>
        <v/>
      </c>
      <c r="N968" s="11">
        <f>IFERROR(_xll.ciqfunctions.udf.CIQ(mh_ticker, "IQ_EBITDA_EST", IQ_NTM, B968, , , "USD"), "")</f>
        <v/>
      </c>
      <c r="O968" s="13">
        <f>IFERROR(M968/N968, "")</f>
        <v/>
      </c>
    </row>
    <row r="969">
      <c r="B969" s="8" t="n"/>
      <c r="C969" s="9">
        <f>IFERROR(_xll.ciqfunctions.udf.CIQ(mh_ticker, "IQ_LASTSALEPRICE", B969), "")</f>
        <v/>
      </c>
      <c r="D969" s="10">
        <f>IFERROR(_xll.ciqfunctions.udf.CIQ(mh_ticker, "IQ_SHARESOUTSTANDING_OUT", B969), "")</f>
        <v/>
      </c>
      <c r="E969" s="11">
        <f>IFERROR(_xll.ciqfunctions.udf.CIQ(mh_ticker, "IQ_CASH_EQUIV", , B969), "")</f>
        <v/>
      </c>
      <c r="F969" s="11">
        <f>IFERROR(_xll.ciqfunctions.udf.CIQ(mh_ticker, "IQ_ST_INVEST", , B969), "")</f>
        <v/>
      </c>
      <c r="G969" s="11">
        <f>IFERROR(_xll.ciqfunctions.udf.CIQ(mh_ticker, "IQ_TOTAL_DEBT_EXCL_OPER_LEASES", , B969), "")</f>
        <v/>
      </c>
      <c r="H969" s="11">
        <f>IFERROR(_xll.ciqfunctions.udf.CIQ(mh_ticker, "IQ_PREF_EQUITY", , B969), "")</f>
        <v/>
      </c>
      <c r="I969" s="11">
        <f>IFERROR(_xll.ciqfunctions.udf.CIQ(mh_ticker, "IQ_MINORITY_INTEREST", , B969), "")</f>
        <v/>
      </c>
      <c r="J969" s="11">
        <f>IFERROR(_xll.ciqfunctions.udf.CIQ(mh_ticker, "IQ_EQUITY_METHOD", , B969), "")</f>
        <v/>
      </c>
      <c r="K969" s="11">
        <f>IFERROR(_xll.ciqfunctions.udf.CIQ(mh_ticker, "IQ_LT_Mark_Securities", , B969), "")</f>
        <v/>
      </c>
      <c r="L969" s="12">
        <f>IFERROR(C969*D969, "")</f>
        <v/>
      </c>
      <c r="M969" s="12">
        <f>IFERROR(L969-E969-F969+G969+H969+I969-J969-K969, "")</f>
        <v/>
      </c>
      <c r="N969" s="11">
        <f>IFERROR(_xll.ciqfunctions.udf.CIQ(mh_ticker, "IQ_EBITDA_EST", IQ_NTM, B969, , , "USD"), "")</f>
        <v/>
      </c>
      <c r="O969" s="13">
        <f>IFERROR(M969/N969, "")</f>
        <v/>
      </c>
    </row>
    <row r="970">
      <c r="B970" s="8" t="n"/>
      <c r="C970" s="9">
        <f>IFERROR(_xll.ciqfunctions.udf.CIQ(mh_ticker, "IQ_LASTSALEPRICE", B970), "")</f>
        <v/>
      </c>
      <c r="D970" s="10">
        <f>IFERROR(_xll.ciqfunctions.udf.CIQ(mh_ticker, "IQ_SHARESOUTSTANDING_OUT", B970), "")</f>
        <v/>
      </c>
      <c r="E970" s="11">
        <f>IFERROR(_xll.ciqfunctions.udf.CIQ(mh_ticker, "IQ_CASH_EQUIV", , B970), "")</f>
        <v/>
      </c>
      <c r="F970" s="11">
        <f>IFERROR(_xll.ciqfunctions.udf.CIQ(mh_ticker, "IQ_ST_INVEST", , B970), "")</f>
        <v/>
      </c>
      <c r="G970" s="11">
        <f>IFERROR(_xll.ciqfunctions.udf.CIQ(mh_ticker, "IQ_TOTAL_DEBT_EXCL_OPER_LEASES", , B970), "")</f>
        <v/>
      </c>
      <c r="H970" s="11">
        <f>IFERROR(_xll.ciqfunctions.udf.CIQ(mh_ticker, "IQ_PREF_EQUITY", , B970), "")</f>
        <v/>
      </c>
      <c r="I970" s="11">
        <f>IFERROR(_xll.ciqfunctions.udf.CIQ(mh_ticker, "IQ_MINORITY_INTEREST", , B970), "")</f>
        <v/>
      </c>
      <c r="J970" s="11">
        <f>IFERROR(_xll.ciqfunctions.udf.CIQ(mh_ticker, "IQ_EQUITY_METHOD", , B970), "")</f>
        <v/>
      </c>
      <c r="K970" s="11">
        <f>IFERROR(_xll.ciqfunctions.udf.CIQ(mh_ticker, "IQ_LT_Mark_Securities", , B970), "")</f>
        <v/>
      </c>
      <c r="L970" s="12">
        <f>IFERROR(C970*D970, "")</f>
        <v/>
      </c>
      <c r="M970" s="12">
        <f>IFERROR(L970-E970-F970+G970+H970+I970-J970-K970, "")</f>
        <v/>
      </c>
      <c r="N970" s="11">
        <f>IFERROR(_xll.ciqfunctions.udf.CIQ(mh_ticker, "IQ_EBITDA_EST", IQ_NTM, B970, , , "USD"), "")</f>
        <v/>
      </c>
      <c r="O970" s="13">
        <f>IFERROR(M970/N970, "")</f>
        <v/>
      </c>
    </row>
    <row r="971">
      <c r="B971" s="8" t="n"/>
      <c r="C971" s="9">
        <f>IFERROR(_xll.ciqfunctions.udf.CIQ(mh_ticker, "IQ_LASTSALEPRICE", B971), "")</f>
        <v/>
      </c>
      <c r="D971" s="10">
        <f>IFERROR(_xll.ciqfunctions.udf.CIQ(mh_ticker, "IQ_SHARESOUTSTANDING_OUT", B971), "")</f>
        <v/>
      </c>
      <c r="E971" s="11">
        <f>IFERROR(_xll.ciqfunctions.udf.CIQ(mh_ticker, "IQ_CASH_EQUIV", , B971), "")</f>
        <v/>
      </c>
      <c r="F971" s="11">
        <f>IFERROR(_xll.ciqfunctions.udf.CIQ(mh_ticker, "IQ_ST_INVEST", , B971), "")</f>
        <v/>
      </c>
      <c r="G971" s="11">
        <f>IFERROR(_xll.ciqfunctions.udf.CIQ(mh_ticker, "IQ_TOTAL_DEBT_EXCL_OPER_LEASES", , B971), "")</f>
        <v/>
      </c>
      <c r="H971" s="11">
        <f>IFERROR(_xll.ciqfunctions.udf.CIQ(mh_ticker, "IQ_PREF_EQUITY", , B971), "")</f>
        <v/>
      </c>
      <c r="I971" s="11">
        <f>IFERROR(_xll.ciqfunctions.udf.CIQ(mh_ticker, "IQ_MINORITY_INTEREST", , B971), "")</f>
        <v/>
      </c>
      <c r="J971" s="11">
        <f>IFERROR(_xll.ciqfunctions.udf.CIQ(mh_ticker, "IQ_EQUITY_METHOD", , B971), "")</f>
        <v/>
      </c>
      <c r="K971" s="11">
        <f>IFERROR(_xll.ciqfunctions.udf.CIQ(mh_ticker, "IQ_LT_Mark_Securities", , B971), "")</f>
        <v/>
      </c>
      <c r="L971" s="12">
        <f>IFERROR(C971*D971, "")</f>
        <v/>
      </c>
      <c r="M971" s="12">
        <f>IFERROR(L971-E971-F971+G971+H971+I971-J971-K971, "")</f>
        <v/>
      </c>
      <c r="N971" s="11">
        <f>IFERROR(_xll.ciqfunctions.udf.CIQ(mh_ticker, "IQ_EBITDA_EST", IQ_NTM, B971, , , "USD"), "")</f>
        <v/>
      </c>
      <c r="O971" s="13">
        <f>IFERROR(M971/N971, "")</f>
        <v/>
      </c>
    </row>
    <row r="972">
      <c r="B972" s="8" t="n"/>
      <c r="C972" s="9">
        <f>IFERROR(_xll.ciqfunctions.udf.CIQ(mh_ticker, "IQ_LASTSALEPRICE", B972), "")</f>
        <v/>
      </c>
      <c r="D972" s="10">
        <f>IFERROR(_xll.ciqfunctions.udf.CIQ(mh_ticker, "IQ_SHARESOUTSTANDING_OUT", B972), "")</f>
        <v/>
      </c>
      <c r="E972" s="11">
        <f>IFERROR(_xll.ciqfunctions.udf.CIQ(mh_ticker, "IQ_CASH_EQUIV", , B972), "")</f>
        <v/>
      </c>
      <c r="F972" s="11">
        <f>IFERROR(_xll.ciqfunctions.udf.CIQ(mh_ticker, "IQ_ST_INVEST", , B972), "")</f>
        <v/>
      </c>
      <c r="G972" s="11">
        <f>IFERROR(_xll.ciqfunctions.udf.CIQ(mh_ticker, "IQ_TOTAL_DEBT_EXCL_OPER_LEASES", , B972), "")</f>
        <v/>
      </c>
      <c r="H972" s="11">
        <f>IFERROR(_xll.ciqfunctions.udf.CIQ(mh_ticker, "IQ_PREF_EQUITY", , B972), "")</f>
        <v/>
      </c>
      <c r="I972" s="11">
        <f>IFERROR(_xll.ciqfunctions.udf.CIQ(mh_ticker, "IQ_MINORITY_INTEREST", , B972), "")</f>
        <v/>
      </c>
      <c r="J972" s="11">
        <f>IFERROR(_xll.ciqfunctions.udf.CIQ(mh_ticker, "IQ_EQUITY_METHOD", , B972), "")</f>
        <v/>
      </c>
      <c r="K972" s="11">
        <f>IFERROR(_xll.ciqfunctions.udf.CIQ(mh_ticker, "IQ_LT_Mark_Securities", , B972), "")</f>
        <v/>
      </c>
      <c r="L972" s="12">
        <f>IFERROR(C972*D972, "")</f>
        <v/>
      </c>
      <c r="M972" s="12">
        <f>IFERROR(L972-E972-F972+G972+H972+I972-J972-K972, "")</f>
        <v/>
      </c>
      <c r="N972" s="11">
        <f>IFERROR(_xll.ciqfunctions.udf.CIQ(mh_ticker, "IQ_EBITDA_EST", IQ_NTM, B972, , , "USD"), "")</f>
        <v/>
      </c>
      <c r="O972" s="13">
        <f>IFERROR(M972/N972, "")</f>
        <v/>
      </c>
    </row>
    <row r="973">
      <c r="B973" s="8" t="n"/>
      <c r="C973" s="9">
        <f>IFERROR(_xll.ciqfunctions.udf.CIQ(mh_ticker, "IQ_LASTSALEPRICE", B973), "")</f>
        <v/>
      </c>
      <c r="D973" s="10">
        <f>IFERROR(_xll.ciqfunctions.udf.CIQ(mh_ticker, "IQ_SHARESOUTSTANDING_OUT", B973), "")</f>
        <v/>
      </c>
      <c r="E973" s="11">
        <f>IFERROR(_xll.ciqfunctions.udf.CIQ(mh_ticker, "IQ_CASH_EQUIV", , B973), "")</f>
        <v/>
      </c>
      <c r="F973" s="11">
        <f>IFERROR(_xll.ciqfunctions.udf.CIQ(mh_ticker, "IQ_ST_INVEST", , B973), "")</f>
        <v/>
      </c>
      <c r="G973" s="11">
        <f>IFERROR(_xll.ciqfunctions.udf.CIQ(mh_ticker, "IQ_TOTAL_DEBT_EXCL_OPER_LEASES", , B973), "")</f>
        <v/>
      </c>
      <c r="H973" s="11">
        <f>IFERROR(_xll.ciqfunctions.udf.CIQ(mh_ticker, "IQ_PREF_EQUITY", , B973), "")</f>
        <v/>
      </c>
      <c r="I973" s="11">
        <f>IFERROR(_xll.ciqfunctions.udf.CIQ(mh_ticker, "IQ_MINORITY_INTEREST", , B973), "")</f>
        <v/>
      </c>
      <c r="J973" s="11">
        <f>IFERROR(_xll.ciqfunctions.udf.CIQ(mh_ticker, "IQ_EQUITY_METHOD", , B973), "")</f>
        <v/>
      </c>
      <c r="K973" s="11">
        <f>IFERROR(_xll.ciqfunctions.udf.CIQ(mh_ticker, "IQ_LT_Mark_Securities", , B973), "")</f>
        <v/>
      </c>
      <c r="L973" s="12">
        <f>IFERROR(C973*D973, "")</f>
        <v/>
      </c>
      <c r="M973" s="12">
        <f>IFERROR(L973-E973-F973+G973+H973+I973-J973-K973, "")</f>
        <v/>
      </c>
      <c r="N973" s="11">
        <f>IFERROR(_xll.ciqfunctions.udf.CIQ(mh_ticker, "IQ_EBITDA_EST", IQ_NTM, B973, , , "USD"), "")</f>
        <v/>
      </c>
      <c r="O973" s="13">
        <f>IFERROR(M973/N973, "")</f>
        <v/>
      </c>
    </row>
    <row r="974">
      <c r="B974" s="8" t="n"/>
      <c r="C974" s="9">
        <f>IFERROR(_xll.ciqfunctions.udf.CIQ(mh_ticker, "IQ_LASTSALEPRICE", B974), "")</f>
        <v/>
      </c>
      <c r="D974" s="10">
        <f>IFERROR(_xll.ciqfunctions.udf.CIQ(mh_ticker, "IQ_SHARESOUTSTANDING_OUT", B974), "")</f>
        <v/>
      </c>
      <c r="E974" s="11">
        <f>IFERROR(_xll.ciqfunctions.udf.CIQ(mh_ticker, "IQ_CASH_EQUIV", , B974), "")</f>
        <v/>
      </c>
      <c r="F974" s="11">
        <f>IFERROR(_xll.ciqfunctions.udf.CIQ(mh_ticker, "IQ_ST_INVEST", , B974), "")</f>
        <v/>
      </c>
      <c r="G974" s="11">
        <f>IFERROR(_xll.ciqfunctions.udf.CIQ(mh_ticker, "IQ_TOTAL_DEBT_EXCL_OPER_LEASES", , B974), "")</f>
        <v/>
      </c>
      <c r="H974" s="11">
        <f>IFERROR(_xll.ciqfunctions.udf.CIQ(mh_ticker, "IQ_PREF_EQUITY", , B974), "")</f>
        <v/>
      </c>
      <c r="I974" s="11">
        <f>IFERROR(_xll.ciqfunctions.udf.CIQ(mh_ticker, "IQ_MINORITY_INTEREST", , B974), "")</f>
        <v/>
      </c>
      <c r="J974" s="11">
        <f>IFERROR(_xll.ciqfunctions.udf.CIQ(mh_ticker, "IQ_EQUITY_METHOD", , B974), "")</f>
        <v/>
      </c>
      <c r="K974" s="11">
        <f>IFERROR(_xll.ciqfunctions.udf.CIQ(mh_ticker, "IQ_LT_Mark_Securities", , B974), "")</f>
        <v/>
      </c>
      <c r="L974" s="12">
        <f>IFERROR(C974*D974, "")</f>
        <v/>
      </c>
      <c r="M974" s="12">
        <f>IFERROR(L974-E974-F974+G974+H974+I974-J974-K974, "")</f>
        <v/>
      </c>
      <c r="N974" s="11">
        <f>IFERROR(_xll.ciqfunctions.udf.CIQ(mh_ticker, "IQ_EBITDA_EST", IQ_NTM, B974, , , "USD"), "")</f>
        <v/>
      </c>
      <c r="O974" s="13">
        <f>IFERROR(M974/N974, "")</f>
        <v/>
      </c>
    </row>
    <row r="975">
      <c r="B975" s="8" t="n"/>
      <c r="C975" s="9">
        <f>IFERROR(_xll.ciqfunctions.udf.CIQ(mh_ticker, "IQ_LASTSALEPRICE", B975), "")</f>
        <v/>
      </c>
      <c r="D975" s="10">
        <f>IFERROR(_xll.ciqfunctions.udf.CIQ(mh_ticker, "IQ_SHARESOUTSTANDING_OUT", B975), "")</f>
        <v/>
      </c>
      <c r="E975" s="11">
        <f>IFERROR(_xll.ciqfunctions.udf.CIQ(mh_ticker, "IQ_CASH_EQUIV", , B975), "")</f>
        <v/>
      </c>
      <c r="F975" s="11">
        <f>IFERROR(_xll.ciqfunctions.udf.CIQ(mh_ticker, "IQ_ST_INVEST", , B975), "")</f>
        <v/>
      </c>
      <c r="G975" s="11">
        <f>IFERROR(_xll.ciqfunctions.udf.CIQ(mh_ticker, "IQ_TOTAL_DEBT_EXCL_OPER_LEASES", , B975), "")</f>
        <v/>
      </c>
      <c r="H975" s="11">
        <f>IFERROR(_xll.ciqfunctions.udf.CIQ(mh_ticker, "IQ_PREF_EQUITY", , B975), "")</f>
        <v/>
      </c>
      <c r="I975" s="11">
        <f>IFERROR(_xll.ciqfunctions.udf.CIQ(mh_ticker, "IQ_MINORITY_INTEREST", , B975), "")</f>
        <v/>
      </c>
      <c r="J975" s="11">
        <f>IFERROR(_xll.ciqfunctions.udf.CIQ(mh_ticker, "IQ_EQUITY_METHOD", , B975), "")</f>
        <v/>
      </c>
      <c r="K975" s="11">
        <f>IFERROR(_xll.ciqfunctions.udf.CIQ(mh_ticker, "IQ_LT_Mark_Securities", , B975), "")</f>
        <v/>
      </c>
      <c r="L975" s="12">
        <f>IFERROR(C975*D975, "")</f>
        <v/>
      </c>
      <c r="M975" s="12">
        <f>IFERROR(L975-E975-F975+G975+H975+I975-J975-K975, "")</f>
        <v/>
      </c>
      <c r="N975" s="11">
        <f>IFERROR(_xll.ciqfunctions.udf.CIQ(mh_ticker, "IQ_EBITDA_EST", IQ_NTM, B975, , , "USD"), "")</f>
        <v/>
      </c>
      <c r="O975" s="13">
        <f>IFERROR(M975/N975, "")</f>
        <v/>
      </c>
    </row>
    <row r="976">
      <c r="B976" s="8" t="n"/>
      <c r="C976" s="9">
        <f>IFERROR(_xll.ciqfunctions.udf.CIQ(mh_ticker, "IQ_LASTSALEPRICE", B976), "")</f>
        <v/>
      </c>
      <c r="D976" s="10">
        <f>IFERROR(_xll.ciqfunctions.udf.CIQ(mh_ticker, "IQ_SHARESOUTSTANDING_OUT", B976), "")</f>
        <v/>
      </c>
      <c r="E976" s="11">
        <f>IFERROR(_xll.ciqfunctions.udf.CIQ(mh_ticker, "IQ_CASH_EQUIV", , B976), "")</f>
        <v/>
      </c>
      <c r="F976" s="11">
        <f>IFERROR(_xll.ciqfunctions.udf.CIQ(mh_ticker, "IQ_ST_INVEST", , B976), "")</f>
        <v/>
      </c>
      <c r="G976" s="11">
        <f>IFERROR(_xll.ciqfunctions.udf.CIQ(mh_ticker, "IQ_TOTAL_DEBT_EXCL_OPER_LEASES", , B976), "")</f>
        <v/>
      </c>
      <c r="H976" s="11">
        <f>IFERROR(_xll.ciqfunctions.udf.CIQ(mh_ticker, "IQ_PREF_EQUITY", , B976), "")</f>
        <v/>
      </c>
      <c r="I976" s="11">
        <f>IFERROR(_xll.ciqfunctions.udf.CIQ(mh_ticker, "IQ_MINORITY_INTEREST", , B976), "")</f>
        <v/>
      </c>
      <c r="J976" s="11">
        <f>IFERROR(_xll.ciqfunctions.udf.CIQ(mh_ticker, "IQ_EQUITY_METHOD", , B976), "")</f>
        <v/>
      </c>
      <c r="K976" s="11">
        <f>IFERROR(_xll.ciqfunctions.udf.CIQ(mh_ticker, "IQ_LT_Mark_Securities", , B976), "")</f>
        <v/>
      </c>
      <c r="L976" s="12">
        <f>IFERROR(C976*D976, "")</f>
        <v/>
      </c>
      <c r="M976" s="12">
        <f>IFERROR(L976-E976-F976+G976+H976+I976-J976-K976, "")</f>
        <v/>
      </c>
      <c r="N976" s="11">
        <f>IFERROR(_xll.ciqfunctions.udf.CIQ(mh_ticker, "IQ_EBITDA_EST", IQ_NTM, B976, , , "USD"), "")</f>
        <v/>
      </c>
      <c r="O976" s="13">
        <f>IFERROR(M976/N976, "")</f>
        <v/>
      </c>
    </row>
    <row r="977">
      <c r="B977" s="8" t="n"/>
      <c r="C977" s="9">
        <f>IFERROR(_xll.ciqfunctions.udf.CIQ(mh_ticker, "IQ_LASTSALEPRICE", B977), "")</f>
        <v/>
      </c>
      <c r="D977" s="10">
        <f>IFERROR(_xll.ciqfunctions.udf.CIQ(mh_ticker, "IQ_SHARESOUTSTANDING_OUT", B977), "")</f>
        <v/>
      </c>
      <c r="E977" s="11">
        <f>IFERROR(_xll.ciqfunctions.udf.CIQ(mh_ticker, "IQ_CASH_EQUIV", , B977), "")</f>
        <v/>
      </c>
      <c r="F977" s="11">
        <f>IFERROR(_xll.ciqfunctions.udf.CIQ(mh_ticker, "IQ_ST_INVEST", , B977), "")</f>
        <v/>
      </c>
      <c r="G977" s="11">
        <f>IFERROR(_xll.ciqfunctions.udf.CIQ(mh_ticker, "IQ_TOTAL_DEBT_EXCL_OPER_LEASES", , B977), "")</f>
        <v/>
      </c>
      <c r="H977" s="11">
        <f>IFERROR(_xll.ciqfunctions.udf.CIQ(mh_ticker, "IQ_PREF_EQUITY", , B977), "")</f>
        <v/>
      </c>
      <c r="I977" s="11">
        <f>IFERROR(_xll.ciqfunctions.udf.CIQ(mh_ticker, "IQ_MINORITY_INTEREST", , B977), "")</f>
        <v/>
      </c>
      <c r="J977" s="11">
        <f>IFERROR(_xll.ciqfunctions.udf.CIQ(mh_ticker, "IQ_EQUITY_METHOD", , B977), "")</f>
        <v/>
      </c>
      <c r="K977" s="11">
        <f>IFERROR(_xll.ciqfunctions.udf.CIQ(mh_ticker, "IQ_LT_Mark_Securities", , B977), "")</f>
        <v/>
      </c>
      <c r="L977" s="12">
        <f>IFERROR(C977*D977, "")</f>
        <v/>
      </c>
      <c r="M977" s="12">
        <f>IFERROR(L977-E977-F977+G977+H977+I977-J977-K977, "")</f>
        <v/>
      </c>
      <c r="N977" s="11">
        <f>IFERROR(_xll.ciqfunctions.udf.CIQ(mh_ticker, "IQ_EBITDA_EST", IQ_NTM, B977, , , "USD"), "")</f>
        <v/>
      </c>
      <c r="O977" s="13">
        <f>IFERROR(M977/N977, "")</f>
        <v/>
      </c>
    </row>
    <row r="978">
      <c r="B978" s="8" t="n"/>
      <c r="C978" s="9">
        <f>IFERROR(_xll.ciqfunctions.udf.CIQ(mh_ticker, "IQ_LASTSALEPRICE", B978), "")</f>
        <v/>
      </c>
      <c r="D978" s="10">
        <f>IFERROR(_xll.ciqfunctions.udf.CIQ(mh_ticker, "IQ_SHARESOUTSTANDING_OUT", B978), "")</f>
        <v/>
      </c>
      <c r="E978" s="11">
        <f>IFERROR(_xll.ciqfunctions.udf.CIQ(mh_ticker, "IQ_CASH_EQUIV", , B978), "")</f>
        <v/>
      </c>
      <c r="F978" s="11">
        <f>IFERROR(_xll.ciqfunctions.udf.CIQ(mh_ticker, "IQ_ST_INVEST", , B978), "")</f>
        <v/>
      </c>
      <c r="G978" s="11">
        <f>IFERROR(_xll.ciqfunctions.udf.CIQ(mh_ticker, "IQ_TOTAL_DEBT_EXCL_OPER_LEASES", , B978), "")</f>
        <v/>
      </c>
      <c r="H978" s="11">
        <f>IFERROR(_xll.ciqfunctions.udf.CIQ(mh_ticker, "IQ_PREF_EQUITY", , B978), "")</f>
        <v/>
      </c>
      <c r="I978" s="11">
        <f>IFERROR(_xll.ciqfunctions.udf.CIQ(mh_ticker, "IQ_MINORITY_INTEREST", , B978), "")</f>
        <v/>
      </c>
      <c r="J978" s="11">
        <f>IFERROR(_xll.ciqfunctions.udf.CIQ(mh_ticker, "IQ_EQUITY_METHOD", , B978), "")</f>
        <v/>
      </c>
      <c r="K978" s="11">
        <f>IFERROR(_xll.ciqfunctions.udf.CIQ(mh_ticker, "IQ_LT_Mark_Securities", , B978), "")</f>
        <v/>
      </c>
      <c r="L978" s="12">
        <f>IFERROR(C978*D978, "")</f>
        <v/>
      </c>
      <c r="M978" s="12">
        <f>IFERROR(L978-E978-F978+G978+H978+I978-J978-K978, "")</f>
        <v/>
      </c>
      <c r="N978" s="11">
        <f>IFERROR(_xll.ciqfunctions.udf.CIQ(mh_ticker, "IQ_EBITDA_EST", IQ_NTM, B978, , , "USD"), "")</f>
        <v/>
      </c>
      <c r="O978" s="13">
        <f>IFERROR(M978/N978, "")</f>
        <v/>
      </c>
    </row>
    <row r="979">
      <c r="B979" s="8" t="n"/>
      <c r="C979" s="9">
        <f>IFERROR(_xll.ciqfunctions.udf.CIQ(mh_ticker, "IQ_LASTSALEPRICE", B979), "")</f>
        <v/>
      </c>
      <c r="D979" s="10">
        <f>IFERROR(_xll.ciqfunctions.udf.CIQ(mh_ticker, "IQ_SHARESOUTSTANDING_OUT", B979), "")</f>
        <v/>
      </c>
      <c r="E979" s="11">
        <f>IFERROR(_xll.ciqfunctions.udf.CIQ(mh_ticker, "IQ_CASH_EQUIV", , B979), "")</f>
        <v/>
      </c>
      <c r="F979" s="11">
        <f>IFERROR(_xll.ciqfunctions.udf.CIQ(mh_ticker, "IQ_ST_INVEST", , B979), "")</f>
        <v/>
      </c>
      <c r="G979" s="11">
        <f>IFERROR(_xll.ciqfunctions.udf.CIQ(mh_ticker, "IQ_TOTAL_DEBT_EXCL_OPER_LEASES", , B979), "")</f>
        <v/>
      </c>
      <c r="H979" s="11">
        <f>IFERROR(_xll.ciqfunctions.udf.CIQ(mh_ticker, "IQ_PREF_EQUITY", , B979), "")</f>
        <v/>
      </c>
      <c r="I979" s="11">
        <f>IFERROR(_xll.ciqfunctions.udf.CIQ(mh_ticker, "IQ_MINORITY_INTEREST", , B979), "")</f>
        <v/>
      </c>
      <c r="J979" s="11">
        <f>IFERROR(_xll.ciqfunctions.udf.CIQ(mh_ticker, "IQ_EQUITY_METHOD", , B979), "")</f>
        <v/>
      </c>
      <c r="K979" s="11">
        <f>IFERROR(_xll.ciqfunctions.udf.CIQ(mh_ticker, "IQ_LT_Mark_Securities", , B979), "")</f>
        <v/>
      </c>
      <c r="L979" s="12">
        <f>IFERROR(C979*D979, "")</f>
        <v/>
      </c>
      <c r="M979" s="12">
        <f>IFERROR(L979-E979-F979+G979+H979+I979-J979-K979, "")</f>
        <v/>
      </c>
      <c r="N979" s="11">
        <f>IFERROR(_xll.ciqfunctions.udf.CIQ(mh_ticker, "IQ_EBITDA_EST", IQ_NTM, B979, , , "USD"), "")</f>
        <v/>
      </c>
      <c r="O979" s="13">
        <f>IFERROR(M979/N979, "")</f>
        <v/>
      </c>
    </row>
    <row r="980">
      <c r="B980" s="8" t="n"/>
      <c r="C980" s="9">
        <f>IFERROR(_xll.ciqfunctions.udf.CIQ(mh_ticker, "IQ_LASTSALEPRICE", B980), "")</f>
        <v/>
      </c>
      <c r="D980" s="10">
        <f>IFERROR(_xll.ciqfunctions.udf.CIQ(mh_ticker, "IQ_SHARESOUTSTANDING_OUT", B980), "")</f>
        <v/>
      </c>
      <c r="E980" s="11">
        <f>IFERROR(_xll.ciqfunctions.udf.CIQ(mh_ticker, "IQ_CASH_EQUIV", , B980), "")</f>
        <v/>
      </c>
      <c r="F980" s="11">
        <f>IFERROR(_xll.ciqfunctions.udf.CIQ(mh_ticker, "IQ_ST_INVEST", , B980), "")</f>
        <v/>
      </c>
      <c r="G980" s="11">
        <f>IFERROR(_xll.ciqfunctions.udf.CIQ(mh_ticker, "IQ_TOTAL_DEBT_EXCL_OPER_LEASES", , B980), "")</f>
        <v/>
      </c>
      <c r="H980" s="11">
        <f>IFERROR(_xll.ciqfunctions.udf.CIQ(mh_ticker, "IQ_PREF_EQUITY", , B980), "")</f>
        <v/>
      </c>
      <c r="I980" s="11">
        <f>IFERROR(_xll.ciqfunctions.udf.CIQ(mh_ticker, "IQ_MINORITY_INTEREST", , B980), "")</f>
        <v/>
      </c>
      <c r="J980" s="11">
        <f>IFERROR(_xll.ciqfunctions.udf.CIQ(mh_ticker, "IQ_EQUITY_METHOD", , B980), "")</f>
        <v/>
      </c>
      <c r="K980" s="11">
        <f>IFERROR(_xll.ciqfunctions.udf.CIQ(mh_ticker, "IQ_LT_Mark_Securities", , B980), "")</f>
        <v/>
      </c>
      <c r="L980" s="12">
        <f>IFERROR(C980*D980, "")</f>
        <v/>
      </c>
      <c r="M980" s="12">
        <f>IFERROR(L980-E980-F980+G980+H980+I980-J980-K980, "")</f>
        <v/>
      </c>
      <c r="N980" s="11">
        <f>IFERROR(_xll.ciqfunctions.udf.CIQ(mh_ticker, "IQ_EBITDA_EST", IQ_NTM, B980, , , "USD"), "")</f>
        <v/>
      </c>
      <c r="O980" s="13">
        <f>IFERROR(M980/N980, "")</f>
        <v/>
      </c>
    </row>
    <row r="981">
      <c r="B981" s="8" t="n"/>
      <c r="C981" s="9">
        <f>IFERROR(_xll.ciqfunctions.udf.CIQ(mh_ticker, "IQ_LASTSALEPRICE", B981), "")</f>
        <v/>
      </c>
      <c r="D981" s="10">
        <f>IFERROR(_xll.ciqfunctions.udf.CIQ(mh_ticker, "IQ_SHARESOUTSTANDING_OUT", B981), "")</f>
        <v/>
      </c>
      <c r="E981" s="11">
        <f>IFERROR(_xll.ciqfunctions.udf.CIQ(mh_ticker, "IQ_CASH_EQUIV", , B981), "")</f>
        <v/>
      </c>
      <c r="F981" s="11">
        <f>IFERROR(_xll.ciqfunctions.udf.CIQ(mh_ticker, "IQ_ST_INVEST", , B981), "")</f>
        <v/>
      </c>
      <c r="G981" s="11">
        <f>IFERROR(_xll.ciqfunctions.udf.CIQ(mh_ticker, "IQ_TOTAL_DEBT_EXCL_OPER_LEASES", , B981), "")</f>
        <v/>
      </c>
      <c r="H981" s="11">
        <f>IFERROR(_xll.ciqfunctions.udf.CIQ(mh_ticker, "IQ_PREF_EQUITY", , B981), "")</f>
        <v/>
      </c>
      <c r="I981" s="11">
        <f>IFERROR(_xll.ciqfunctions.udf.CIQ(mh_ticker, "IQ_MINORITY_INTEREST", , B981), "")</f>
        <v/>
      </c>
      <c r="J981" s="11">
        <f>IFERROR(_xll.ciqfunctions.udf.CIQ(mh_ticker, "IQ_EQUITY_METHOD", , B981), "")</f>
        <v/>
      </c>
      <c r="K981" s="11">
        <f>IFERROR(_xll.ciqfunctions.udf.CIQ(mh_ticker, "IQ_LT_Mark_Securities", , B981), "")</f>
        <v/>
      </c>
      <c r="L981" s="12">
        <f>IFERROR(C981*D981, "")</f>
        <v/>
      </c>
      <c r="M981" s="12">
        <f>IFERROR(L981-E981-F981+G981+H981+I981-J981-K981, "")</f>
        <v/>
      </c>
      <c r="N981" s="11">
        <f>IFERROR(_xll.ciqfunctions.udf.CIQ(mh_ticker, "IQ_EBITDA_EST", IQ_NTM, B981, , , "USD"), "")</f>
        <v/>
      </c>
      <c r="O981" s="13">
        <f>IFERROR(M981/N981, "")</f>
        <v/>
      </c>
    </row>
    <row r="982">
      <c r="B982" s="8" t="n"/>
      <c r="C982" s="9">
        <f>IFERROR(_xll.ciqfunctions.udf.CIQ(mh_ticker, "IQ_LASTSALEPRICE", B982), "")</f>
        <v/>
      </c>
      <c r="D982" s="10">
        <f>IFERROR(_xll.ciqfunctions.udf.CIQ(mh_ticker, "IQ_SHARESOUTSTANDING_OUT", B982), "")</f>
        <v/>
      </c>
      <c r="E982" s="11">
        <f>IFERROR(_xll.ciqfunctions.udf.CIQ(mh_ticker, "IQ_CASH_EQUIV", , B982), "")</f>
        <v/>
      </c>
      <c r="F982" s="11">
        <f>IFERROR(_xll.ciqfunctions.udf.CIQ(mh_ticker, "IQ_ST_INVEST", , B982), "")</f>
        <v/>
      </c>
      <c r="G982" s="11">
        <f>IFERROR(_xll.ciqfunctions.udf.CIQ(mh_ticker, "IQ_TOTAL_DEBT_EXCL_OPER_LEASES", , B982), "")</f>
        <v/>
      </c>
      <c r="H982" s="11">
        <f>IFERROR(_xll.ciqfunctions.udf.CIQ(mh_ticker, "IQ_PREF_EQUITY", , B982), "")</f>
        <v/>
      </c>
      <c r="I982" s="11">
        <f>IFERROR(_xll.ciqfunctions.udf.CIQ(mh_ticker, "IQ_MINORITY_INTEREST", , B982), "")</f>
        <v/>
      </c>
      <c r="J982" s="11">
        <f>IFERROR(_xll.ciqfunctions.udf.CIQ(mh_ticker, "IQ_EQUITY_METHOD", , B982), "")</f>
        <v/>
      </c>
      <c r="K982" s="11">
        <f>IFERROR(_xll.ciqfunctions.udf.CIQ(mh_ticker, "IQ_LT_Mark_Securities", , B982), "")</f>
        <v/>
      </c>
      <c r="L982" s="12">
        <f>IFERROR(C982*D982, "")</f>
        <v/>
      </c>
      <c r="M982" s="12">
        <f>IFERROR(L982-E982-F982+G982+H982+I982-J982-K982, "")</f>
        <v/>
      </c>
      <c r="N982" s="11">
        <f>IFERROR(_xll.ciqfunctions.udf.CIQ(mh_ticker, "IQ_EBITDA_EST", IQ_NTM, B982, , , "USD"), "")</f>
        <v/>
      </c>
      <c r="O982" s="13">
        <f>IFERROR(M982/N982, "")</f>
        <v/>
      </c>
    </row>
    <row r="983">
      <c r="B983" s="8" t="n"/>
      <c r="C983" s="9">
        <f>IFERROR(_xll.ciqfunctions.udf.CIQ(mh_ticker, "IQ_LASTSALEPRICE", B983), "")</f>
        <v/>
      </c>
      <c r="D983" s="10">
        <f>IFERROR(_xll.ciqfunctions.udf.CIQ(mh_ticker, "IQ_SHARESOUTSTANDING_OUT", B983), "")</f>
        <v/>
      </c>
      <c r="E983" s="11">
        <f>IFERROR(_xll.ciqfunctions.udf.CIQ(mh_ticker, "IQ_CASH_EQUIV", , B983), "")</f>
        <v/>
      </c>
      <c r="F983" s="11">
        <f>IFERROR(_xll.ciqfunctions.udf.CIQ(mh_ticker, "IQ_ST_INVEST", , B983), "")</f>
        <v/>
      </c>
      <c r="G983" s="11">
        <f>IFERROR(_xll.ciqfunctions.udf.CIQ(mh_ticker, "IQ_TOTAL_DEBT_EXCL_OPER_LEASES", , B983), "")</f>
        <v/>
      </c>
      <c r="H983" s="11">
        <f>IFERROR(_xll.ciqfunctions.udf.CIQ(mh_ticker, "IQ_PREF_EQUITY", , B983), "")</f>
        <v/>
      </c>
      <c r="I983" s="11">
        <f>IFERROR(_xll.ciqfunctions.udf.CIQ(mh_ticker, "IQ_MINORITY_INTEREST", , B983), "")</f>
        <v/>
      </c>
      <c r="J983" s="11">
        <f>IFERROR(_xll.ciqfunctions.udf.CIQ(mh_ticker, "IQ_EQUITY_METHOD", , B983), "")</f>
        <v/>
      </c>
      <c r="K983" s="11">
        <f>IFERROR(_xll.ciqfunctions.udf.CIQ(mh_ticker, "IQ_LT_Mark_Securities", , B983), "")</f>
        <v/>
      </c>
      <c r="L983" s="12">
        <f>IFERROR(C983*D983, "")</f>
        <v/>
      </c>
      <c r="M983" s="12">
        <f>IFERROR(L983-E983-F983+G983+H983+I983-J983-K983, "")</f>
        <v/>
      </c>
      <c r="N983" s="11">
        <f>IFERROR(_xll.ciqfunctions.udf.CIQ(mh_ticker, "IQ_EBITDA_EST", IQ_NTM, B983, , , "USD"), "")</f>
        <v/>
      </c>
      <c r="O983" s="13">
        <f>IFERROR(M983/N983, "")</f>
        <v/>
      </c>
    </row>
    <row r="984">
      <c r="B984" s="8" t="n"/>
      <c r="C984" s="9">
        <f>IFERROR(_xll.ciqfunctions.udf.CIQ(mh_ticker, "IQ_LASTSALEPRICE", B984), "")</f>
        <v/>
      </c>
      <c r="D984" s="10">
        <f>IFERROR(_xll.ciqfunctions.udf.CIQ(mh_ticker, "IQ_SHARESOUTSTANDING_OUT", B984), "")</f>
        <v/>
      </c>
      <c r="E984" s="11">
        <f>IFERROR(_xll.ciqfunctions.udf.CIQ(mh_ticker, "IQ_CASH_EQUIV", , B984), "")</f>
        <v/>
      </c>
      <c r="F984" s="11">
        <f>IFERROR(_xll.ciqfunctions.udf.CIQ(mh_ticker, "IQ_ST_INVEST", , B984), "")</f>
        <v/>
      </c>
      <c r="G984" s="11">
        <f>IFERROR(_xll.ciqfunctions.udf.CIQ(mh_ticker, "IQ_TOTAL_DEBT_EXCL_OPER_LEASES", , B984), "")</f>
        <v/>
      </c>
      <c r="H984" s="11">
        <f>IFERROR(_xll.ciqfunctions.udf.CIQ(mh_ticker, "IQ_PREF_EQUITY", , B984), "")</f>
        <v/>
      </c>
      <c r="I984" s="11">
        <f>IFERROR(_xll.ciqfunctions.udf.CIQ(mh_ticker, "IQ_MINORITY_INTEREST", , B984), "")</f>
        <v/>
      </c>
      <c r="J984" s="11">
        <f>IFERROR(_xll.ciqfunctions.udf.CIQ(mh_ticker, "IQ_EQUITY_METHOD", , B984), "")</f>
        <v/>
      </c>
      <c r="K984" s="11">
        <f>IFERROR(_xll.ciqfunctions.udf.CIQ(mh_ticker, "IQ_LT_Mark_Securities", , B984), "")</f>
        <v/>
      </c>
      <c r="L984" s="12">
        <f>IFERROR(C984*D984, "")</f>
        <v/>
      </c>
      <c r="M984" s="12">
        <f>IFERROR(L984-E984-F984+G984+H984+I984-J984-K984, "")</f>
        <v/>
      </c>
      <c r="N984" s="11">
        <f>IFERROR(_xll.ciqfunctions.udf.CIQ(mh_ticker, "IQ_EBITDA_EST", IQ_NTM, B984, , , "USD"), "")</f>
        <v/>
      </c>
      <c r="O984" s="13">
        <f>IFERROR(M984/N984, "")</f>
        <v/>
      </c>
    </row>
    <row r="985">
      <c r="B985" s="8" t="n"/>
      <c r="C985" s="9">
        <f>IFERROR(_xll.ciqfunctions.udf.CIQ(mh_ticker, "IQ_LASTSALEPRICE", B985), "")</f>
        <v/>
      </c>
      <c r="D985" s="10">
        <f>IFERROR(_xll.ciqfunctions.udf.CIQ(mh_ticker, "IQ_SHARESOUTSTANDING_OUT", B985), "")</f>
        <v/>
      </c>
      <c r="E985" s="11">
        <f>IFERROR(_xll.ciqfunctions.udf.CIQ(mh_ticker, "IQ_CASH_EQUIV", , B985), "")</f>
        <v/>
      </c>
      <c r="F985" s="11">
        <f>IFERROR(_xll.ciqfunctions.udf.CIQ(mh_ticker, "IQ_ST_INVEST", , B985), "")</f>
        <v/>
      </c>
      <c r="G985" s="11">
        <f>IFERROR(_xll.ciqfunctions.udf.CIQ(mh_ticker, "IQ_TOTAL_DEBT_EXCL_OPER_LEASES", , B985), "")</f>
        <v/>
      </c>
      <c r="H985" s="11">
        <f>IFERROR(_xll.ciqfunctions.udf.CIQ(mh_ticker, "IQ_PREF_EQUITY", , B985), "")</f>
        <v/>
      </c>
      <c r="I985" s="11">
        <f>IFERROR(_xll.ciqfunctions.udf.CIQ(mh_ticker, "IQ_MINORITY_INTEREST", , B985), "")</f>
        <v/>
      </c>
      <c r="J985" s="11">
        <f>IFERROR(_xll.ciqfunctions.udf.CIQ(mh_ticker, "IQ_EQUITY_METHOD", , B985), "")</f>
        <v/>
      </c>
      <c r="K985" s="11">
        <f>IFERROR(_xll.ciqfunctions.udf.CIQ(mh_ticker, "IQ_LT_Mark_Securities", , B985), "")</f>
        <v/>
      </c>
      <c r="L985" s="12">
        <f>IFERROR(C985*D985, "")</f>
        <v/>
      </c>
      <c r="M985" s="12">
        <f>IFERROR(L985-E985-F985+G985+H985+I985-J985-K985, "")</f>
        <v/>
      </c>
      <c r="N985" s="11">
        <f>IFERROR(_xll.ciqfunctions.udf.CIQ(mh_ticker, "IQ_EBITDA_EST", IQ_NTM, B985, , , "USD"), "")</f>
        <v/>
      </c>
      <c r="O985" s="13">
        <f>IFERROR(M985/N985, "")</f>
        <v/>
      </c>
    </row>
    <row r="986">
      <c r="B986" s="8" t="n"/>
      <c r="C986" s="9">
        <f>IFERROR(_xll.ciqfunctions.udf.CIQ(mh_ticker, "IQ_LASTSALEPRICE", B986), "")</f>
        <v/>
      </c>
      <c r="D986" s="10">
        <f>IFERROR(_xll.ciqfunctions.udf.CIQ(mh_ticker, "IQ_SHARESOUTSTANDING_OUT", B986), "")</f>
        <v/>
      </c>
      <c r="E986" s="11">
        <f>IFERROR(_xll.ciqfunctions.udf.CIQ(mh_ticker, "IQ_CASH_EQUIV", , B986), "")</f>
        <v/>
      </c>
      <c r="F986" s="11">
        <f>IFERROR(_xll.ciqfunctions.udf.CIQ(mh_ticker, "IQ_ST_INVEST", , B986), "")</f>
        <v/>
      </c>
      <c r="G986" s="11">
        <f>IFERROR(_xll.ciqfunctions.udf.CIQ(mh_ticker, "IQ_TOTAL_DEBT_EXCL_OPER_LEASES", , B986), "")</f>
        <v/>
      </c>
      <c r="H986" s="11">
        <f>IFERROR(_xll.ciqfunctions.udf.CIQ(mh_ticker, "IQ_PREF_EQUITY", , B986), "")</f>
        <v/>
      </c>
      <c r="I986" s="11">
        <f>IFERROR(_xll.ciqfunctions.udf.CIQ(mh_ticker, "IQ_MINORITY_INTEREST", , B986), "")</f>
        <v/>
      </c>
      <c r="J986" s="11">
        <f>IFERROR(_xll.ciqfunctions.udf.CIQ(mh_ticker, "IQ_EQUITY_METHOD", , B986), "")</f>
        <v/>
      </c>
      <c r="K986" s="11">
        <f>IFERROR(_xll.ciqfunctions.udf.CIQ(mh_ticker, "IQ_LT_Mark_Securities", , B986), "")</f>
        <v/>
      </c>
      <c r="L986" s="12">
        <f>IFERROR(C986*D986, "")</f>
        <v/>
      </c>
      <c r="M986" s="12">
        <f>IFERROR(L986-E986-F986+G986+H986+I986-J986-K986, "")</f>
        <v/>
      </c>
      <c r="N986" s="11">
        <f>IFERROR(_xll.ciqfunctions.udf.CIQ(mh_ticker, "IQ_EBITDA_EST", IQ_NTM, B986, , , "USD"), "")</f>
        <v/>
      </c>
      <c r="O986" s="13">
        <f>IFERROR(M986/N986, "")</f>
        <v/>
      </c>
    </row>
    <row r="987">
      <c r="B987" s="8" t="n"/>
      <c r="C987" s="9">
        <f>IFERROR(_xll.ciqfunctions.udf.CIQ(mh_ticker, "IQ_LASTSALEPRICE", B987), "")</f>
        <v/>
      </c>
      <c r="D987" s="10">
        <f>IFERROR(_xll.ciqfunctions.udf.CIQ(mh_ticker, "IQ_SHARESOUTSTANDING_OUT", B987), "")</f>
        <v/>
      </c>
      <c r="E987" s="11">
        <f>IFERROR(_xll.ciqfunctions.udf.CIQ(mh_ticker, "IQ_CASH_EQUIV", , B987), "")</f>
        <v/>
      </c>
      <c r="F987" s="11">
        <f>IFERROR(_xll.ciqfunctions.udf.CIQ(mh_ticker, "IQ_ST_INVEST", , B987), "")</f>
        <v/>
      </c>
      <c r="G987" s="11">
        <f>IFERROR(_xll.ciqfunctions.udf.CIQ(mh_ticker, "IQ_TOTAL_DEBT_EXCL_OPER_LEASES", , B987), "")</f>
        <v/>
      </c>
      <c r="H987" s="11">
        <f>IFERROR(_xll.ciqfunctions.udf.CIQ(mh_ticker, "IQ_PREF_EQUITY", , B987), "")</f>
        <v/>
      </c>
      <c r="I987" s="11">
        <f>IFERROR(_xll.ciqfunctions.udf.CIQ(mh_ticker, "IQ_MINORITY_INTEREST", , B987), "")</f>
        <v/>
      </c>
      <c r="J987" s="11">
        <f>IFERROR(_xll.ciqfunctions.udf.CIQ(mh_ticker, "IQ_EQUITY_METHOD", , B987), "")</f>
        <v/>
      </c>
      <c r="K987" s="11">
        <f>IFERROR(_xll.ciqfunctions.udf.CIQ(mh_ticker, "IQ_LT_Mark_Securities", , B987), "")</f>
        <v/>
      </c>
      <c r="L987" s="12">
        <f>IFERROR(C987*D987, "")</f>
        <v/>
      </c>
      <c r="M987" s="12">
        <f>IFERROR(L987-E987-F987+G987+H987+I987-J987-K987, "")</f>
        <v/>
      </c>
      <c r="N987" s="11">
        <f>IFERROR(_xll.ciqfunctions.udf.CIQ(mh_ticker, "IQ_EBITDA_EST", IQ_NTM, B987, , , "USD"), "")</f>
        <v/>
      </c>
      <c r="O987" s="13">
        <f>IFERROR(M987/N987, "")</f>
        <v/>
      </c>
    </row>
    <row r="988">
      <c r="B988" s="8" t="n"/>
      <c r="C988" s="9">
        <f>IFERROR(_xll.ciqfunctions.udf.CIQ(mh_ticker, "IQ_LASTSALEPRICE", B988), "")</f>
        <v/>
      </c>
      <c r="D988" s="10">
        <f>IFERROR(_xll.ciqfunctions.udf.CIQ(mh_ticker, "IQ_SHARESOUTSTANDING_OUT", B988), "")</f>
        <v/>
      </c>
      <c r="E988" s="11">
        <f>IFERROR(_xll.ciqfunctions.udf.CIQ(mh_ticker, "IQ_CASH_EQUIV", , B988), "")</f>
        <v/>
      </c>
      <c r="F988" s="11">
        <f>IFERROR(_xll.ciqfunctions.udf.CIQ(mh_ticker, "IQ_ST_INVEST", , B988), "")</f>
        <v/>
      </c>
      <c r="G988" s="11">
        <f>IFERROR(_xll.ciqfunctions.udf.CIQ(mh_ticker, "IQ_TOTAL_DEBT_EXCL_OPER_LEASES", , B988), "")</f>
        <v/>
      </c>
      <c r="H988" s="11">
        <f>IFERROR(_xll.ciqfunctions.udf.CIQ(mh_ticker, "IQ_PREF_EQUITY", , B988), "")</f>
        <v/>
      </c>
      <c r="I988" s="11">
        <f>IFERROR(_xll.ciqfunctions.udf.CIQ(mh_ticker, "IQ_MINORITY_INTEREST", , B988), "")</f>
        <v/>
      </c>
      <c r="J988" s="11">
        <f>IFERROR(_xll.ciqfunctions.udf.CIQ(mh_ticker, "IQ_EQUITY_METHOD", , B988), "")</f>
        <v/>
      </c>
      <c r="K988" s="11">
        <f>IFERROR(_xll.ciqfunctions.udf.CIQ(mh_ticker, "IQ_LT_Mark_Securities", , B988), "")</f>
        <v/>
      </c>
      <c r="L988" s="12">
        <f>IFERROR(C988*D988, "")</f>
        <v/>
      </c>
      <c r="M988" s="12">
        <f>IFERROR(L988-E988-F988+G988+H988+I988-J988-K988, "")</f>
        <v/>
      </c>
      <c r="N988" s="11">
        <f>IFERROR(_xll.ciqfunctions.udf.CIQ(mh_ticker, "IQ_EBITDA_EST", IQ_NTM, B988, , , "USD"), "")</f>
        <v/>
      </c>
      <c r="O988" s="13">
        <f>IFERROR(M988/N988, "")</f>
        <v/>
      </c>
    </row>
    <row r="989">
      <c r="B989" s="8" t="n"/>
      <c r="C989" s="9">
        <f>IFERROR(_xll.ciqfunctions.udf.CIQ(mh_ticker, "IQ_LASTSALEPRICE", B989), "")</f>
        <v/>
      </c>
      <c r="D989" s="10">
        <f>IFERROR(_xll.ciqfunctions.udf.CIQ(mh_ticker, "IQ_SHARESOUTSTANDING_OUT", B989), "")</f>
        <v/>
      </c>
      <c r="E989" s="11">
        <f>IFERROR(_xll.ciqfunctions.udf.CIQ(mh_ticker, "IQ_CASH_EQUIV", , B989), "")</f>
        <v/>
      </c>
      <c r="F989" s="11">
        <f>IFERROR(_xll.ciqfunctions.udf.CIQ(mh_ticker, "IQ_ST_INVEST", , B989), "")</f>
        <v/>
      </c>
      <c r="G989" s="11">
        <f>IFERROR(_xll.ciqfunctions.udf.CIQ(mh_ticker, "IQ_TOTAL_DEBT_EXCL_OPER_LEASES", , B989), "")</f>
        <v/>
      </c>
      <c r="H989" s="11">
        <f>IFERROR(_xll.ciqfunctions.udf.CIQ(mh_ticker, "IQ_PREF_EQUITY", , B989), "")</f>
        <v/>
      </c>
      <c r="I989" s="11">
        <f>IFERROR(_xll.ciqfunctions.udf.CIQ(mh_ticker, "IQ_MINORITY_INTEREST", , B989), "")</f>
        <v/>
      </c>
      <c r="J989" s="11">
        <f>IFERROR(_xll.ciqfunctions.udf.CIQ(mh_ticker, "IQ_EQUITY_METHOD", , B989), "")</f>
        <v/>
      </c>
      <c r="K989" s="11">
        <f>IFERROR(_xll.ciqfunctions.udf.CIQ(mh_ticker, "IQ_LT_Mark_Securities", , B989), "")</f>
        <v/>
      </c>
      <c r="L989" s="12">
        <f>IFERROR(C989*D989, "")</f>
        <v/>
      </c>
      <c r="M989" s="12">
        <f>IFERROR(L989-E989-F989+G989+H989+I989-J989-K989, "")</f>
        <v/>
      </c>
      <c r="N989" s="11">
        <f>IFERROR(_xll.ciqfunctions.udf.CIQ(mh_ticker, "IQ_EBITDA_EST", IQ_NTM, B989, , , "USD"), "")</f>
        <v/>
      </c>
      <c r="O989" s="13">
        <f>IFERROR(M989/N989, "")</f>
        <v/>
      </c>
    </row>
    <row r="990">
      <c r="B990" s="8" t="n"/>
      <c r="C990" s="9">
        <f>IFERROR(_xll.ciqfunctions.udf.CIQ(mh_ticker, "IQ_LASTSALEPRICE", B990), "")</f>
        <v/>
      </c>
      <c r="D990" s="10">
        <f>IFERROR(_xll.ciqfunctions.udf.CIQ(mh_ticker, "IQ_SHARESOUTSTANDING_OUT", B990), "")</f>
        <v/>
      </c>
      <c r="E990" s="11">
        <f>IFERROR(_xll.ciqfunctions.udf.CIQ(mh_ticker, "IQ_CASH_EQUIV", , B990), "")</f>
        <v/>
      </c>
      <c r="F990" s="11">
        <f>IFERROR(_xll.ciqfunctions.udf.CIQ(mh_ticker, "IQ_ST_INVEST", , B990), "")</f>
        <v/>
      </c>
      <c r="G990" s="11">
        <f>IFERROR(_xll.ciqfunctions.udf.CIQ(mh_ticker, "IQ_TOTAL_DEBT_EXCL_OPER_LEASES", , B990), "")</f>
        <v/>
      </c>
      <c r="H990" s="11">
        <f>IFERROR(_xll.ciqfunctions.udf.CIQ(mh_ticker, "IQ_PREF_EQUITY", , B990), "")</f>
        <v/>
      </c>
      <c r="I990" s="11">
        <f>IFERROR(_xll.ciqfunctions.udf.CIQ(mh_ticker, "IQ_MINORITY_INTEREST", , B990), "")</f>
        <v/>
      </c>
      <c r="J990" s="11">
        <f>IFERROR(_xll.ciqfunctions.udf.CIQ(mh_ticker, "IQ_EQUITY_METHOD", , B990), "")</f>
        <v/>
      </c>
      <c r="K990" s="11">
        <f>IFERROR(_xll.ciqfunctions.udf.CIQ(mh_ticker, "IQ_LT_Mark_Securities", , B990), "")</f>
        <v/>
      </c>
      <c r="L990" s="12">
        <f>IFERROR(C990*D990, "")</f>
        <v/>
      </c>
      <c r="M990" s="12">
        <f>IFERROR(L990-E990-F990+G990+H990+I990-J990-K990, "")</f>
        <v/>
      </c>
      <c r="N990" s="11">
        <f>IFERROR(_xll.ciqfunctions.udf.CIQ(mh_ticker, "IQ_EBITDA_EST", IQ_NTM, B990, , , "USD"), "")</f>
        <v/>
      </c>
      <c r="O990" s="13">
        <f>IFERROR(M990/N990, "")</f>
        <v/>
      </c>
    </row>
    <row r="991">
      <c r="B991" s="8" t="n"/>
      <c r="C991" s="9">
        <f>IFERROR(_xll.ciqfunctions.udf.CIQ(mh_ticker, "IQ_LASTSALEPRICE", B991), "")</f>
        <v/>
      </c>
      <c r="D991" s="10">
        <f>IFERROR(_xll.ciqfunctions.udf.CIQ(mh_ticker, "IQ_SHARESOUTSTANDING_OUT", B991), "")</f>
        <v/>
      </c>
      <c r="E991" s="11">
        <f>IFERROR(_xll.ciqfunctions.udf.CIQ(mh_ticker, "IQ_CASH_EQUIV", , B991), "")</f>
        <v/>
      </c>
      <c r="F991" s="11">
        <f>IFERROR(_xll.ciqfunctions.udf.CIQ(mh_ticker, "IQ_ST_INVEST", , B991), "")</f>
        <v/>
      </c>
      <c r="G991" s="11">
        <f>IFERROR(_xll.ciqfunctions.udf.CIQ(mh_ticker, "IQ_TOTAL_DEBT_EXCL_OPER_LEASES", , B991), "")</f>
        <v/>
      </c>
      <c r="H991" s="11">
        <f>IFERROR(_xll.ciqfunctions.udf.CIQ(mh_ticker, "IQ_PREF_EQUITY", , B991), "")</f>
        <v/>
      </c>
      <c r="I991" s="11">
        <f>IFERROR(_xll.ciqfunctions.udf.CIQ(mh_ticker, "IQ_MINORITY_INTEREST", , B991), "")</f>
        <v/>
      </c>
      <c r="J991" s="11">
        <f>IFERROR(_xll.ciqfunctions.udf.CIQ(mh_ticker, "IQ_EQUITY_METHOD", , B991), "")</f>
        <v/>
      </c>
      <c r="K991" s="11">
        <f>IFERROR(_xll.ciqfunctions.udf.CIQ(mh_ticker, "IQ_LT_Mark_Securities", , B991), "")</f>
        <v/>
      </c>
      <c r="L991" s="12">
        <f>IFERROR(C991*D991, "")</f>
        <v/>
      </c>
      <c r="M991" s="12">
        <f>IFERROR(L991-E991-F991+G991+H991+I991-J991-K991, "")</f>
        <v/>
      </c>
      <c r="N991" s="11">
        <f>IFERROR(_xll.ciqfunctions.udf.CIQ(mh_ticker, "IQ_EBITDA_EST", IQ_NTM, B991, , , "USD"), "")</f>
        <v/>
      </c>
      <c r="O991" s="13">
        <f>IFERROR(M991/N991, "")</f>
        <v/>
      </c>
    </row>
    <row r="992">
      <c r="B992" s="8" t="n"/>
      <c r="C992" s="9">
        <f>IFERROR(_xll.ciqfunctions.udf.CIQ(mh_ticker, "IQ_LASTSALEPRICE", B992), "")</f>
        <v/>
      </c>
      <c r="D992" s="10">
        <f>IFERROR(_xll.ciqfunctions.udf.CIQ(mh_ticker, "IQ_SHARESOUTSTANDING_OUT", B992), "")</f>
        <v/>
      </c>
      <c r="E992" s="11">
        <f>IFERROR(_xll.ciqfunctions.udf.CIQ(mh_ticker, "IQ_CASH_EQUIV", , B992), "")</f>
        <v/>
      </c>
      <c r="F992" s="11">
        <f>IFERROR(_xll.ciqfunctions.udf.CIQ(mh_ticker, "IQ_ST_INVEST", , B992), "")</f>
        <v/>
      </c>
      <c r="G992" s="11">
        <f>IFERROR(_xll.ciqfunctions.udf.CIQ(mh_ticker, "IQ_TOTAL_DEBT_EXCL_OPER_LEASES", , B992), "")</f>
        <v/>
      </c>
      <c r="H992" s="11">
        <f>IFERROR(_xll.ciqfunctions.udf.CIQ(mh_ticker, "IQ_PREF_EQUITY", , B992), "")</f>
        <v/>
      </c>
      <c r="I992" s="11">
        <f>IFERROR(_xll.ciqfunctions.udf.CIQ(mh_ticker, "IQ_MINORITY_INTEREST", , B992), "")</f>
        <v/>
      </c>
      <c r="J992" s="11">
        <f>IFERROR(_xll.ciqfunctions.udf.CIQ(mh_ticker, "IQ_EQUITY_METHOD", , B992), "")</f>
        <v/>
      </c>
      <c r="K992" s="11">
        <f>IFERROR(_xll.ciqfunctions.udf.CIQ(mh_ticker, "IQ_LT_Mark_Securities", , B992), "")</f>
        <v/>
      </c>
      <c r="L992" s="12">
        <f>IFERROR(C992*D992, "")</f>
        <v/>
      </c>
      <c r="M992" s="12">
        <f>IFERROR(L992-E992-F992+G992+H992+I992-J992-K992, "")</f>
        <v/>
      </c>
      <c r="N992" s="11">
        <f>IFERROR(_xll.ciqfunctions.udf.CIQ(mh_ticker, "IQ_EBITDA_EST", IQ_NTM, B992, , , "USD"), "")</f>
        <v/>
      </c>
      <c r="O992" s="13">
        <f>IFERROR(M992/N992, "")</f>
        <v/>
      </c>
    </row>
    <row r="993">
      <c r="B993" s="8" t="n"/>
      <c r="C993" s="9">
        <f>IFERROR(_xll.ciqfunctions.udf.CIQ(mh_ticker, "IQ_LASTSALEPRICE", B993), "")</f>
        <v/>
      </c>
      <c r="D993" s="10">
        <f>IFERROR(_xll.ciqfunctions.udf.CIQ(mh_ticker, "IQ_SHARESOUTSTANDING_OUT", B993), "")</f>
        <v/>
      </c>
      <c r="E993" s="11">
        <f>IFERROR(_xll.ciqfunctions.udf.CIQ(mh_ticker, "IQ_CASH_EQUIV", , B993), "")</f>
        <v/>
      </c>
      <c r="F993" s="11">
        <f>IFERROR(_xll.ciqfunctions.udf.CIQ(mh_ticker, "IQ_ST_INVEST", , B993), "")</f>
        <v/>
      </c>
      <c r="G993" s="11">
        <f>IFERROR(_xll.ciqfunctions.udf.CIQ(mh_ticker, "IQ_TOTAL_DEBT_EXCL_OPER_LEASES", , B993), "")</f>
        <v/>
      </c>
      <c r="H993" s="11">
        <f>IFERROR(_xll.ciqfunctions.udf.CIQ(mh_ticker, "IQ_PREF_EQUITY", , B993), "")</f>
        <v/>
      </c>
      <c r="I993" s="11">
        <f>IFERROR(_xll.ciqfunctions.udf.CIQ(mh_ticker, "IQ_MINORITY_INTEREST", , B993), "")</f>
        <v/>
      </c>
      <c r="J993" s="11">
        <f>IFERROR(_xll.ciqfunctions.udf.CIQ(mh_ticker, "IQ_EQUITY_METHOD", , B993), "")</f>
        <v/>
      </c>
      <c r="K993" s="11">
        <f>IFERROR(_xll.ciqfunctions.udf.CIQ(mh_ticker, "IQ_LT_Mark_Securities", , B993), "")</f>
        <v/>
      </c>
      <c r="L993" s="12">
        <f>IFERROR(C993*D993, "")</f>
        <v/>
      </c>
      <c r="M993" s="12">
        <f>IFERROR(L993-E993-F993+G993+H993+I993-J993-K993, "")</f>
        <v/>
      </c>
      <c r="N993" s="11">
        <f>IFERROR(_xll.ciqfunctions.udf.CIQ(mh_ticker, "IQ_EBITDA_EST", IQ_NTM, B993, , , "USD"), "")</f>
        <v/>
      </c>
      <c r="O993" s="13">
        <f>IFERROR(M993/N993, "")</f>
        <v/>
      </c>
    </row>
    <row r="994">
      <c r="B994" s="8" t="n"/>
      <c r="C994" s="9">
        <f>IFERROR(_xll.ciqfunctions.udf.CIQ(mh_ticker, "IQ_LASTSALEPRICE", B994), "")</f>
        <v/>
      </c>
      <c r="D994" s="10">
        <f>IFERROR(_xll.ciqfunctions.udf.CIQ(mh_ticker, "IQ_SHARESOUTSTANDING_OUT", B994), "")</f>
        <v/>
      </c>
      <c r="E994" s="11">
        <f>IFERROR(_xll.ciqfunctions.udf.CIQ(mh_ticker, "IQ_CASH_EQUIV", , B994), "")</f>
        <v/>
      </c>
      <c r="F994" s="11">
        <f>IFERROR(_xll.ciqfunctions.udf.CIQ(mh_ticker, "IQ_ST_INVEST", , B994), "")</f>
        <v/>
      </c>
      <c r="G994" s="11">
        <f>IFERROR(_xll.ciqfunctions.udf.CIQ(mh_ticker, "IQ_TOTAL_DEBT_EXCL_OPER_LEASES", , B994), "")</f>
        <v/>
      </c>
      <c r="H994" s="11">
        <f>IFERROR(_xll.ciqfunctions.udf.CIQ(mh_ticker, "IQ_PREF_EQUITY", , B994), "")</f>
        <v/>
      </c>
      <c r="I994" s="11">
        <f>IFERROR(_xll.ciqfunctions.udf.CIQ(mh_ticker, "IQ_MINORITY_INTEREST", , B994), "")</f>
        <v/>
      </c>
      <c r="J994" s="11">
        <f>IFERROR(_xll.ciqfunctions.udf.CIQ(mh_ticker, "IQ_EQUITY_METHOD", , B994), "")</f>
        <v/>
      </c>
      <c r="K994" s="11">
        <f>IFERROR(_xll.ciqfunctions.udf.CIQ(mh_ticker, "IQ_LT_Mark_Securities", , B994), "")</f>
        <v/>
      </c>
      <c r="L994" s="12">
        <f>IFERROR(C994*D994, "")</f>
        <v/>
      </c>
      <c r="M994" s="12">
        <f>IFERROR(L994-E994-F994+G994+H994+I994-J994-K994, "")</f>
        <v/>
      </c>
      <c r="N994" s="11">
        <f>IFERROR(_xll.ciqfunctions.udf.CIQ(mh_ticker, "IQ_EBITDA_EST", IQ_NTM, B994, , , "USD"), "")</f>
        <v/>
      </c>
      <c r="O994" s="13">
        <f>IFERROR(M994/N994, "")</f>
        <v/>
      </c>
    </row>
    <row r="995">
      <c r="B995" s="8" t="n"/>
      <c r="C995" s="9">
        <f>IFERROR(_xll.ciqfunctions.udf.CIQ(mh_ticker, "IQ_LASTSALEPRICE", B995), "")</f>
        <v/>
      </c>
      <c r="D995" s="10">
        <f>IFERROR(_xll.ciqfunctions.udf.CIQ(mh_ticker, "IQ_SHARESOUTSTANDING_OUT", B995), "")</f>
        <v/>
      </c>
      <c r="E995" s="11">
        <f>IFERROR(_xll.ciqfunctions.udf.CIQ(mh_ticker, "IQ_CASH_EQUIV", , B995), "")</f>
        <v/>
      </c>
      <c r="F995" s="11">
        <f>IFERROR(_xll.ciqfunctions.udf.CIQ(mh_ticker, "IQ_ST_INVEST", , B995), "")</f>
        <v/>
      </c>
      <c r="G995" s="11">
        <f>IFERROR(_xll.ciqfunctions.udf.CIQ(mh_ticker, "IQ_TOTAL_DEBT_EXCL_OPER_LEASES", , B995), "")</f>
        <v/>
      </c>
      <c r="H995" s="11">
        <f>IFERROR(_xll.ciqfunctions.udf.CIQ(mh_ticker, "IQ_PREF_EQUITY", , B995), "")</f>
        <v/>
      </c>
      <c r="I995" s="11">
        <f>IFERROR(_xll.ciqfunctions.udf.CIQ(mh_ticker, "IQ_MINORITY_INTEREST", , B995), "")</f>
        <v/>
      </c>
      <c r="J995" s="11">
        <f>IFERROR(_xll.ciqfunctions.udf.CIQ(mh_ticker, "IQ_EQUITY_METHOD", , B995), "")</f>
        <v/>
      </c>
      <c r="K995" s="11">
        <f>IFERROR(_xll.ciqfunctions.udf.CIQ(mh_ticker, "IQ_LT_Mark_Securities", , B995), "")</f>
        <v/>
      </c>
      <c r="L995" s="12">
        <f>IFERROR(C995*D995, "")</f>
        <v/>
      </c>
      <c r="M995" s="12">
        <f>IFERROR(L995-E995-F995+G995+H995+I995-J995-K995, "")</f>
        <v/>
      </c>
      <c r="N995" s="11">
        <f>IFERROR(_xll.ciqfunctions.udf.CIQ(mh_ticker, "IQ_EBITDA_EST", IQ_NTM, B995, , , "USD"), "")</f>
        <v/>
      </c>
      <c r="O995" s="13">
        <f>IFERROR(M995/N995, "")</f>
        <v/>
      </c>
    </row>
    <row r="996">
      <c r="B996" s="8" t="n"/>
      <c r="C996" s="9">
        <f>IFERROR(_xll.ciqfunctions.udf.CIQ(mh_ticker, "IQ_LASTSALEPRICE", B996), "")</f>
        <v/>
      </c>
      <c r="D996" s="10">
        <f>IFERROR(_xll.ciqfunctions.udf.CIQ(mh_ticker, "IQ_SHARESOUTSTANDING_OUT", B996), "")</f>
        <v/>
      </c>
      <c r="E996" s="11">
        <f>IFERROR(_xll.ciqfunctions.udf.CIQ(mh_ticker, "IQ_CASH_EQUIV", , B996), "")</f>
        <v/>
      </c>
      <c r="F996" s="11">
        <f>IFERROR(_xll.ciqfunctions.udf.CIQ(mh_ticker, "IQ_ST_INVEST", , B996), "")</f>
        <v/>
      </c>
      <c r="G996" s="11">
        <f>IFERROR(_xll.ciqfunctions.udf.CIQ(mh_ticker, "IQ_TOTAL_DEBT_EXCL_OPER_LEASES", , B996), "")</f>
        <v/>
      </c>
      <c r="H996" s="11">
        <f>IFERROR(_xll.ciqfunctions.udf.CIQ(mh_ticker, "IQ_PREF_EQUITY", , B996), "")</f>
        <v/>
      </c>
      <c r="I996" s="11">
        <f>IFERROR(_xll.ciqfunctions.udf.CIQ(mh_ticker, "IQ_MINORITY_INTEREST", , B996), "")</f>
        <v/>
      </c>
      <c r="J996" s="11">
        <f>IFERROR(_xll.ciqfunctions.udf.CIQ(mh_ticker, "IQ_EQUITY_METHOD", , B996), "")</f>
        <v/>
      </c>
      <c r="K996" s="11">
        <f>IFERROR(_xll.ciqfunctions.udf.CIQ(mh_ticker, "IQ_LT_Mark_Securities", , B996), "")</f>
        <v/>
      </c>
      <c r="L996" s="12">
        <f>IFERROR(C996*D996, "")</f>
        <v/>
      </c>
      <c r="M996" s="12">
        <f>IFERROR(L996-E996-F996+G996+H996+I996-J996-K996, "")</f>
        <v/>
      </c>
      <c r="N996" s="11">
        <f>IFERROR(_xll.ciqfunctions.udf.CIQ(mh_ticker, "IQ_EBITDA_EST", IQ_NTM, B996, , , "USD"), "")</f>
        <v/>
      </c>
      <c r="O996" s="13">
        <f>IFERROR(M996/N996, "")</f>
        <v/>
      </c>
    </row>
    <row r="997">
      <c r="B997" s="8" t="n"/>
      <c r="C997" s="9">
        <f>IFERROR(_xll.ciqfunctions.udf.CIQ(mh_ticker, "IQ_LASTSALEPRICE", B997), "")</f>
        <v/>
      </c>
      <c r="D997" s="10">
        <f>IFERROR(_xll.ciqfunctions.udf.CIQ(mh_ticker, "IQ_SHARESOUTSTANDING_OUT", B997), "")</f>
        <v/>
      </c>
      <c r="E997" s="11">
        <f>IFERROR(_xll.ciqfunctions.udf.CIQ(mh_ticker, "IQ_CASH_EQUIV", , B997), "")</f>
        <v/>
      </c>
      <c r="F997" s="11">
        <f>IFERROR(_xll.ciqfunctions.udf.CIQ(mh_ticker, "IQ_ST_INVEST", , B997), "")</f>
        <v/>
      </c>
      <c r="G997" s="11">
        <f>IFERROR(_xll.ciqfunctions.udf.CIQ(mh_ticker, "IQ_TOTAL_DEBT_EXCL_OPER_LEASES", , B997), "")</f>
        <v/>
      </c>
      <c r="H997" s="11">
        <f>IFERROR(_xll.ciqfunctions.udf.CIQ(mh_ticker, "IQ_PREF_EQUITY", , B997), "")</f>
        <v/>
      </c>
      <c r="I997" s="11">
        <f>IFERROR(_xll.ciqfunctions.udf.CIQ(mh_ticker, "IQ_MINORITY_INTEREST", , B997), "")</f>
        <v/>
      </c>
      <c r="J997" s="11">
        <f>IFERROR(_xll.ciqfunctions.udf.CIQ(mh_ticker, "IQ_EQUITY_METHOD", , B997), "")</f>
        <v/>
      </c>
      <c r="K997" s="11">
        <f>IFERROR(_xll.ciqfunctions.udf.CIQ(mh_ticker, "IQ_LT_Mark_Securities", , B997), "")</f>
        <v/>
      </c>
      <c r="L997" s="12">
        <f>IFERROR(C997*D997, "")</f>
        <v/>
      </c>
      <c r="M997" s="12">
        <f>IFERROR(L997-E997-F997+G997+H997+I997-J997-K997, "")</f>
        <v/>
      </c>
      <c r="N997" s="11">
        <f>IFERROR(_xll.ciqfunctions.udf.CIQ(mh_ticker, "IQ_EBITDA_EST", IQ_NTM, B997, , , "USD"), "")</f>
        <v/>
      </c>
      <c r="O997" s="13">
        <f>IFERROR(M997/N997, "")</f>
        <v/>
      </c>
    </row>
    <row r="998">
      <c r="B998" s="8" t="n"/>
      <c r="C998" s="9">
        <f>IFERROR(_xll.ciqfunctions.udf.CIQ(mh_ticker, "IQ_LASTSALEPRICE", B998), "")</f>
        <v/>
      </c>
      <c r="D998" s="10">
        <f>IFERROR(_xll.ciqfunctions.udf.CIQ(mh_ticker, "IQ_SHARESOUTSTANDING_OUT", B998), "")</f>
        <v/>
      </c>
      <c r="E998" s="11">
        <f>IFERROR(_xll.ciqfunctions.udf.CIQ(mh_ticker, "IQ_CASH_EQUIV", , B998), "")</f>
        <v/>
      </c>
      <c r="F998" s="11">
        <f>IFERROR(_xll.ciqfunctions.udf.CIQ(mh_ticker, "IQ_ST_INVEST", , B998), "")</f>
        <v/>
      </c>
      <c r="G998" s="11">
        <f>IFERROR(_xll.ciqfunctions.udf.CIQ(mh_ticker, "IQ_TOTAL_DEBT_EXCL_OPER_LEASES", , B998), "")</f>
        <v/>
      </c>
      <c r="H998" s="11">
        <f>IFERROR(_xll.ciqfunctions.udf.CIQ(mh_ticker, "IQ_PREF_EQUITY", , B998), "")</f>
        <v/>
      </c>
      <c r="I998" s="11">
        <f>IFERROR(_xll.ciqfunctions.udf.CIQ(mh_ticker, "IQ_MINORITY_INTEREST", , B998), "")</f>
        <v/>
      </c>
      <c r="J998" s="11">
        <f>IFERROR(_xll.ciqfunctions.udf.CIQ(mh_ticker, "IQ_EQUITY_METHOD", , B998), "")</f>
        <v/>
      </c>
      <c r="K998" s="11">
        <f>IFERROR(_xll.ciqfunctions.udf.CIQ(mh_ticker, "IQ_LT_Mark_Securities", , B998), "")</f>
        <v/>
      </c>
      <c r="L998" s="12">
        <f>IFERROR(C998*D998, "")</f>
        <v/>
      </c>
      <c r="M998" s="12">
        <f>IFERROR(L998-E998-F998+G998+H998+I998-J998-K998, "")</f>
        <v/>
      </c>
      <c r="N998" s="11">
        <f>IFERROR(_xll.ciqfunctions.udf.CIQ(mh_ticker, "IQ_EBITDA_EST", IQ_NTM, B998, , , "USD"), "")</f>
        <v/>
      </c>
      <c r="O998" s="13">
        <f>IFERROR(M998/N998, "")</f>
        <v/>
      </c>
    </row>
    <row r="999">
      <c r="B999" s="8" t="n"/>
      <c r="C999" s="9">
        <f>IFERROR(_xll.ciqfunctions.udf.CIQ(mh_ticker, "IQ_LASTSALEPRICE", B999), "")</f>
        <v/>
      </c>
      <c r="D999" s="10">
        <f>IFERROR(_xll.ciqfunctions.udf.CIQ(mh_ticker, "IQ_SHARESOUTSTANDING_OUT", B999), "")</f>
        <v/>
      </c>
      <c r="E999" s="11">
        <f>IFERROR(_xll.ciqfunctions.udf.CIQ(mh_ticker, "IQ_CASH_EQUIV", , B999), "")</f>
        <v/>
      </c>
      <c r="F999" s="11">
        <f>IFERROR(_xll.ciqfunctions.udf.CIQ(mh_ticker, "IQ_ST_INVEST", , B999), "")</f>
        <v/>
      </c>
      <c r="G999" s="11">
        <f>IFERROR(_xll.ciqfunctions.udf.CIQ(mh_ticker, "IQ_TOTAL_DEBT_EXCL_OPER_LEASES", , B999), "")</f>
        <v/>
      </c>
      <c r="H999" s="11">
        <f>IFERROR(_xll.ciqfunctions.udf.CIQ(mh_ticker, "IQ_PREF_EQUITY", , B999), "")</f>
        <v/>
      </c>
      <c r="I999" s="11">
        <f>IFERROR(_xll.ciqfunctions.udf.CIQ(mh_ticker, "IQ_MINORITY_INTEREST", , B999), "")</f>
        <v/>
      </c>
      <c r="J999" s="11">
        <f>IFERROR(_xll.ciqfunctions.udf.CIQ(mh_ticker, "IQ_EQUITY_METHOD", , B999), "")</f>
        <v/>
      </c>
      <c r="K999" s="11">
        <f>IFERROR(_xll.ciqfunctions.udf.CIQ(mh_ticker, "IQ_LT_Mark_Securities", , B999), "")</f>
        <v/>
      </c>
      <c r="L999" s="12">
        <f>IFERROR(C999*D999, "")</f>
        <v/>
      </c>
      <c r="M999" s="12">
        <f>IFERROR(L999-E999-F999+G999+H999+I999-J999-K999, "")</f>
        <v/>
      </c>
      <c r="N999" s="11">
        <f>IFERROR(_xll.ciqfunctions.udf.CIQ(mh_ticker, "IQ_EBITDA_EST", IQ_NTM, B999, , , "USD"), "")</f>
        <v/>
      </c>
      <c r="O999" s="13">
        <f>IFERROR(M999/N999, "")</f>
        <v/>
      </c>
    </row>
    <row r="1000">
      <c r="B1000" s="8" t="n"/>
      <c r="C1000" s="9">
        <f>IFERROR(_xll.ciqfunctions.udf.CIQ(mh_ticker, "IQ_LASTSALEPRICE", B1000), "")</f>
        <v/>
      </c>
      <c r="D1000" s="10">
        <f>IFERROR(_xll.ciqfunctions.udf.CIQ(mh_ticker, "IQ_SHARESOUTSTANDING_OUT", B1000), "")</f>
        <v/>
      </c>
      <c r="E1000" s="11">
        <f>IFERROR(_xll.ciqfunctions.udf.CIQ(mh_ticker, "IQ_CASH_EQUIV", , B1000), "")</f>
        <v/>
      </c>
      <c r="F1000" s="11">
        <f>IFERROR(_xll.ciqfunctions.udf.CIQ(mh_ticker, "IQ_ST_INVEST", , B1000), "")</f>
        <v/>
      </c>
      <c r="G1000" s="11">
        <f>IFERROR(_xll.ciqfunctions.udf.CIQ(mh_ticker, "IQ_TOTAL_DEBT_EXCL_OPER_LEASES", , B1000), "")</f>
        <v/>
      </c>
      <c r="H1000" s="11">
        <f>IFERROR(_xll.ciqfunctions.udf.CIQ(mh_ticker, "IQ_PREF_EQUITY", , B1000), "")</f>
        <v/>
      </c>
      <c r="I1000" s="11">
        <f>IFERROR(_xll.ciqfunctions.udf.CIQ(mh_ticker, "IQ_MINORITY_INTEREST", , B1000), "")</f>
        <v/>
      </c>
      <c r="J1000" s="11">
        <f>IFERROR(_xll.ciqfunctions.udf.CIQ(mh_ticker, "IQ_EQUITY_METHOD", , B1000), "")</f>
        <v/>
      </c>
      <c r="K1000" s="11">
        <f>IFERROR(_xll.ciqfunctions.udf.CIQ(mh_ticker, "IQ_LT_Mark_Securities", , B1000), "")</f>
        <v/>
      </c>
      <c r="L1000" s="12">
        <f>IFERROR(C1000*D1000, "")</f>
        <v/>
      </c>
      <c r="M1000" s="12">
        <f>IFERROR(L1000-E1000-F1000+G1000+H1000+I1000-J1000-K1000, "")</f>
        <v/>
      </c>
      <c r="N1000" s="11">
        <f>IFERROR(_xll.ciqfunctions.udf.CIQ(mh_ticker, "IQ_EBITDA_EST", IQ_NTM, B1000, , , "USD"), "")</f>
        <v/>
      </c>
      <c r="O1000" s="13">
        <f>IFERROR(M1000/N1000, "")</f>
        <v/>
      </c>
    </row>
    <row r="1001">
      <c r="B1001" s="8" t="n"/>
      <c r="C1001" s="9">
        <f>IFERROR(_xll.ciqfunctions.udf.CIQ(mh_ticker, "IQ_LASTSALEPRICE", B1001), "")</f>
        <v/>
      </c>
      <c r="D1001" s="10">
        <f>IFERROR(_xll.ciqfunctions.udf.CIQ(mh_ticker, "IQ_SHARESOUTSTANDING_OUT", B1001), "")</f>
        <v/>
      </c>
      <c r="E1001" s="11">
        <f>IFERROR(_xll.ciqfunctions.udf.CIQ(mh_ticker, "IQ_CASH_EQUIV", , B1001), "")</f>
        <v/>
      </c>
      <c r="F1001" s="11">
        <f>IFERROR(_xll.ciqfunctions.udf.CIQ(mh_ticker, "IQ_ST_INVEST", , B1001), "")</f>
        <v/>
      </c>
      <c r="G1001" s="11">
        <f>IFERROR(_xll.ciqfunctions.udf.CIQ(mh_ticker, "IQ_TOTAL_DEBT_EXCL_OPER_LEASES", , B1001), "")</f>
        <v/>
      </c>
      <c r="H1001" s="11">
        <f>IFERROR(_xll.ciqfunctions.udf.CIQ(mh_ticker, "IQ_PREF_EQUITY", , B1001), "")</f>
        <v/>
      </c>
      <c r="I1001" s="11">
        <f>IFERROR(_xll.ciqfunctions.udf.CIQ(mh_ticker, "IQ_MINORITY_INTEREST", , B1001), "")</f>
        <v/>
      </c>
      <c r="J1001" s="11">
        <f>IFERROR(_xll.ciqfunctions.udf.CIQ(mh_ticker, "IQ_EQUITY_METHOD", , B1001), "")</f>
        <v/>
      </c>
      <c r="K1001" s="11">
        <f>IFERROR(_xll.ciqfunctions.udf.CIQ(mh_ticker, "IQ_LT_Mark_Securities", , B1001), "")</f>
        <v/>
      </c>
      <c r="L1001" s="12">
        <f>IFERROR(C1001*D1001, "")</f>
        <v/>
      </c>
      <c r="M1001" s="12">
        <f>IFERROR(L1001-E1001-F1001+G1001+H1001+I1001-J1001-K1001, "")</f>
        <v/>
      </c>
      <c r="N1001" s="11">
        <f>IFERROR(_xll.ciqfunctions.udf.CIQ(mh_ticker, "IQ_EBITDA_EST", IQ_NTM, B1001, , , "USD"), "")</f>
        <v/>
      </c>
      <c r="O1001" s="13">
        <f>IFERROR(M1001/N1001, "")</f>
        <v/>
      </c>
    </row>
    <row r="1002">
      <c r="B1002" s="8" t="n"/>
      <c r="C1002" s="9">
        <f>IFERROR(_xll.ciqfunctions.udf.CIQ(mh_ticker, "IQ_LASTSALEPRICE", B1002), "")</f>
        <v/>
      </c>
      <c r="D1002" s="10">
        <f>IFERROR(_xll.ciqfunctions.udf.CIQ(mh_ticker, "IQ_SHARESOUTSTANDING_OUT", B1002), "")</f>
        <v/>
      </c>
      <c r="E1002" s="11">
        <f>IFERROR(_xll.ciqfunctions.udf.CIQ(mh_ticker, "IQ_CASH_EQUIV", , B1002), "")</f>
        <v/>
      </c>
      <c r="F1002" s="11">
        <f>IFERROR(_xll.ciqfunctions.udf.CIQ(mh_ticker, "IQ_ST_INVEST", , B1002), "")</f>
        <v/>
      </c>
      <c r="G1002" s="11">
        <f>IFERROR(_xll.ciqfunctions.udf.CIQ(mh_ticker, "IQ_TOTAL_DEBT_EXCL_OPER_LEASES", , B1002), "")</f>
        <v/>
      </c>
      <c r="H1002" s="11">
        <f>IFERROR(_xll.ciqfunctions.udf.CIQ(mh_ticker, "IQ_PREF_EQUITY", , B1002), "")</f>
        <v/>
      </c>
      <c r="I1002" s="11">
        <f>IFERROR(_xll.ciqfunctions.udf.CIQ(mh_ticker, "IQ_MINORITY_INTEREST", , B1002), "")</f>
        <v/>
      </c>
      <c r="J1002" s="11">
        <f>IFERROR(_xll.ciqfunctions.udf.CIQ(mh_ticker, "IQ_EQUITY_METHOD", , B1002), "")</f>
        <v/>
      </c>
      <c r="K1002" s="11">
        <f>IFERROR(_xll.ciqfunctions.udf.CIQ(mh_ticker, "IQ_LT_Mark_Securities", , B1002), "")</f>
        <v/>
      </c>
      <c r="L1002" s="12">
        <f>IFERROR(C1002*D1002, "")</f>
        <v/>
      </c>
      <c r="M1002" s="12">
        <f>IFERROR(L1002-E1002-F1002+G1002+H1002+I1002-J1002-K1002, "")</f>
        <v/>
      </c>
      <c r="N1002" s="11">
        <f>IFERROR(_xll.ciqfunctions.udf.CIQ(mh_ticker, "IQ_EBITDA_EST", IQ_NTM, B1002, , , "USD"), "")</f>
        <v/>
      </c>
      <c r="O1002" s="13">
        <f>IFERROR(M1002/N1002, "")</f>
        <v/>
      </c>
    </row>
    <row r="1003">
      <c r="B1003" s="8" t="n"/>
      <c r="C1003" s="9">
        <f>IFERROR(_xll.ciqfunctions.udf.CIQ(mh_ticker, "IQ_LASTSALEPRICE", B1003), "")</f>
        <v/>
      </c>
      <c r="D1003" s="10">
        <f>IFERROR(_xll.ciqfunctions.udf.CIQ(mh_ticker, "IQ_SHARESOUTSTANDING_OUT", B1003), "")</f>
        <v/>
      </c>
      <c r="E1003" s="11">
        <f>IFERROR(_xll.ciqfunctions.udf.CIQ(mh_ticker, "IQ_CASH_EQUIV", , B1003), "")</f>
        <v/>
      </c>
      <c r="F1003" s="11">
        <f>IFERROR(_xll.ciqfunctions.udf.CIQ(mh_ticker, "IQ_ST_INVEST", , B1003), "")</f>
        <v/>
      </c>
      <c r="G1003" s="11">
        <f>IFERROR(_xll.ciqfunctions.udf.CIQ(mh_ticker, "IQ_TOTAL_DEBT_EXCL_OPER_LEASES", , B1003), "")</f>
        <v/>
      </c>
      <c r="H1003" s="11">
        <f>IFERROR(_xll.ciqfunctions.udf.CIQ(mh_ticker, "IQ_PREF_EQUITY", , B1003), "")</f>
        <v/>
      </c>
      <c r="I1003" s="11">
        <f>IFERROR(_xll.ciqfunctions.udf.CIQ(mh_ticker, "IQ_MINORITY_INTEREST", , B1003), "")</f>
        <v/>
      </c>
      <c r="J1003" s="11">
        <f>IFERROR(_xll.ciqfunctions.udf.CIQ(mh_ticker, "IQ_EQUITY_METHOD", , B1003), "")</f>
        <v/>
      </c>
      <c r="K1003" s="11">
        <f>IFERROR(_xll.ciqfunctions.udf.CIQ(mh_ticker, "IQ_LT_Mark_Securities", , B1003), "")</f>
        <v/>
      </c>
      <c r="L1003" s="12">
        <f>IFERROR(C1003*D1003, "")</f>
        <v/>
      </c>
      <c r="M1003" s="12">
        <f>IFERROR(L1003-E1003-F1003+G1003+H1003+I1003-J1003-K1003, "")</f>
        <v/>
      </c>
      <c r="N1003" s="11">
        <f>IFERROR(_xll.ciqfunctions.udf.CIQ(mh_ticker, "IQ_EBITDA_EST", IQ_NTM, B1003, , , "USD"), "")</f>
        <v/>
      </c>
      <c r="O1003" s="13">
        <f>IFERROR(M1003/N1003, "")</f>
        <v/>
      </c>
    </row>
    <row r="1004">
      <c r="B1004" s="8" t="n"/>
      <c r="C1004" s="9">
        <f>IFERROR(_xll.ciqfunctions.udf.CIQ(mh_ticker, "IQ_LASTSALEPRICE", B1004), "")</f>
        <v/>
      </c>
      <c r="D1004" s="10">
        <f>IFERROR(_xll.ciqfunctions.udf.CIQ(mh_ticker, "IQ_SHARESOUTSTANDING_OUT", B1004), "")</f>
        <v/>
      </c>
      <c r="E1004" s="11">
        <f>IFERROR(_xll.ciqfunctions.udf.CIQ(mh_ticker, "IQ_CASH_EQUIV", , B1004), "")</f>
        <v/>
      </c>
      <c r="F1004" s="11">
        <f>IFERROR(_xll.ciqfunctions.udf.CIQ(mh_ticker, "IQ_ST_INVEST", , B1004), "")</f>
        <v/>
      </c>
      <c r="G1004" s="11">
        <f>IFERROR(_xll.ciqfunctions.udf.CIQ(mh_ticker, "IQ_TOTAL_DEBT_EXCL_OPER_LEASES", , B1004), "")</f>
        <v/>
      </c>
      <c r="H1004" s="11">
        <f>IFERROR(_xll.ciqfunctions.udf.CIQ(mh_ticker, "IQ_PREF_EQUITY", , B1004), "")</f>
        <v/>
      </c>
      <c r="I1004" s="11">
        <f>IFERROR(_xll.ciqfunctions.udf.CIQ(mh_ticker, "IQ_MINORITY_INTEREST", , B1004), "")</f>
        <v/>
      </c>
      <c r="J1004" s="11">
        <f>IFERROR(_xll.ciqfunctions.udf.CIQ(mh_ticker, "IQ_EQUITY_METHOD", , B1004), "")</f>
        <v/>
      </c>
      <c r="K1004" s="11">
        <f>IFERROR(_xll.ciqfunctions.udf.CIQ(mh_ticker, "IQ_LT_Mark_Securities", , B1004), "")</f>
        <v/>
      </c>
      <c r="L1004" s="12">
        <f>IFERROR(C1004*D1004, "")</f>
        <v/>
      </c>
      <c r="M1004" s="12">
        <f>IFERROR(L1004-E1004-F1004+G1004+H1004+I1004-J1004-K1004, "")</f>
        <v/>
      </c>
      <c r="N1004" s="11">
        <f>IFERROR(_xll.ciqfunctions.udf.CIQ(mh_ticker, "IQ_EBITDA_EST", IQ_NTM, B1004, , , "USD"), "")</f>
        <v/>
      </c>
      <c r="O1004" s="13">
        <f>IFERROR(M1004/N1004, "")</f>
        <v/>
      </c>
    </row>
    <row r="1005">
      <c r="B1005" s="8" t="n"/>
      <c r="C1005" s="9">
        <f>IFERROR(_xll.ciqfunctions.udf.CIQ(mh_ticker, "IQ_LASTSALEPRICE", B1005), "")</f>
        <v/>
      </c>
      <c r="D1005" s="10">
        <f>IFERROR(_xll.ciqfunctions.udf.CIQ(mh_ticker, "IQ_SHARESOUTSTANDING_OUT", B1005), "")</f>
        <v/>
      </c>
      <c r="E1005" s="11">
        <f>IFERROR(_xll.ciqfunctions.udf.CIQ(mh_ticker, "IQ_CASH_EQUIV", , B1005), "")</f>
        <v/>
      </c>
      <c r="F1005" s="11">
        <f>IFERROR(_xll.ciqfunctions.udf.CIQ(mh_ticker, "IQ_ST_INVEST", , B1005), "")</f>
        <v/>
      </c>
      <c r="G1005" s="11">
        <f>IFERROR(_xll.ciqfunctions.udf.CIQ(mh_ticker, "IQ_TOTAL_DEBT_EXCL_OPER_LEASES", , B1005), "")</f>
        <v/>
      </c>
      <c r="H1005" s="11">
        <f>IFERROR(_xll.ciqfunctions.udf.CIQ(mh_ticker, "IQ_PREF_EQUITY", , B1005), "")</f>
        <v/>
      </c>
      <c r="I1005" s="11">
        <f>IFERROR(_xll.ciqfunctions.udf.CIQ(mh_ticker, "IQ_MINORITY_INTEREST", , B1005), "")</f>
        <v/>
      </c>
      <c r="J1005" s="11">
        <f>IFERROR(_xll.ciqfunctions.udf.CIQ(mh_ticker, "IQ_EQUITY_METHOD", , B1005), "")</f>
        <v/>
      </c>
      <c r="K1005" s="11">
        <f>IFERROR(_xll.ciqfunctions.udf.CIQ(mh_ticker, "IQ_LT_Mark_Securities", , B1005), "")</f>
        <v/>
      </c>
      <c r="L1005" s="12">
        <f>IFERROR(C1005*D1005, "")</f>
        <v/>
      </c>
      <c r="M1005" s="12">
        <f>IFERROR(L1005-E1005-F1005+G1005+H1005+I1005-J1005-K1005, "")</f>
        <v/>
      </c>
      <c r="N1005" s="11">
        <f>IFERROR(_xll.ciqfunctions.udf.CIQ(mh_ticker, "IQ_EBITDA_EST", IQ_NTM, B1005, , , "USD"), "")</f>
        <v/>
      </c>
      <c r="O1005" s="13">
        <f>IFERROR(M1005/N1005, "")</f>
        <v/>
      </c>
    </row>
    <row r="1006">
      <c r="B1006" s="8" t="n"/>
      <c r="C1006" s="9">
        <f>IFERROR(_xll.ciqfunctions.udf.CIQ(mh_ticker, "IQ_LASTSALEPRICE", B1006), "")</f>
        <v/>
      </c>
      <c r="D1006" s="10">
        <f>IFERROR(_xll.ciqfunctions.udf.CIQ(mh_ticker, "IQ_SHARESOUTSTANDING_OUT", B1006), "")</f>
        <v/>
      </c>
      <c r="E1006" s="11">
        <f>IFERROR(_xll.ciqfunctions.udf.CIQ(mh_ticker, "IQ_CASH_EQUIV", , B1006), "")</f>
        <v/>
      </c>
      <c r="F1006" s="11">
        <f>IFERROR(_xll.ciqfunctions.udf.CIQ(mh_ticker, "IQ_ST_INVEST", , B1006), "")</f>
        <v/>
      </c>
      <c r="G1006" s="11">
        <f>IFERROR(_xll.ciqfunctions.udf.CIQ(mh_ticker, "IQ_TOTAL_DEBT_EXCL_OPER_LEASES", , B1006), "")</f>
        <v/>
      </c>
      <c r="H1006" s="11">
        <f>IFERROR(_xll.ciqfunctions.udf.CIQ(mh_ticker, "IQ_PREF_EQUITY", , B1006), "")</f>
        <v/>
      </c>
      <c r="I1006" s="11">
        <f>IFERROR(_xll.ciqfunctions.udf.CIQ(mh_ticker, "IQ_MINORITY_INTEREST", , B1006), "")</f>
        <v/>
      </c>
      <c r="J1006" s="11">
        <f>IFERROR(_xll.ciqfunctions.udf.CIQ(mh_ticker, "IQ_EQUITY_METHOD", , B1006), "")</f>
        <v/>
      </c>
      <c r="K1006" s="11">
        <f>IFERROR(_xll.ciqfunctions.udf.CIQ(mh_ticker, "IQ_LT_Mark_Securities", , B1006), "")</f>
        <v/>
      </c>
      <c r="L1006" s="12">
        <f>IFERROR(C1006*D1006, "")</f>
        <v/>
      </c>
      <c r="M1006" s="12">
        <f>IFERROR(L1006-E1006-F1006+G1006+H1006+I1006-J1006-K1006, "")</f>
        <v/>
      </c>
      <c r="N1006" s="11">
        <f>IFERROR(_xll.ciqfunctions.udf.CIQ(mh_ticker, "IQ_EBITDA_EST", IQ_NTM, B1006, , , "USD"), "")</f>
        <v/>
      </c>
      <c r="O1006" s="13">
        <f>IFERROR(M1006/N1006, "")</f>
        <v/>
      </c>
    </row>
    <row r="1007">
      <c r="B1007" s="8" t="n"/>
      <c r="C1007" s="9">
        <f>IFERROR(_xll.ciqfunctions.udf.CIQ(mh_ticker, "IQ_LASTSALEPRICE", B1007), "")</f>
        <v/>
      </c>
      <c r="D1007" s="10">
        <f>IFERROR(_xll.ciqfunctions.udf.CIQ(mh_ticker, "IQ_SHARESOUTSTANDING_OUT", B1007), "")</f>
        <v/>
      </c>
      <c r="E1007" s="11">
        <f>IFERROR(_xll.ciqfunctions.udf.CIQ(mh_ticker, "IQ_CASH_EQUIV", , B1007), "")</f>
        <v/>
      </c>
      <c r="F1007" s="11">
        <f>IFERROR(_xll.ciqfunctions.udf.CIQ(mh_ticker, "IQ_ST_INVEST", , B1007), "")</f>
        <v/>
      </c>
      <c r="G1007" s="11">
        <f>IFERROR(_xll.ciqfunctions.udf.CIQ(mh_ticker, "IQ_TOTAL_DEBT_EXCL_OPER_LEASES", , B1007), "")</f>
        <v/>
      </c>
      <c r="H1007" s="11">
        <f>IFERROR(_xll.ciqfunctions.udf.CIQ(mh_ticker, "IQ_PREF_EQUITY", , B1007), "")</f>
        <v/>
      </c>
      <c r="I1007" s="11">
        <f>IFERROR(_xll.ciqfunctions.udf.CIQ(mh_ticker, "IQ_MINORITY_INTEREST", , B1007), "")</f>
        <v/>
      </c>
      <c r="J1007" s="11">
        <f>IFERROR(_xll.ciqfunctions.udf.CIQ(mh_ticker, "IQ_EQUITY_METHOD", , B1007), "")</f>
        <v/>
      </c>
      <c r="K1007" s="11">
        <f>IFERROR(_xll.ciqfunctions.udf.CIQ(mh_ticker, "IQ_LT_Mark_Securities", , B1007), "")</f>
        <v/>
      </c>
      <c r="L1007" s="12">
        <f>IFERROR(C1007*D1007, "")</f>
        <v/>
      </c>
      <c r="M1007" s="12">
        <f>IFERROR(L1007-E1007-F1007+G1007+H1007+I1007-J1007-K1007, "")</f>
        <v/>
      </c>
      <c r="N1007" s="11">
        <f>IFERROR(_xll.ciqfunctions.udf.CIQ(mh_ticker, "IQ_EBITDA_EST", IQ_NTM, B1007, , , "USD"), "")</f>
        <v/>
      </c>
      <c r="O1007" s="13">
        <f>IFERROR(M1007/N1007, "")</f>
        <v/>
      </c>
    </row>
    <row r="1008">
      <c r="B1008" s="8" t="n"/>
      <c r="C1008" s="9">
        <f>IFERROR(_xll.ciqfunctions.udf.CIQ(mh_ticker, "IQ_LASTSALEPRICE", B1008), "")</f>
        <v/>
      </c>
      <c r="D1008" s="10">
        <f>IFERROR(_xll.ciqfunctions.udf.CIQ(mh_ticker, "IQ_SHARESOUTSTANDING_OUT", B1008), "")</f>
        <v/>
      </c>
      <c r="E1008" s="11">
        <f>IFERROR(_xll.ciqfunctions.udf.CIQ(mh_ticker, "IQ_CASH_EQUIV", , B1008), "")</f>
        <v/>
      </c>
      <c r="F1008" s="11">
        <f>IFERROR(_xll.ciqfunctions.udf.CIQ(mh_ticker, "IQ_ST_INVEST", , B1008), "")</f>
        <v/>
      </c>
      <c r="G1008" s="11">
        <f>IFERROR(_xll.ciqfunctions.udf.CIQ(mh_ticker, "IQ_TOTAL_DEBT_EXCL_OPER_LEASES", , B1008), "")</f>
        <v/>
      </c>
      <c r="H1008" s="11">
        <f>IFERROR(_xll.ciqfunctions.udf.CIQ(mh_ticker, "IQ_PREF_EQUITY", , B1008), "")</f>
        <v/>
      </c>
      <c r="I1008" s="11">
        <f>IFERROR(_xll.ciqfunctions.udf.CIQ(mh_ticker, "IQ_MINORITY_INTEREST", , B1008), "")</f>
        <v/>
      </c>
      <c r="J1008" s="11">
        <f>IFERROR(_xll.ciqfunctions.udf.CIQ(mh_ticker, "IQ_EQUITY_METHOD", , B1008), "")</f>
        <v/>
      </c>
      <c r="K1008" s="11">
        <f>IFERROR(_xll.ciqfunctions.udf.CIQ(mh_ticker, "IQ_LT_Mark_Securities", , B1008), "")</f>
        <v/>
      </c>
      <c r="L1008" s="12">
        <f>IFERROR(C1008*D1008, "")</f>
        <v/>
      </c>
      <c r="M1008" s="12">
        <f>IFERROR(L1008-E1008-F1008+G1008+H1008+I1008-J1008-K1008, "")</f>
        <v/>
      </c>
      <c r="N1008" s="11">
        <f>IFERROR(_xll.ciqfunctions.udf.CIQ(mh_ticker, "IQ_EBITDA_EST", IQ_NTM, B1008, , , "USD"), "")</f>
        <v/>
      </c>
      <c r="O1008" s="13">
        <f>IFERROR(M1008/N1008, "")</f>
        <v/>
      </c>
    </row>
    <row r="1009">
      <c r="B1009" s="8" t="n"/>
      <c r="C1009" s="9">
        <f>IFERROR(_xll.ciqfunctions.udf.CIQ(mh_ticker, "IQ_LASTSALEPRICE", B1009), "")</f>
        <v/>
      </c>
      <c r="D1009" s="10">
        <f>IFERROR(_xll.ciqfunctions.udf.CIQ(mh_ticker, "IQ_SHARESOUTSTANDING_OUT", B1009), "")</f>
        <v/>
      </c>
      <c r="E1009" s="11">
        <f>IFERROR(_xll.ciqfunctions.udf.CIQ(mh_ticker, "IQ_CASH_EQUIV", , B1009), "")</f>
        <v/>
      </c>
      <c r="F1009" s="11">
        <f>IFERROR(_xll.ciqfunctions.udf.CIQ(mh_ticker, "IQ_ST_INVEST", , B1009), "")</f>
        <v/>
      </c>
      <c r="G1009" s="11">
        <f>IFERROR(_xll.ciqfunctions.udf.CIQ(mh_ticker, "IQ_TOTAL_DEBT_EXCL_OPER_LEASES", , B1009), "")</f>
        <v/>
      </c>
      <c r="H1009" s="11">
        <f>IFERROR(_xll.ciqfunctions.udf.CIQ(mh_ticker, "IQ_PREF_EQUITY", , B1009), "")</f>
        <v/>
      </c>
      <c r="I1009" s="11">
        <f>IFERROR(_xll.ciqfunctions.udf.CIQ(mh_ticker, "IQ_MINORITY_INTEREST", , B1009), "")</f>
        <v/>
      </c>
      <c r="J1009" s="11">
        <f>IFERROR(_xll.ciqfunctions.udf.CIQ(mh_ticker, "IQ_EQUITY_METHOD", , B1009), "")</f>
        <v/>
      </c>
      <c r="K1009" s="11">
        <f>IFERROR(_xll.ciqfunctions.udf.CIQ(mh_ticker, "IQ_LT_Mark_Securities", , B1009), "")</f>
        <v/>
      </c>
      <c r="L1009" s="12">
        <f>IFERROR(C1009*D1009, "")</f>
        <v/>
      </c>
      <c r="M1009" s="12">
        <f>IFERROR(L1009-E1009-F1009+G1009+H1009+I1009-J1009-K1009, "")</f>
        <v/>
      </c>
      <c r="N1009" s="11">
        <f>IFERROR(_xll.ciqfunctions.udf.CIQ(mh_ticker, "IQ_EBITDA_EST", IQ_NTM, B1009, , , "USD"), "")</f>
        <v/>
      </c>
      <c r="O1009" s="13">
        <f>IFERROR(M1009/N1009, "")</f>
        <v/>
      </c>
    </row>
    <row r="1010">
      <c r="B1010" s="8" t="n"/>
      <c r="C1010" s="9">
        <f>IFERROR(_xll.ciqfunctions.udf.CIQ(mh_ticker, "IQ_LASTSALEPRICE", B1010), "")</f>
        <v/>
      </c>
      <c r="D1010" s="10">
        <f>IFERROR(_xll.ciqfunctions.udf.CIQ(mh_ticker, "IQ_SHARESOUTSTANDING_OUT", B1010), "")</f>
        <v/>
      </c>
      <c r="E1010" s="11">
        <f>IFERROR(_xll.ciqfunctions.udf.CIQ(mh_ticker, "IQ_CASH_EQUIV", , B1010), "")</f>
        <v/>
      </c>
      <c r="F1010" s="11">
        <f>IFERROR(_xll.ciqfunctions.udf.CIQ(mh_ticker, "IQ_ST_INVEST", , B1010), "")</f>
        <v/>
      </c>
      <c r="G1010" s="11">
        <f>IFERROR(_xll.ciqfunctions.udf.CIQ(mh_ticker, "IQ_TOTAL_DEBT_EXCL_OPER_LEASES", , B1010), "")</f>
        <v/>
      </c>
      <c r="H1010" s="11">
        <f>IFERROR(_xll.ciqfunctions.udf.CIQ(mh_ticker, "IQ_PREF_EQUITY", , B1010), "")</f>
        <v/>
      </c>
      <c r="I1010" s="11">
        <f>IFERROR(_xll.ciqfunctions.udf.CIQ(mh_ticker, "IQ_MINORITY_INTEREST", , B1010), "")</f>
        <v/>
      </c>
      <c r="J1010" s="11">
        <f>IFERROR(_xll.ciqfunctions.udf.CIQ(mh_ticker, "IQ_EQUITY_METHOD", , B1010), "")</f>
        <v/>
      </c>
      <c r="K1010" s="11">
        <f>IFERROR(_xll.ciqfunctions.udf.CIQ(mh_ticker, "IQ_LT_Mark_Securities", , B1010), "")</f>
        <v/>
      </c>
      <c r="L1010" s="12">
        <f>IFERROR(C1010*D1010, "")</f>
        <v/>
      </c>
      <c r="M1010" s="12">
        <f>IFERROR(L1010-E1010-F1010+G1010+H1010+I1010-J1010-K1010, "")</f>
        <v/>
      </c>
      <c r="N1010" s="11">
        <f>IFERROR(_xll.ciqfunctions.udf.CIQ(mh_ticker, "IQ_EBITDA_EST", IQ_NTM, B1010, , , "USD"), "")</f>
        <v/>
      </c>
      <c r="O1010" s="13">
        <f>IFERROR(M1010/N1010, "")</f>
        <v/>
      </c>
    </row>
    <row r="1011">
      <c r="B1011" s="8" t="n"/>
      <c r="C1011" s="9">
        <f>IFERROR(_xll.ciqfunctions.udf.CIQ(mh_ticker, "IQ_LASTSALEPRICE", B1011), "")</f>
        <v/>
      </c>
      <c r="D1011" s="10">
        <f>IFERROR(_xll.ciqfunctions.udf.CIQ(mh_ticker, "IQ_SHARESOUTSTANDING_OUT", B1011), "")</f>
        <v/>
      </c>
      <c r="E1011" s="11">
        <f>IFERROR(_xll.ciqfunctions.udf.CIQ(mh_ticker, "IQ_CASH_EQUIV", , B1011), "")</f>
        <v/>
      </c>
      <c r="F1011" s="11">
        <f>IFERROR(_xll.ciqfunctions.udf.CIQ(mh_ticker, "IQ_ST_INVEST", , B1011), "")</f>
        <v/>
      </c>
      <c r="G1011" s="11">
        <f>IFERROR(_xll.ciqfunctions.udf.CIQ(mh_ticker, "IQ_TOTAL_DEBT_EXCL_OPER_LEASES", , B1011), "")</f>
        <v/>
      </c>
      <c r="H1011" s="11">
        <f>IFERROR(_xll.ciqfunctions.udf.CIQ(mh_ticker, "IQ_PREF_EQUITY", , B1011), "")</f>
        <v/>
      </c>
      <c r="I1011" s="11">
        <f>IFERROR(_xll.ciqfunctions.udf.CIQ(mh_ticker, "IQ_MINORITY_INTEREST", , B1011), "")</f>
        <v/>
      </c>
      <c r="J1011" s="11">
        <f>IFERROR(_xll.ciqfunctions.udf.CIQ(mh_ticker, "IQ_EQUITY_METHOD", , B1011), "")</f>
        <v/>
      </c>
      <c r="K1011" s="11">
        <f>IFERROR(_xll.ciqfunctions.udf.CIQ(mh_ticker, "IQ_LT_Mark_Securities", , B1011), "")</f>
        <v/>
      </c>
      <c r="L1011" s="12">
        <f>IFERROR(C1011*D1011, "")</f>
        <v/>
      </c>
      <c r="M1011" s="12">
        <f>IFERROR(L1011-E1011-F1011+G1011+H1011+I1011-J1011-K1011, "")</f>
        <v/>
      </c>
      <c r="N1011" s="11">
        <f>IFERROR(_xll.ciqfunctions.udf.CIQ(mh_ticker, "IQ_EBITDA_EST", IQ_NTM, B1011, , , "USD"), "")</f>
        <v/>
      </c>
      <c r="O1011" s="13">
        <f>IFERROR(M1011/N1011, "")</f>
        <v/>
      </c>
    </row>
    <row r="1012">
      <c r="B1012" s="8" t="n"/>
      <c r="C1012" s="9">
        <f>IFERROR(_xll.ciqfunctions.udf.CIQ(mh_ticker, "IQ_LASTSALEPRICE", B1012), "")</f>
        <v/>
      </c>
      <c r="D1012" s="10">
        <f>IFERROR(_xll.ciqfunctions.udf.CIQ(mh_ticker, "IQ_SHARESOUTSTANDING_OUT", B1012), "")</f>
        <v/>
      </c>
      <c r="E1012" s="11">
        <f>IFERROR(_xll.ciqfunctions.udf.CIQ(mh_ticker, "IQ_CASH_EQUIV", , B1012), "")</f>
        <v/>
      </c>
      <c r="F1012" s="11">
        <f>IFERROR(_xll.ciqfunctions.udf.CIQ(mh_ticker, "IQ_ST_INVEST", , B1012), "")</f>
        <v/>
      </c>
      <c r="G1012" s="11">
        <f>IFERROR(_xll.ciqfunctions.udf.CIQ(mh_ticker, "IQ_TOTAL_DEBT_EXCL_OPER_LEASES", , B1012), "")</f>
        <v/>
      </c>
      <c r="H1012" s="11">
        <f>IFERROR(_xll.ciqfunctions.udf.CIQ(mh_ticker, "IQ_PREF_EQUITY", , B1012), "")</f>
        <v/>
      </c>
      <c r="I1012" s="11">
        <f>IFERROR(_xll.ciqfunctions.udf.CIQ(mh_ticker, "IQ_MINORITY_INTEREST", , B1012), "")</f>
        <v/>
      </c>
      <c r="J1012" s="11">
        <f>IFERROR(_xll.ciqfunctions.udf.CIQ(mh_ticker, "IQ_EQUITY_METHOD", , B1012), "")</f>
        <v/>
      </c>
      <c r="K1012" s="11">
        <f>IFERROR(_xll.ciqfunctions.udf.CIQ(mh_ticker, "IQ_LT_Mark_Securities", , B1012), "")</f>
        <v/>
      </c>
      <c r="L1012" s="12">
        <f>IFERROR(C1012*D1012, "")</f>
        <v/>
      </c>
      <c r="M1012" s="12">
        <f>IFERROR(L1012-E1012-F1012+G1012+H1012+I1012-J1012-K1012, "")</f>
        <v/>
      </c>
      <c r="N1012" s="11">
        <f>IFERROR(_xll.ciqfunctions.udf.CIQ(mh_ticker, "IQ_EBITDA_EST", IQ_NTM, B1012, , , "USD"), "")</f>
        <v/>
      </c>
      <c r="O1012" s="13">
        <f>IFERROR(M1012/N1012, "")</f>
        <v/>
      </c>
    </row>
    <row r="1013">
      <c r="B1013" s="8" t="n"/>
      <c r="C1013" s="9">
        <f>IFERROR(_xll.ciqfunctions.udf.CIQ(mh_ticker, "IQ_LASTSALEPRICE", B1013), "")</f>
        <v/>
      </c>
      <c r="D1013" s="10">
        <f>IFERROR(_xll.ciqfunctions.udf.CIQ(mh_ticker, "IQ_SHARESOUTSTANDING_OUT", B1013), "")</f>
        <v/>
      </c>
      <c r="E1013" s="11">
        <f>IFERROR(_xll.ciqfunctions.udf.CIQ(mh_ticker, "IQ_CASH_EQUIV", , B1013), "")</f>
        <v/>
      </c>
      <c r="F1013" s="11">
        <f>IFERROR(_xll.ciqfunctions.udf.CIQ(mh_ticker, "IQ_ST_INVEST", , B1013), "")</f>
        <v/>
      </c>
      <c r="G1013" s="11">
        <f>IFERROR(_xll.ciqfunctions.udf.CIQ(mh_ticker, "IQ_TOTAL_DEBT_EXCL_OPER_LEASES", , B1013), "")</f>
        <v/>
      </c>
      <c r="H1013" s="11">
        <f>IFERROR(_xll.ciqfunctions.udf.CIQ(mh_ticker, "IQ_PREF_EQUITY", , B1013), "")</f>
        <v/>
      </c>
      <c r="I1013" s="11">
        <f>IFERROR(_xll.ciqfunctions.udf.CIQ(mh_ticker, "IQ_MINORITY_INTEREST", , B1013), "")</f>
        <v/>
      </c>
      <c r="J1013" s="11">
        <f>IFERROR(_xll.ciqfunctions.udf.CIQ(mh_ticker, "IQ_EQUITY_METHOD", , B1013), "")</f>
        <v/>
      </c>
      <c r="K1013" s="11">
        <f>IFERROR(_xll.ciqfunctions.udf.CIQ(mh_ticker, "IQ_LT_Mark_Securities", , B1013), "")</f>
        <v/>
      </c>
      <c r="L1013" s="12">
        <f>IFERROR(C1013*D1013, "")</f>
        <v/>
      </c>
      <c r="M1013" s="12">
        <f>IFERROR(L1013-E1013-F1013+G1013+H1013+I1013-J1013-K1013, "")</f>
        <v/>
      </c>
      <c r="N1013" s="11">
        <f>IFERROR(_xll.ciqfunctions.udf.CIQ(mh_ticker, "IQ_EBITDA_EST", IQ_NTM, B1013, , , "USD"), "")</f>
        <v/>
      </c>
      <c r="O1013" s="13">
        <f>IFERROR(M1013/N1013, "")</f>
        <v/>
      </c>
    </row>
    <row r="1014">
      <c r="B1014" s="8" t="n"/>
      <c r="C1014" s="9">
        <f>IFERROR(_xll.ciqfunctions.udf.CIQ(mh_ticker, "IQ_LASTSALEPRICE", B1014), "")</f>
        <v/>
      </c>
      <c r="D1014" s="10">
        <f>IFERROR(_xll.ciqfunctions.udf.CIQ(mh_ticker, "IQ_SHARESOUTSTANDING_OUT", B1014), "")</f>
        <v/>
      </c>
      <c r="E1014" s="11">
        <f>IFERROR(_xll.ciqfunctions.udf.CIQ(mh_ticker, "IQ_CASH_EQUIV", , B1014), "")</f>
        <v/>
      </c>
      <c r="F1014" s="11">
        <f>IFERROR(_xll.ciqfunctions.udf.CIQ(mh_ticker, "IQ_ST_INVEST", , B1014), "")</f>
        <v/>
      </c>
      <c r="G1014" s="11">
        <f>IFERROR(_xll.ciqfunctions.udf.CIQ(mh_ticker, "IQ_TOTAL_DEBT_EXCL_OPER_LEASES", , B1014), "")</f>
        <v/>
      </c>
      <c r="H1014" s="11">
        <f>IFERROR(_xll.ciqfunctions.udf.CIQ(mh_ticker, "IQ_PREF_EQUITY", , B1014), "")</f>
        <v/>
      </c>
      <c r="I1014" s="11">
        <f>IFERROR(_xll.ciqfunctions.udf.CIQ(mh_ticker, "IQ_MINORITY_INTEREST", , B1014), "")</f>
        <v/>
      </c>
      <c r="J1014" s="11">
        <f>IFERROR(_xll.ciqfunctions.udf.CIQ(mh_ticker, "IQ_EQUITY_METHOD", , B1014), "")</f>
        <v/>
      </c>
      <c r="K1014" s="11">
        <f>IFERROR(_xll.ciqfunctions.udf.CIQ(mh_ticker, "IQ_LT_Mark_Securities", , B1014), "")</f>
        <v/>
      </c>
      <c r="L1014" s="12">
        <f>IFERROR(C1014*D1014, "")</f>
        <v/>
      </c>
      <c r="M1014" s="12">
        <f>IFERROR(L1014-E1014-F1014+G1014+H1014+I1014-J1014-K1014, "")</f>
        <v/>
      </c>
      <c r="N1014" s="11">
        <f>IFERROR(_xll.ciqfunctions.udf.CIQ(mh_ticker, "IQ_EBITDA_EST", IQ_NTM, B1014, , , "USD"), "")</f>
        <v/>
      </c>
      <c r="O1014" s="13">
        <f>IFERROR(M1014/N1014, "")</f>
        <v/>
      </c>
    </row>
    <row r="1015">
      <c r="B1015" s="8" t="n"/>
      <c r="C1015" s="9">
        <f>IFERROR(_xll.ciqfunctions.udf.CIQ(mh_ticker, "IQ_LASTSALEPRICE", B1015), "")</f>
        <v/>
      </c>
      <c r="D1015" s="10">
        <f>IFERROR(_xll.ciqfunctions.udf.CIQ(mh_ticker, "IQ_SHARESOUTSTANDING_OUT", B1015), "")</f>
        <v/>
      </c>
      <c r="E1015" s="11">
        <f>IFERROR(_xll.ciqfunctions.udf.CIQ(mh_ticker, "IQ_CASH_EQUIV", , B1015), "")</f>
        <v/>
      </c>
      <c r="F1015" s="11">
        <f>IFERROR(_xll.ciqfunctions.udf.CIQ(mh_ticker, "IQ_ST_INVEST", , B1015), "")</f>
        <v/>
      </c>
      <c r="G1015" s="11">
        <f>IFERROR(_xll.ciqfunctions.udf.CIQ(mh_ticker, "IQ_TOTAL_DEBT_EXCL_OPER_LEASES", , B1015), "")</f>
        <v/>
      </c>
      <c r="H1015" s="11">
        <f>IFERROR(_xll.ciqfunctions.udf.CIQ(mh_ticker, "IQ_PREF_EQUITY", , B1015), "")</f>
        <v/>
      </c>
      <c r="I1015" s="11">
        <f>IFERROR(_xll.ciqfunctions.udf.CIQ(mh_ticker, "IQ_MINORITY_INTEREST", , B1015), "")</f>
        <v/>
      </c>
      <c r="J1015" s="11">
        <f>IFERROR(_xll.ciqfunctions.udf.CIQ(mh_ticker, "IQ_EQUITY_METHOD", , B1015), "")</f>
        <v/>
      </c>
      <c r="K1015" s="11">
        <f>IFERROR(_xll.ciqfunctions.udf.CIQ(mh_ticker, "IQ_LT_Mark_Securities", , B1015), "")</f>
        <v/>
      </c>
      <c r="L1015" s="12">
        <f>IFERROR(C1015*D1015, "")</f>
        <v/>
      </c>
      <c r="M1015" s="12">
        <f>IFERROR(L1015-E1015-F1015+G1015+H1015+I1015-J1015-K1015, "")</f>
        <v/>
      </c>
      <c r="N1015" s="11">
        <f>IFERROR(_xll.ciqfunctions.udf.CIQ(mh_ticker, "IQ_EBITDA_EST", IQ_NTM, B1015, , , "USD"), "")</f>
        <v/>
      </c>
      <c r="O1015" s="13">
        <f>IFERROR(M1015/N1015, "")</f>
        <v/>
      </c>
    </row>
    <row r="1016">
      <c r="B1016" s="8" t="n"/>
      <c r="C1016" s="9">
        <f>IFERROR(_xll.ciqfunctions.udf.CIQ(mh_ticker, "IQ_LASTSALEPRICE", B1016), "")</f>
        <v/>
      </c>
      <c r="D1016" s="10">
        <f>IFERROR(_xll.ciqfunctions.udf.CIQ(mh_ticker, "IQ_SHARESOUTSTANDING_OUT", B1016), "")</f>
        <v/>
      </c>
      <c r="E1016" s="11">
        <f>IFERROR(_xll.ciqfunctions.udf.CIQ(mh_ticker, "IQ_CASH_EQUIV", , B1016), "")</f>
        <v/>
      </c>
      <c r="F1016" s="11">
        <f>IFERROR(_xll.ciqfunctions.udf.CIQ(mh_ticker, "IQ_ST_INVEST", , B1016), "")</f>
        <v/>
      </c>
      <c r="G1016" s="11">
        <f>IFERROR(_xll.ciqfunctions.udf.CIQ(mh_ticker, "IQ_TOTAL_DEBT_EXCL_OPER_LEASES", , B1016), "")</f>
        <v/>
      </c>
      <c r="H1016" s="11">
        <f>IFERROR(_xll.ciqfunctions.udf.CIQ(mh_ticker, "IQ_PREF_EQUITY", , B1016), "")</f>
        <v/>
      </c>
      <c r="I1016" s="11">
        <f>IFERROR(_xll.ciqfunctions.udf.CIQ(mh_ticker, "IQ_MINORITY_INTEREST", , B1016), "")</f>
        <v/>
      </c>
      <c r="J1016" s="11">
        <f>IFERROR(_xll.ciqfunctions.udf.CIQ(mh_ticker, "IQ_EQUITY_METHOD", , B1016), "")</f>
        <v/>
      </c>
      <c r="K1016" s="11">
        <f>IFERROR(_xll.ciqfunctions.udf.CIQ(mh_ticker, "IQ_LT_Mark_Securities", , B1016), "")</f>
        <v/>
      </c>
      <c r="L1016" s="12">
        <f>IFERROR(C1016*D1016, "")</f>
        <v/>
      </c>
      <c r="M1016" s="12">
        <f>IFERROR(L1016-E1016-F1016+G1016+H1016+I1016-J1016-K1016, "")</f>
        <v/>
      </c>
      <c r="N1016" s="11">
        <f>IFERROR(_xll.ciqfunctions.udf.CIQ(mh_ticker, "IQ_EBITDA_EST", IQ_NTM, B1016, , , "USD"), "")</f>
        <v/>
      </c>
      <c r="O1016" s="13">
        <f>IFERROR(M1016/N1016, "")</f>
        <v/>
      </c>
    </row>
    <row r="1017">
      <c r="B1017" s="8" t="n"/>
      <c r="C1017" s="9">
        <f>IFERROR(_xll.ciqfunctions.udf.CIQ(mh_ticker, "IQ_LASTSALEPRICE", B1017), "")</f>
        <v/>
      </c>
      <c r="D1017" s="10">
        <f>IFERROR(_xll.ciqfunctions.udf.CIQ(mh_ticker, "IQ_SHARESOUTSTANDING_OUT", B1017), "")</f>
        <v/>
      </c>
      <c r="E1017" s="11">
        <f>IFERROR(_xll.ciqfunctions.udf.CIQ(mh_ticker, "IQ_CASH_EQUIV", , B1017), "")</f>
        <v/>
      </c>
      <c r="F1017" s="11">
        <f>IFERROR(_xll.ciqfunctions.udf.CIQ(mh_ticker, "IQ_ST_INVEST", , B1017), "")</f>
        <v/>
      </c>
      <c r="G1017" s="11">
        <f>IFERROR(_xll.ciqfunctions.udf.CIQ(mh_ticker, "IQ_TOTAL_DEBT_EXCL_OPER_LEASES", , B1017), "")</f>
        <v/>
      </c>
      <c r="H1017" s="11">
        <f>IFERROR(_xll.ciqfunctions.udf.CIQ(mh_ticker, "IQ_PREF_EQUITY", , B1017), "")</f>
        <v/>
      </c>
      <c r="I1017" s="11">
        <f>IFERROR(_xll.ciqfunctions.udf.CIQ(mh_ticker, "IQ_MINORITY_INTEREST", , B1017), "")</f>
        <v/>
      </c>
      <c r="J1017" s="11">
        <f>IFERROR(_xll.ciqfunctions.udf.CIQ(mh_ticker, "IQ_EQUITY_METHOD", , B1017), "")</f>
        <v/>
      </c>
      <c r="K1017" s="11">
        <f>IFERROR(_xll.ciqfunctions.udf.CIQ(mh_ticker, "IQ_LT_Mark_Securities", , B1017), "")</f>
        <v/>
      </c>
      <c r="L1017" s="12">
        <f>IFERROR(C1017*D1017, "")</f>
        <v/>
      </c>
      <c r="M1017" s="12">
        <f>IFERROR(L1017-E1017-F1017+G1017+H1017+I1017-J1017-K1017, "")</f>
        <v/>
      </c>
      <c r="N1017" s="11">
        <f>IFERROR(_xll.ciqfunctions.udf.CIQ(mh_ticker, "IQ_EBITDA_EST", IQ_NTM, B1017, , , "USD"), "")</f>
        <v/>
      </c>
      <c r="O1017" s="13">
        <f>IFERROR(M1017/N1017, "")</f>
        <v/>
      </c>
    </row>
    <row r="1018">
      <c r="B1018" s="8" t="n"/>
      <c r="C1018" s="9">
        <f>IFERROR(_xll.ciqfunctions.udf.CIQ(mh_ticker, "IQ_LASTSALEPRICE", B1018), "")</f>
        <v/>
      </c>
      <c r="D1018" s="10">
        <f>IFERROR(_xll.ciqfunctions.udf.CIQ(mh_ticker, "IQ_SHARESOUTSTANDING_OUT", B1018), "")</f>
        <v/>
      </c>
      <c r="E1018" s="11">
        <f>IFERROR(_xll.ciqfunctions.udf.CIQ(mh_ticker, "IQ_CASH_EQUIV", , B1018), "")</f>
        <v/>
      </c>
      <c r="F1018" s="11">
        <f>IFERROR(_xll.ciqfunctions.udf.CIQ(mh_ticker, "IQ_ST_INVEST", , B1018), "")</f>
        <v/>
      </c>
      <c r="G1018" s="11">
        <f>IFERROR(_xll.ciqfunctions.udf.CIQ(mh_ticker, "IQ_TOTAL_DEBT_EXCL_OPER_LEASES", , B1018), "")</f>
        <v/>
      </c>
      <c r="H1018" s="11">
        <f>IFERROR(_xll.ciqfunctions.udf.CIQ(mh_ticker, "IQ_PREF_EQUITY", , B1018), "")</f>
        <v/>
      </c>
      <c r="I1018" s="11">
        <f>IFERROR(_xll.ciqfunctions.udf.CIQ(mh_ticker, "IQ_MINORITY_INTEREST", , B1018), "")</f>
        <v/>
      </c>
      <c r="J1018" s="11">
        <f>IFERROR(_xll.ciqfunctions.udf.CIQ(mh_ticker, "IQ_EQUITY_METHOD", , B1018), "")</f>
        <v/>
      </c>
      <c r="K1018" s="11">
        <f>IFERROR(_xll.ciqfunctions.udf.CIQ(mh_ticker, "IQ_LT_Mark_Securities", , B1018), "")</f>
        <v/>
      </c>
      <c r="L1018" s="12">
        <f>IFERROR(C1018*D1018, "")</f>
        <v/>
      </c>
      <c r="M1018" s="12">
        <f>IFERROR(L1018-E1018-F1018+G1018+H1018+I1018-J1018-K1018, "")</f>
        <v/>
      </c>
      <c r="N1018" s="11">
        <f>IFERROR(_xll.ciqfunctions.udf.CIQ(mh_ticker, "IQ_EBITDA_EST", IQ_NTM, B1018, , , "USD"), "")</f>
        <v/>
      </c>
      <c r="O1018" s="13">
        <f>IFERROR(M1018/N1018, "")</f>
        <v/>
      </c>
    </row>
    <row r="1019">
      <c r="B1019" s="8" t="n"/>
      <c r="C1019" s="9">
        <f>IFERROR(_xll.ciqfunctions.udf.CIQ(mh_ticker, "IQ_LASTSALEPRICE", B1019), "")</f>
        <v/>
      </c>
      <c r="D1019" s="10">
        <f>IFERROR(_xll.ciqfunctions.udf.CIQ(mh_ticker, "IQ_SHARESOUTSTANDING_OUT", B1019), "")</f>
        <v/>
      </c>
      <c r="E1019" s="11">
        <f>IFERROR(_xll.ciqfunctions.udf.CIQ(mh_ticker, "IQ_CASH_EQUIV", , B1019), "")</f>
        <v/>
      </c>
      <c r="F1019" s="11">
        <f>IFERROR(_xll.ciqfunctions.udf.CIQ(mh_ticker, "IQ_ST_INVEST", , B1019), "")</f>
        <v/>
      </c>
      <c r="G1019" s="11">
        <f>IFERROR(_xll.ciqfunctions.udf.CIQ(mh_ticker, "IQ_TOTAL_DEBT_EXCL_OPER_LEASES", , B1019), "")</f>
        <v/>
      </c>
      <c r="H1019" s="11">
        <f>IFERROR(_xll.ciqfunctions.udf.CIQ(mh_ticker, "IQ_PREF_EQUITY", , B1019), "")</f>
        <v/>
      </c>
      <c r="I1019" s="11">
        <f>IFERROR(_xll.ciqfunctions.udf.CIQ(mh_ticker, "IQ_MINORITY_INTEREST", , B1019), "")</f>
        <v/>
      </c>
      <c r="J1019" s="11">
        <f>IFERROR(_xll.ciqfunctions.udf.CIQ(mh_ticker, "IQ_EQUITY_METHOD", , B1019), "")</f>
        <v/>
      </c>
      <c r="K1019" s="11">
        <f>IFERROR(_xll.ciqfunctions.udf.CIQ(mh_ticker, "IQ_LT_Mark_Securities", , B1019), "")</f>
        <v/>
      </c>
      <c r="L1019" s="12">
        <f>IFERROR(C1019*D1019, "")</f>
        <v/>
      </c>
      <c r="M1019" s="12">
        <f>IFERROR(L1019-E1019-F1019+G1019+H1019+I1019-J1019-K1019, "")</f>
        <v/>
      </c>
      <c r="N1019" s="11">
        <f>IFERROR(_xll.ciqfunctions.udf.CIQ(mh_ticker, "IQ_EBITDA_EST", IQ_NTM, B1019, , , "USD"), "")</f>
        <v/>
      </c>
      <c r="O1019" s="13">
        <f>IFERROR(M1019/N1019, "")</f>
        <v/>
      </c>
    </row>
    <row r="1020">
      <c r="B1020" s="8" t="n"/>
      <c r="C1020" s="9">
        <f>IFERROR(_xll.ciqfunctions.udf.CIQ(mh_ticker, "IQ_LASTSALEPRICE", B1020), "")</f>
        <v/>
      </c>
      <c r="D1020" s="10">
        <f>IFERROR(_xll.ciqfunctions.udf.CIQ(mh_ticker, "IQ_SHARESOUTSTANDING_OUT", B1020), "")</f>
        <v/>
      </c>
      <c r="E1020" s="11">
        <f>IFERROR(_xll.ciqfunctions.udf.CIQ(mh_ticker, "IQ_CASH_EQUIV", , B1020), "")</f>
        <v/>
      </c>
      <c r="F1020" s="11">
        <f>IFERROR(_xll.ciqfunctions.udf.CIQ(mh_ticker, "IQ_ST_INVEST", , B1020), "")</f>
        <v/>
      </c>
      <c r="G1020" s="11">
        <f>IFERROR(_xll.ciqfunctions.udf.CIQ(mh_ticker, "IQ_TOTAL_DEBT_EXCL_OPER_LEASES", , B1020), "")</f>
        <v/>
      </c>
      <c r="H1020" s="11">
        <f>IFERROR(_xll.ciqfunctions.udf.CIQ(mh_ticker, "IQ_PREF_EQUITY", , B1020), "")</f>
        <v/>
      </c>
      <c r="I1020" s="11">
        <f>IFERROR(_xll.ciqfunctions.udf.CIQ(mh_ticker, "IQ_MINORITY_INTEREST", , B1020), "")</f>
        <v/>
      </c>
      <c r="J1020" s="11">
        <f>IFERROR(_xll.ciqfunctions.udf.CIQ(mh_ticker, "IQ_EQUITY_METHOD", , B1020), "")</f>
        <v/>
      </c>
      <c r="K1020" s="11">
        <f>IFERROR(_xll.ciqfunctions.udf.CIQ(mh_ticker, "IQ_LT_Mark_Securities", , B1020), "")</f>
        <v/>
      </c>
      <c r="L1020" s="12">
        <f>IFERROR(C1020*D1020, "")</f>
        <v/>
      </c>
      <c r="M1020" s="12">
        <f>IFERROR(L1020-E1020-F1020+G1020+H1020+I1020-J1020-K1020, "")</f>
        <v/>
      </c>
      <c r="N1020" s="11">
        <f>IFERROR(_xll.ciqfunctions.udf.CIQ(mh_ticker, "IQ_EBITDA_EST", IQ_NTM, B1020, , , "USD"), "")</f>
        <v/>
      </c>
      <c r="O1020" s="13">
        <f>IFERROR(M1020/N1020, "")</f>
        <v/>
      </c>
    </row>
    <row r="1021">
      <c r="B1021" s="8" t="n"/>
      <c r="C1021" s="9">
        <f>IFERROR(_xll.ciqfunctions.udf.CIQ(mh_ticker, "IQ_LASTSALEPRICE", B1021), "")</f>
        <v/>
      </c>
      <c r="D1021" s="10">
        <f>IFERROR(_xll.ciqfunctions.udf.CIQ(mh_ticker, "IQ_SHARESOUTSTANDING_OUT", B1021), "")</f>
        <v/>
      </c>
      <c r="E1021" s="11">
        <f>IFERROR(_xll.ciqfunctions.udf.CIQ(mh_ticker, "IQ_CASH_EQUIV", , B1021), "")</f>
        <v/>
      </c>
      <c r="F1021" s="11">
        <f>IFERROR(_xll.ciqfunctions.udf.CIQ(mh_ticker, "IQ_ST_INVEST", , B1021), "")</f>
        <v/>
      </c>
      <c r="G1021" s="11">
        <f>IFERROR(_xll.ciqfunctions.udf.CIQ(mh_ticker, "IQ_TOTAL_DEBT_EXCL_OPER_LEASES", , B1021), "")</f>
        <v/>
      </c>
      <c r="H1021" s="11">
        <f>IFERROR(_xll.ciqfunctions.udf.CIQ(mh_ticker, "IQ_PREF_EQUITY", , B1021), "")</f>
        <v/>
      </c>
      <c r="I1021" s="11">
        <f>IFERROR(_xll.ciqfunctions.udf.CIQ(mh_ticker, "IQ_MINORITY_INTEREST", , B1021), "")</f>
        <v/>
      </c>
      <c r="J1021" s="11">
        <f>IFERROR(_xll.ciqfunctions.udf.CIQ(mh_ticker, "IQ_EQUITY_METHOD", , B1021), "")</f>
        <v/>
      </c>
      <c r="K1021" s="11">
        <f>IFERROR(_xll.ciqfunctions.udf.CIQ(mh_ticker, "IQ_LT_Mark_Securities", , B1021), "")</f>
        <v/>
      </c>
      <c r="L1021" s="12">
        <f>IFERROR(C1021*D1021, "")</f>
        <v/>
      </c>
      <c r="M1021" s="12">
        <f>IFERROR(L1021-E1021-F1021+G1021+H1021+I1021-J1021-K1021, "")</f>
        <v/>
      </c>
      <c r="N1021" s="11">
        <f>IFERROR(_xll.ciqfunctions.udf.CIQ(mh_ticker, "IQ_EBITDA_EST", IQ_NTM, B1021, , , "USD"), "")</f>
        <v/>
      </c>
      <c r="O1021" s="13">
        <f>IFERROR(M1021/N1021, "")</f>
        <v/>
      </c>
    </row>
    <row r="1022">
      <c r="B1022" s="8" t="n"/>
      <c r="C1022" s="9">
        <f>IFERROR(_xll.ciqfunctions.udf.CIQ(mh_ticker, "IQ_LASTSALEPRICE", B1022), "")</f>
        <v/>
      </c>
      <c r="D1022" s="10">
        <f>IFERROR(_xll.ciqfunctions.udf.CIQ(mh_ticker, "IQ_SHARESOUTSTANDING_OUT", B1022), "")</f>
        <v/>
      </c>
      <c r="E1022" s="11">
        <f>IFERROR(_xll.ciqfunctions.udf.CIQ(mh_ticker, "IQ_CASH_EQUIV", , B1022), "")</f>
        <v/>
      </c>
      <c r="F1022" s="11">
        <f>IFERROR(_xll.ciqfunctions.udf.CIQ(mh_ticker, "IQ_ST_INVEST", , B1022), "")</f>
        <v/>
      </c>
      <c r="G1022" s="11">
        <f>IFERROR(_xll.ciqfunctions.udf.CIQ(mh_ticker, "IQ_TOTAL_DEBT_EXCL_OPER_LEASES", , B1022), "")</f>
        <v/>
      </c>
      <c r="H1022" s="11">
        <f>IFERROR(_xll.ciqfunctions.udf.CIQ(mh_ticker, "IQ_PREF_EQUITY", , B1022), "")</f>
        <v/>
      </c>
      <c r="I1022" s="11">
        <f>IFERROR(_xll.ciqfunctions.udf.CIQ(mh_ticker, "IQ_MINORITY_INTEREST", , B1022), "")</f>
        <v/>
      </c>
      <c r="J1022" s="11">
        <f>IFERROR(_xll.ciqfunctions.udf.CIQ(mh_ticker, "IQ_EQUITY_METHOD", , B1022), "")</f>
        <v/>
      </c>
      <c r="K1022" s="11">
        <f>IFERROR(_xll.ciqfunctions.udf.CIQ(mh_ticker, "IQ_LT_Mark_Securities", , B1022), "")</f>
        <v/>
      </c>
      <c r="L1022" s="12">
        <f>IFERROR(C1022*D1022, "")</f>
        <v/>
      </c>
      <c r="M1022" s="12">
        <f>IFERROR(L1022-E1022-F1022+G1022+H1022+I1022-J1022-K1022, "")</f>
        <v/>
      </c>
      <c r="N1022" s="11">
        <f>IFERROR(_xll.ciqfunctions.udf.CIQ(mh_ticker, "IQ_EBITDA_EST", IQ_NTM, B1022, , , "USD"), "")</f>
        <v/>
      </c>
      <c r="O1022" s="13">
        <f>IFERROR(M1022/N1022, "")</f>
        <v/>
      </c>
    </row>
    <row r="1023">
      <c r="B1023" s="8" t="n"/>
      <c r="C1023" s="9">
        <f>IFERROR(_xll.ciqfunctions.udf.CIQ(mh_ticker, "IQ_LASTSALEPRICE", B1023), "")</f>
        <v/>
      </c>
      <c r="D1023" s="10">
        <f>IFERROR(_xll.ciqfunctions.udf.CIQ(mh_ticker, "IQ_SHARESOUTSTANDING_OUT", B1023), "")</f>
        <v/>
      </c>
      <c r="E1023" s="11">
        <f>IFERROR(_xll.ciqfunctions.udf.CIQ(mh_ticker, "IQ_CASH_EQUIV", , B1023), "")</f>
        <v/>
      </c>
      <c r="F1023" s="11">
        <f>IFERROR(_xll.ciqfunctions.udf.CIQ(mh_ticker, "IQ_ST_INVEST", , B1023), "")</f>
        <v/>
      </c>
      <c r="G1023" s="11">
        <f>IFERROR(_xll.ciqfunctions.udf.CIQ(mh_ticker, "IQ_TOTAL_DEBT_EXCL_OPER_LEASES", , B1023), "")</f>
        <v/>
      </c>
      <c r="H1023" s="11">
        <f>IFERROR(_xll.ciqfunctions.udf.CIQ(mh_ticker, "IQ_PREF_EQUITY", , B1023), "")</f>
        <v/>
      </c>
      <c r="I1023" s="11">
        <f>IFERROR(_xll.ciqfunctions.udf.CIQ(mh_ticker, "IQ_MINORITY_INTEREST", , B1023), "")</f>
        <v/>
      </c>
      <c r="J1023" s="11">
        <f>IFERROR(_xll.ciqfunctions.udf.CIQ(mh_ticker, "IQ_EQUITY_METHOD", , B1023), "")</f>
        <v/>
      </c>
      <c r="K1023" s="11">
        <f>IFERROR(_xll.ciqfunctions.udf.CIQ(mh_ticker, "IQ_LT_Mark_Securities", , B1023), "")</f>
        <v/>
      </c>
      <c r="L1023" s="12">
        <f>IFERROR(C1023*D1023, "")</f>
        <v/>
      </c>
      <c r="M1023" s="12">
        <f>IFERROR(L1023-E1023-F1023+G1023+H1023+I1023-J1023-K1023, "")</f>
        <v/>
      </c>
      <c r="N1023" s="11">
        <f>IFERROR(_xll.ciqfunctions.udf.CIQ(mh_ticker, "IQ_EBITDA_EST", IQ_NTM, B1023, , , "USD"), "")</f>
        <v/>
      </c>
      <c r="O1023" s="13">
        <f>IFERROR(M1023/N1023, "")</f>
        <v/>
      </c>
    </row>
    <row r="1024">
      <c r="B1024" s="8" t="n"/>
      <c r="C1024" s="9">
        <f>IFERROR(_xll.ciqfunctions.udf.CIQ(mh_ticker, "IQ_LASTSALEPRICE", B1024), "")</f>
        <v/>
      </c>
      <c r="D1024" s="10">
        <f>IFERROR(_xll.ciqfunctions.udf.CIQ(mh_ticker, "IQ_SHARESOUTSTANDING_OUT", B1024), "")</f>
        <v/>
      </c>
      <c r="E1024" s="11">
        <f>IFERROR(_xll.ciqfunctions.udf.CIQ(mh_ticker, "IQ_CASH_EQUIV", , B1024), "")</f>
        <v/>
      </c>
      <c r="F1024" s="11">
        <f>IFERROR(_xll.ciqfunctions.udf.CIQ(mh_ticker, "IQ_ST_INVEST", , B1024), "")</f>
        <v/>
      </c>
      <c r="G1024" s="11">
        <f>IFERROR(_xll.ciqfunctions.udf.CIQ(mh_ticker, "IQ_TOTAL_DEBT_EXCL_OPER_LEASES", , B1024), "")</f>
        <v/>
      </c>
      <c r="H1024" s="11">
        <f>IFERROR(_xll.ciqfunctions.udf.CIQ(mh_ticker, "IQ_PREF_EQUITY", , B1024), "")</f>
        <v/>
      </c>
      <c r="I1024" s="11">
        <f>IFERROR(_xll.ciqfunctions.udf.CIQ(mh_ticker, "IQ_MINORITY_INTEREST", , B1024), "")</f>
        <v/>
      </c>
      <c r="J1024" s="11">
        <f>IFERROR(_xll.ciqfunctions.udf.CIQ(mh_ticker, "IQ_EQUITY_METHOD", , B1024), "")</f>
        <v/>
      </c>
      <c r="K1024" s="11">
        <f>IFERROR(_xll.ciqfunctions.udf.CIQ(mh_ticker, "IQ_LT_Mark_Securities", , B1024), "")</f>
        <v/>
      </c>
      <c r="L1024" s="12">
        <f>IFERROR(C1024*D1024, "")</f>
        <v/>
      </c>
      <c r="M1024" s="12">
        <f>IFERROR(L1024-E1024-F1024+G1024+H1024+I1024-J1024-K1024, "")</f>
        <v/>
      </c>
      <c r="N1024" s="11">
        <f>IFERROR(_xll.ciqfunctions.udf.CIQ(mh_ticker, "IQ_EBITDA_EST", IQ_NTM, B1024, , , "USD"), "")</f>
        <v/>
      </c>
      <c r="O1024" s="13">
        <f>IFERROR(M1024/N1024, "")</f>
        <v/>
      </c>
    </row>
    <row r="1025">
      <c r="B1025" s="8" t="n"/>
      <c r="C1025" s="9">
        <f>IFERROR(_xll.ciqfunctions.udf.CIQ(mh_ticker, "IQ_LASTSALEPRICE", B1025), "")</f>
        <v/>
      </c>
      <c r="D1025" s="10">
        <f>IFERROR(_xll.ciqfunctions.udf.CIQ(mh_ticker, "IQ_SHARESOUTSTANDING_OUT", B1025), "")</f>
        <v/>
      </c>
      <c r="E1025" s="11">
        <f>IFERROR(_xll.ciqfunctions.udf.CIQ(mh_ticker, "IQ_CASH_EQUIV", , B1025), "")</f>
        <v/>
      </c>
      <c r="F1025" s="11">
        <f>IFERROR(_xll.ciqfunctions.udf.CIQ(mh_ticker, "IQ_ST_INVEST", , B1025), "")</f>
        <v/>
      </c>
      <c r="G1025" s="11">
        <f>IFERROR(_xll.ciqfunctions.udf.CIQ(mh_ticker, "IQ_TOTAL_DEBT_EXCL_OPER_LEASES", , B1025), "")</f>
        <v/>
      </c>
      <c r="H1025" s="11">
        <f>IFERROR(_xll.ciqfunctions.udf.CIQ(mh_ticker, "IQ_PREF_EQUITY", , B1025), "")</f>
        <v/>
      </c>
      <c r="I1025" s="11">
        <f>IFERROR(_xll.ciqfunctions.udf.CIQ(mh_ticker, "IQ_MINORITY_INTEREST", , B1025), "")</f>
        <v/>
      </c>
      <c r="J1025" s="11">
        <f>IFERROR(_xll.ciqfunctions.udf.CIQ(mh_ticker, "IQ_EQUITY_METHOD", , B1025), "")</f>
        <v/>
      </c>
      <c r="K1025" s="11">
        <f>IFERROR(_xll.ciqfunctions.udf.CIQ(mh_ticker, "IQ_LT_Mark_Securities", , B1025), "")</f>
        <v/>
      </c>
      <c r="L1025" s="12">
        <f>IFERROR(C1025*D1025, "")</f>
        <v/>
      </c>
      <c r="M1025" s="12">
        <f>IFERROR(L1025-E1025-F1025+G1025+H1025+I1025-J1025-K1025, "")</f>
        <v/>
      </c>
      <c r="N1025" s="11">
        <f>IFERROR(_xll.ciqfunctions.udf.CIQ(mh_ticker, "IQ_EBITDA_EST", IQ_NTM, B1025, , , "USD"), "")</f>
        <v/>
      </c>
      <c r="O1025" s="13">
        <f>IFERROR(M1025/N1025, "")</f>
        <v/>
      </c>
    </row>
    <row r="1026">
      <c r="B1026" s="8" t="n"/>
      <c r="C1026" s="9">
        <f>IFERROR(_xll.ciqfunctions.udf.CIQ(mh_ticker, "IQ_LASTSALEPRICE", B1026), "")</f>
        <v/>
      </c>
      <c r="D1026" s="10">
        <f>IFERROR(_xll.ciqfunctions.udf.CIQ(mh_ticker, "IQ_SHARESOUTSTANDING_OUT", B1026), "")</f>
        <v/>
      </c>
      <c r="E1026" s="11">
        <f>IFERROR(_xll.ciqfunctions.udf.CIQ(mh_ticker, "IQ_CASH_EQUIV", , B1026), "")</f>
        <v/>
      </c>
      <c r="F1026" s="11">
        <f>IFERROR(_xll.ciqfunctions.udf.CIQ(mh_ticker, "IQ_ST_INVEST", , B1026), "")</f>
        <v/>
      </c>
      <c r="G1026" s="11">
        <f>IFERROR(_xll.ciqfunctions.udf.CIQ(mh_ticker, "IQ_TOTAL_DEBT_EXCL_OPER_LEASES", , B1026), "")</f>
        <v/>
      </c>
      <c r="H1026" s="11">
        <f>IFERROR(_xll.ciqfunctions.udf.CIQ(mh_ticker, "IQ_PREF_EQUITY", , B1026), "")</f>
        <v/>
      </c>
      <c r="I1026" s="11">
        <f>IFERROR(_xll.ciqfunctions.udf.CIQ(mh_ticker, "IQ_MINORITY_INTEREST", , B1026), "")</f>
        <v/>
      </c>
      <c r="J1026" s="11">
        <f>IFERROR(_xll.ciqfunctions.udf.CIQ(mh_ticker, "IQ_EQUITY_METHOD", , B1026), "")</f>
        <v/>
      </c>
      <c r="K1026" s="11">
        <f>IFERROR(_xll.ciqfunctions.udf.CIQ(mh_ticker, "IQ_LT_Mark_Securities", , B1026), "")</f>
        <v/>
      </c>
      <c r="L1026" s="12">
        <f>IFERROR(C1026*D1026, "")</f>
        <v/>
      </c>
      <c r="M1026" s="12">
        <f>IFERROR(L1026-E1026-F1026+G1026+H1026+I1026-J1026-K1026, "")</f>
        <v/>
      </c>
      <c r="N1026" s="11">
        <f>IFERROR(_xll.ciqfunctions.udf.CIQ(mh_ticker, "IQ_EBITDA_EST", IQ_NTM, B1026, , , "USD"), "")</f>
        <v/>
      </c>
      <c r="O1026" s="13">
        <f>IFERROR(M1026/N1026, "")</f>
        <v/>
      </c>
    </row>
    <row r="1027">
      <c r="B1027" s="8" t="n"/>
      <c r="C1027" s="9">
        <f>IFERROR(_xll.ciqfunctions.udf.CIQ(mh_ticker, "IQ_LASTSALEPRICE", B1027), "")</f>
        <v/>
      </c>
      <c r="D1027" s="10">
        <f>IFERROR(_xll.ciqfunctions.udf.CIQ(mh_ticker, "IQ_SHARESOUTSTANDING_OUT", B1027), "")</f>
        <v/>
      </c>
      <c r="E1027" s="11">
        <f>IFERROR(_xll.ciqfunctions.udf.CIQ(mh_ticker, "IQ_CASH_EQUIV", , B1027), "")</f>
        <v/>
      </c>
      <c r="F1027" s="11">
        <f>IFERROR(_xll.ciqfunctions.udf.CIQ(mh_ticker, "IQ_ST_INVEST", , B1027), "")</f>
        <v/>
      </c>
      <c r="G1027" s="11">
        <f>IFERROR(_xll.ciqfunctions.udf.CIQ(mh_ticker, "IQ_TOTAL_DEBT_EXCL_OPER_LEASES", , B1027), "")</f>
        <v/>
      </c>
      <c r="H1027" s="11">
        <f>IFERROR(_xll.ciqfunctions.udf.CIQ(mh_ticker, "IQ_PREF_EQUITY", , B1027), "")</f>
        <v/>
      </c>
      <c r="I1027" s="11">
        <f>IFERROR(_xll.ciqfunctions.udf.CIQ(mh_ticker, "IQ_MINORITY_INTEREST", , B1027), "")</f>
        <v/>
      </c>
      <c r="J1027" s="11">
        <f>IFERROR(_xll.ciqfunctions.udf.CIQ(mh_ticker, "IQ_EQUITY_METHOD", , B1027), "")</f>
        <v/>
      </c>
      <c r="K1027" s="11">
        <f>IFERROR(_xll.ciqfunctions.udf.CIQ(mh_ticker, "IQ_LT_Mark_Securities", , B1027), "")</f>
        <v/>
      </c>
      <c r="L1027" s="12">
        <f>IFERROR(C1027*D1027, "")</f>
        <v/>
      </c>
      <c r="M1027" s="12">
        <f>IFERROR(L1027-E1027-F1027+G1027+H1027+I1027-J1027-K1027, "")</f>
        <v/>
      </c>
      <c r="N1027" s="11">
        <f>IFERROR(_xll.ciqfunctions.udf.CIQ(mh_ticker, "IQ_EBITDA_EST", IQ_NTM, B1027, , , "USD"), "")</f>
        <v/>
      </c>
      <c r="O1027" s="13">
        <f>IFERROR(M1027/N1027, "")</f>
        <v/>
      </c>
    </row>
    <row r="1028">
      <c r="B1028" s="8" t="n"/>
      <c r="C1028" s="9">
        <f>IFERROR(_xll.ciqfunctions.udf.CIQ(mh_ticker, "IQ_LASTSALEPRICE", B1028), "")</f>
        <v/>
      </c>
      <c r="D1028" s="10">
        <f>IFERROR(_xll.ciqfunctions.udf.CIQ(mh_ticker, "IQ_SHARESOUTSTANDING_OUT", B1028), "")</f>
        <v/>
      </c>
      <c r="E1028" s="11">
        <f>IFERROR(_xll.ciqfunctions.udf.CIQ(mh_ticker, "IQ_CASH_EQUIV", , B1028), "")</f>
        <v/>
      </c>
      <c r="F1028" s="11">
        <f>IFERROR(_xll.ciqfunctions.udf.CIQ(mh_ticker, "IQ_ST_INVEST", , B1028), "")</f>
        <v/>
      </c>
      <c r="G1028" s="11">
        <f>IFERROR(_xll.ciqfunctions.udf.CIQ(mh_ticker, "IQ_TOTAL_DEBT_EXCL_OPER_LEASES", , B1028), "")</f>
        <v/>
      </c>
      <c r="H1028" s="11">
        <f>IFERROR(_xll.ciqfunctions.udf.CIQ(mh_ticker, "IQ_PREF_EQUITY", , B1028), "")</f>
        <v/>
      </c>
      <c r="I1028" s="11">
        <f>IFERROR(_xll.ciqfunctions.udf.CIQ(mh_ticker, "IQ_MINORITY_INTEREST", , B1028), "")</f>
        <v/>
      </c>
      <c r="J1028" s="11">
        <f>IFERROR(_xll.ciqfunctions.udf.CIQ(mh_ticker, "IQ_EQUITY_METHOD", , B1028), "")</f>
        <v/>
      </c>
      <c r="K1028" s="11">
        <f>IFERROR(_xll.ciqfunctions.udf.CIQ(mh_ticker, "IQ_LT_Mark_Securities", , B1028), "")</f>
        <v/>
      </c>
      <c r="L1028" s="12">
        <f>IFERROR(C1028*D1028, "")</f>
        <v/>
      </c>
      <c r="M1028" s="12">
        <f>IFERROR(L1028-E1028-F1028+G1028+H1028+I1028-J1028-K1028, "")</f>
        <v/>
      </c>
      <c r="N1028" s="11">
        <f>IFERROR(_xll.ciqfunctions.udf.CIQ(mh_ticker, "IQ_EBITDA_EST", IQ_NTM, B1028, , , "USD"), "")</f>
        <v/>
      </c>
      <c r="O1028" s="13">
        <f>IFERROR(M1028/N1028, "")</f>
        <v/>
      </c>
    </row>
    <row r="1029">
      <c r="B1029" s="8" t="n"/>
      <c r="C1029" s="9">
        <f>IFERROR(_xll.ciqfunctions.udf.CIQ(mh_ticker, "IQ_LASTSALEPRICE", B1029), "")</f>
        <v/>
      </c>
      <c r="D1029" s="10">
        <f>IFERROR(_xll.ciqfunctions.udf.CIQ(mh_ticker, "IQ_SHARESOUTSTANDING_OUT", B1029), "")</f>
        <v/>
      </c>
      <c r="E1029" s="11">
        <f>IFERROR(_xll.ciqfunctions.udf.CIQ(mh_ticker, "IQ_CASH_EQUIV", , B1029), "")</f>
        <v/>
      </c>
      <c r="F1029" s="11">
        <f>IFERROR(_xll.ciqfunctions.udf.CIQ(mh_ticker, "IQ_ST_INVEST", , B1029), "")</f>
        <v/>
      </c>
      <c r="G1029" s="11">
        <f>IFERROR(_xll.ciqfunctions.udf.CIQ(mh_ticker, "IQ_TOTAL_DEBT_EXCL_OPER_LEASES", , B1029), "")</f>
        <v/>
      </c>
      <c r="H1029" s="11">
        <f>IFERROR(_xll.ciqfunctions.udf.CIQ(mh_ticker, "IQ_PREF_EQUITY", , B1029), "")</f>
        <v/>
      </c>
      <c r="I1029" s="11">
        <f>IFERROR(_xll.ciqfunctions.udf.CIQ(mh_ticker, "IQ_MINORITY_INTEREST", , B1029), "")</f>
        <v/>
      </c>
      <c r="J1029" s="11">
        <f>IFERROR(_xll.ciqfunctions.udf.CIQ(mh_ticker, "IQ_EQUITY_METHOD", , B1029), "")</f>
        <v/>
      </c>
      <c r="K1029" s="11">
        <f>IFERROR(_xll.ciqfunctions.udf.CIQ(mh_ticker, "IQ_LT_Mark_Securities", , B1029), "")</f>
        <v/>
      </c>
      <c r="L1029" s="12">
        <f>IFERROR(C1029*D1029, "")</f>
        <v/>
      </c>
      <c r="M1029" s="12">
        <f>IFERROR(L1029-E1029-F1029+G1029+H1029+I1029-J1029-K1029, "")</f>
        <v/>
      </c>
      <c r="N1029" s="11">
        <f>IFERROR(_xll.ciqfunctions.udf.CIQ(mh_ticker, "IQ_EBITDA_EST", IQ_NTM, B1029, , , "USD"), "")</f>
        <v/>
      </c>
      <c r="O1029" s="13">
        <f>IFERROR(M1029/N1029, "")</f>
        <v/>
      </c>
    </row>
    <row r="1030">
      <c r="B1030" s="8" t="n"/>
      <c r="C1030" s="9">
        <f>IFERROR(_xll.ciqfunctions.udf.CIQ(mh_ticker, "IQ_LASTSALEPRICE", B1030), "")</f>
        <v/>
      </c>
      <c r="D1030" s="10">
        <f>IFERROR(_xll.ciqfunctions.udf.CIQ(mh_ticker, "IQ_SHARESOUTSTANDING_OUT", B1030), "")</f>
        <v/>
      </c>
      <c r="E1030" s="11">
        <f>IFERROR(_xll.ciqfunctions.udf.CIQ(mh_ticker, "IQ_CASH_EQUIV", , B1030), "")</f>
        <v/>
      </c>
      <c r="F1030" s="11">
        <f>IFERROR(_xll.ciqfunctions.udf.CIQ(mh_ticker, "IQ_ST_INVEST", , B1030), "")</f>
        <v/>
      </c>
      <c r="G1030" s="11">
        <f>IFERROR(_xll.ciqfunctions.udf.CIQ(mh_ticker, "IQ_TOTAL_DEBT_EXCL_OPER_LEASES", , B1030), "")</f>
        <v/>
      </c>
      <c r="H1030" s="11">
        <f>IFERROR(_xll.ciqfunctions.udf.CIQ(mh_ticker, "IQ_PREF_EQUITY", , B1030), "")</f>
        <v/>
      </c>
      <c r="I1030" s="11">
        <f>IFERROR(_xll.ciqfunctions.udf.CIQ(mh_ticker, "IQ_MINORITY_INTEREST", , B1030), "")</f>
        <v/>
      </c>
      <c r="J1030" s="11">
        <f>IFERROR(_xll.ciqfunctions.udf.CIQ(mh_ticker, "IQ_EQUITY_METHOD", , B1030), "")</f>
        <v/>
      </c>
      <c r="K1030" s="11">
        <f>IFERROR(_xll.ciqfunctions.udf.CIQ(mh_ticker, "IQ_LT_Mark_Securities", , B1030), "")</f>
        <v/>
      </c>
      <c r="L1030" s="12">
        <f>IFERROR(C1030*D1030, "")</f>
        <v/>
      </c>
      <c r="M1030" s="12">
        <f>IFERROR(L1030-E1030-F1030+G1030+H1030+I1030-J1030-K1030, "")</f>
        <v/>
      </c>
      <c r="N1030" s="11">
        <f>IFERROR(_xll.ciqfunctions.udf.CIQ(mh_ticker, "IQ_EBITDA_EST", IQ_NTM, B1030, , , "USD"), "")</f>
        <v/>
      </c>
      <c r="O1030" s="13">
        <f>IFERROR(M1030/N1030, "")</f>
        <v/>
      </c>
    </row>
    <row r="1031">
      <c r="B1031" s="8" t="n"/>
      <c r="C1031" s="9">
        <f>IFERROR(_xll.ciqfunctions.udf.CIQ(mh_ticker, "IQ_LASTSALEPRICE", B1031), "")</f>
        <v/>
      </c>
      <c r="D1031" s="10">
        <f>IFERROR(_xll.ciqfunctions.udf.CIQ(mh_ticker, "IQ_SHARESOUTSTANDING_OUT", B1031), "")</f>
        <v/>
      </c>
      <c r="E1031" s="11">
        <f>IFERROR(_xll.ciqfunctions.udf.CIQ(mh_ticker, "IQ_CASH_EQUIV", , B1031), "")</f>
        <v/>
      </c>
      <c r="F1031" s="11">
        <f>IFERROR(_xll.ciqfunctions.udf.CIQ(mh_ticker, "IQ_ST_INVEST", , B1031), "")</f>
        <v/>
      </c>
      <c r="G1031" s="11">
        <f>IFERROR(_xll.ciqfunctions.udf.CIQ(mh_ticker, "IQ_TOTAL_DEBT_EXCL_OPER_LEASES", , B1031), "")</f>
        <v/>
      </c>
      <c r="H1031" s="11">
        <f>IFERROR(_xll.ciqfunctions.udf.CIQ(mh_ticker, "IQ_PREF_EQUITY", , B1031), "")</f>
        <v/>
      </c>
      <c r="I1031" s="11">
        <f>IFERROR(_xll.ciqfunctions.udf.CIQ(mh_ticker, "IQ_MINORITY_INTEREST", , B1031), "")</f>
        <v/>
      </c>
      <c r="J1031" s="11">
        <f>IFERROR(_xll.ciqfunctions.udf.CIQ(mh_ticker, "IQ_EQUITY_METHOD", , B1031), "")</f>
        <v/>
      </c>
      <c r="K1031" s="11">
        <f>IFERROR(_xll.ciqfunctions.udf.CIQ(mh_ticker, "IQ_LT_Mark_Securities", , B1031), "")</f>
        <v/>
      </c>
      <c r="L1031" s="12">
        <f>IFERROR(C1031*D1031, "")</f>
        <v/>
      </c>
      <c r="M1031" s="12">
        <f>IFERROR(L1031-E1031-F1031+G1031+H1031+I1031-J1031-K1031, "")</f>
        <v/>
      </c>
      <c r="N1031" s="11">
        <f>IFERROR(_xll.ciqfunctions.udf.CIQ(mh_ticker, "IQ_EBITDA_EST", IQ_NTM, B1031, , , "USD"), "")</f>
        <v/>
      </c>
      <c r="O1031" s="13">
        <f>IFERROR(M1031/N1031, "")</f>
        <v/>
      </c>
    </row>
    <row r="1032">
      <c r="B1032" s="8" t="n"/>
      <c r="C1032" s="9">
        <f>IFERROR(_xll.ciqfunctions.udf.CIQ(mh_ticker, "IQ_LASTSALEPRICE", B1032), "")</f>
        <v/>
      </c>
      <c r="D1032" s="10">
        <f>IFERROR(_xll.ciqfunctions.udf.CIQ(mh_ticker, "IQ_SHARESOUTSTANDING_OUT", B1032), "")</f>
        <v/>
      </c>
      <c r="E1032" s="11">
        <f>IFERROR(_xll.ciqfunctions.udf.CIQ(mh_ticker, "IQ_CASH_EQUIV", , B1032), "")</f>
        <v/>
      </c>
      <c r="F1032" s="11">
        <f>IFERROR(_xll.ciqfunctions.udf.CIQ(mh_ticker, "IQ_ST_INVEST", , B1032), "")</f>
        <v/>
      </c>
      <c r="G1032" s="11">
        <f>IFERROR(_xll.ciqfunctions.udf.CIQ(mh_ticker, "IQ_TOTAL_DEBT_EXCL_OPER_LEASES", , B1032), "")</f>
        <v/>
      </c>
      <c r="H1032" s="11">
        <f>IFERROR(_xll.ciqfunctions.udf.CIQ(mh_ticker, "IQ_PREF_EQUITY", , B1032), "")</f>
        <v/>
      </c>
      <c r="I1032" s="11">
        <f>IFERROR(_xll.ciqfunctions.udf.CIQ(mh_ticker, "IQ_MINORITY_INTEREST", , B1032), "")</f>
        <v/>
      </c>
      <c r="J1032" s="11">
        <f>IFERROR(_xll.ciqfunctions.udf.CIQ(mh_ticker, "IQ_EQUITY_METHOD", , B1032), "")</f>
        <v/>
      </c>
      <c r="K1032" s="11">
        <f>IFERROR(_xll.ciqfunctions.udf.CIQ(mh_ticker, "IQ_LT_Mark_Securities", , B1032), "")</f>
        <v/>
      </c>
      <c r="L1032" s="12">
        <f>IFERROR(C1032*D1032, "")</f>
        <v/>
      </c>
      <c r="M1032" s="12">
        <f>IFERROR(L1032-E1032-F1032+G1032+H1032+I1032-J1032-K1032, "")</f>
        <v/>
      </c>
      <c r="N1032" s="11">
        <f>IFERROR(_xll.ciqfunctions.udf.CIQ(mh_ticker, "IQ_EBITDA_EST", IQ_NTM, B1032, , , "USD"), "")</f>
        <v/>
      </c>
      <c r="O1032" s="13">
        <f>IFERROR(M1032/N1032, "")</f>
        <v/>
      </c>
    </row>
    <row r="1033">
      <c r="B1033" s="8" t="n"/>
      <c r="C1033" s="9">
        <f>IFERROR(_xll.ciqfunctions.udf.CIQ(mh_ticker, "IQ_LASTSALEPRICE", B1033), "")</f>
        <v/>
      </c>
      <c r="D1033" s="10">
        <f>IFERROR(_xll.ciqfunctions.udf.CIQ(mh_ticker, "IQ_SHARESOUTSTANDING_OUT", B1033), "")</f>
        <v/>
      </c>
      <c r="E1033" s="11">
        <f>IFERROR(_xll.ciqfunctions.udf.CIQ(mh_ticker, "IQ_CASH_EQUIV", , B1033), "")</f>
        <v/>
      </c>
      <c r="F1033" s="11">
        <f>IFERROR(_xll.ciqfunctions.udf.CIQ(mh_ticker, "IQ_ST_INVEST", , B1033), "")</f>
        <v/>
      </c>
      <c r="G1033" s="11">
        <f>IFERROR(_xll.ciqfunctions.udf.CIQ(mh_ticker, "IQ_TOTAL_DEBT_EXCL_OPER_LEASES", , B1033), "")</f>
        <v/>
      </c>
      <c r="H1033" s="11">
        <f>IFERROR(_xll.ciqfunctions.udf.CIQ(mh_ticker, "IQ_PREF_EQUITY", , B1033), "")</f>
        <v/>
      </c>
      <c r="I1033" s="11">
        <f>IFERROR(_xll.ciqfunctions.udf.CIQ(mh_ticker, "IQ_MINORITY_INTEREST", , B1033), "")</f>
        <v/>
      </c>
      <c r="J1033" s="11">
        <f>IFERROR(_xll.ciqfunctions.udf.CIQ(mh_ticker, "IQ_EQUITY_METHOD", , B1033), "")</f>
        <v/>
      </c>
      <c r="K1033" s="11">
        <f>IFERROR(_xll.ciqfunctions.udf.CIQ(mh_ticker, "IQ_LT_Mark_Securities", , B1033), "")</f>
        <v/>
      </c>
      <c r="L1033" s="12">
        <f>IFERROR(C1033*D1033, "")</f>
        <v/>
      </c>
      <c r="M1033" s="12">
        <f>IFERROR(L1033-E1033-F1033+G1033+H1033+I1033-J1033-K1033, "")</f>
        <v/>
      </c>
      <c r="N1033" s="11">
        <f>IFERROR(_xll.ciqfunctions.udf.CIQ(mh_ticker, "IQ_EBITDA_EST", IQ_NTM, B1033, , , "USD"), "")</f>
        <v/>
      </c>
      <c r="O1033" s="13">
        <f>IFERROR(M1033/N1033, "")</f>
        <v/>
      </c>
    </row>
    <row r="1034">
      <c r="B1034" s="8" t="n"/>
      <c r="C1034" s="9">
        <f>IFERROR(_xll.ciqfunctions.udf.CIQ(mh_ticker, "IQ_LASTSALEPRICE", B1034), "")</f>
        <v/>
      </c>
      <c r="D1034" s="10">
        <f>IFERROR(_xll.ciqfunctions.udf.CIQ(mh_ticker, "IQ_SHARESOUTSTANDING_OUT", B1034), "")</f>
        <v/>
      </c>
      <c r="E1034" s="11">
        <f>IFERROR(_xll.ciqfunctions.udf.CIQ(mh_ticker, "IQ_CASH_EQUIV", , B1034), "")</f>
        <v/>
      </c>
      <c r="F1034" s="11">
        <f>IFERROR(_xll.ciqfunctions.udf.CIQ(mh_ticker, "IQ_ST_INVEST", , B1034), "")</f>
        <v/>
      </c>
      <c r="G1034" s="11">
        <f>IFERROR(_xll.ciqfunctions.udf.CIQ(mh_ticker, "IQ_TOTAL_DEBT_EXCL_OPER_LEASES", , B1034), "")</f>
        <v/>
      </c>
      <c r="H1034" s="11">
        <f>IFERROR(_xll.ciqfunctions.udf.CIQ(mh_ticker, "IQ_PREF_EQUITY", , B1034), "")</f>
        <v/>
      </c>
      <c r="I1034" s="11">
        <f>IFERROR(_xll.ciqfunctions.udf.CIQ(mh_ticker, "IQ_MINORITY_INTEREST", , B1034), "")</f>
        <v/>
      </c>
      <c r="J1034" s="11">
        <f>IFERROR(_xll.ciqfunctions.udf.CIQ(mh_ticker, "IQ_EQUITY_METHOD", , B1034), "")</f>
        <v/>
      </c>
      <c r="K1034" s="11">
        <f>IFERROR(_xll.ciqfunctions.udf.CIQ(mh_ticker, "IQ_LT_Mark_Securities", , B1034), "")</f>
        <v/>
      </c>
      <c r="L1034" s="12">
        <f>IFERROR(C1034*D1034, "")</f>
        <v/>
      </c>
      <c r="M1034" s="12">
        <f>IFERROR(L1034-E1034-F1034+G1034+H1034+I1034-J1034-K1034, "")</f>
        <v/>
      </c>
      <c r="N1034" s="11">
        <f>IFERROR(_xll.ciqfunctions.udf.CIQ(mh_ticker, "IQ_EBITDA_EST", IQ_NTM, B1034, , , "USD"), "")</f>
        <v/>
      </c>
      <c r="O1034" s="13">
        <f>IFERROR(M1034/N1034, "")</f>
        <v/>
      </c>
    </row>
    <row r="1035">
      <c r="B1035" s="8" t="n"/>
      <c r="C1035" s="9">
        <f>IFERROR(_xll.ciqfunctions.udf.CIQ(mh_ticker, "IQ_LASTSALEPRICE", B1035), "")</f>
        <v/>
      </c>
      <c r="D1035" s="10">
        <f>IFERROR(_xll.ciqfunctions.udf.CIQ(mh_ticker, "IQ_SHARESOUTSTANDING_OUT", B1035), "")</f>
        <v/>
      </c>
      <c r="E1035" s="11">
        <f>IFERROR(_xll.ciqfunctions.udf.CIQ(mh_ticker, "IQ_CASH_EQUIV", , B1035), "")</f>
        <v/>
      </c>
      <c r="F1035" s="11">
        <f>IFERROR(_xll.ciqfunctions.udf.CIQ(mh_ticker, "IQ_ST_INVEST", , B1035), "")</f>
        <v/>
      </c>
      <c r="G1035" s="11">
        <f>IFERROR(_xll.ciqfunctions.udf.CIQ(mh_ticker, "IQ_TOTAL_DEBT_EXCL_OPER_LEASES", , B1035), "")</f>
        <v/>
      </c>
      <c r="H1035" s="11">
        <f>IFERROR(_xll.ciqfunctions.udf.CIQ(mh_ticker, "IQ_PREF_EQUITY", , B1035), "")</f>
        <v/>
      </c>
      <c r="I1035" s="11">
        <f>IFERROR(_xll.ciqfunctions.udf.CIQ(mh_ticker, "IQ_MINORITY_INTEREST", , B1035), "")</f>
        <v/>
      </c>
      <c r="J1035" s="11">
        <f>IFERROR(_xll.ciqfunctions.udf.CIQ(mh_ticker, "IQ_EQUITY_METHOD", , B1035), "")</f>
        <v/>
      </c>
      <c r="K1035" s="11">
        <f>IFERROR(_xll.ciqfunctions.udf.CIQ(mh_ticker, "IQ_LT_Mark_Securities", , B1035), "")</f>
        <v/>
      </c>
      <c r="L1035" s="12">
        <f>IFERROR(C1035*D1035, "")</f>
        <v/>
      </c>
      <c r="M1035" s="12">
        <f>IFERROR(L1035-E1035-F1035+G1035+H1035+I1035-J1035-K1035, "")</f>
        <v/>
      </c>
      <c r="N1035" s="11">
        <f>IFERROR(_xll.ciqfunctions.udf.CIQ(mh_ticker, "IQ_EBITDA_EST", IQ_NTM, B1035, , , "USD"), "")</f>
        <v/>
      </c>
      <c r="O1035" s="13">
        <f>IFERROR(M1035/N1035, "")</f>
        <v/>
      </c>
    </row>
    <row r="1036">
      <c r="B1036" s="8" t="n"/>
      <c r="C1036" s="9">
        <f>IFERROR(_xll.ciqfunctions.udf.CIQ(mh_ticker, "IQ_LASTSALEPRICE", B1036), "")</f>
        <v/>
      </c>
      <c r="D1036" s="10">
        <f>IFERROR(_xll.ciqfunctions.udf.CIQ(mh_ticker, "IQ_SHARESOUTSTANDING_OUT", B1036), "")</f>
        <v/>
      </c>
      <c r="E1036" s="11">
        <f>IFERROR(_xll.ciqfunctions.udf.CIQ(mh_ticker, "IQ_CASH_EQUIV", , B1036), "")</f>
        <v/>
      </c>
      <c r="F1036" s="11">
        <f>IFERROR(_xll.ciqfunctions.udf.CIQ(mh_ticker, "IQ_ST_INVEST", , B1036), "")</f>
        <v/>
      </c>
      <c r="G1036" s="11">
        <f>IFERROR(_xll.ciqfunctions.udf.CIQ(mh_ticker, "IQ_TOTAL_DEBT_EXCL_OPER_LEASES", , B1036), "")</f>
        <v/>
      </c>
      <c r="H1036" s="11">
        <f>IFERROR(_xll.ciqfunctions.udf.CIQ(mh_ticker, "IQ_PREF_EQUITY", , B1036), "")</f>
        <v/>
      </c>
      <c r="I1036" s="11">
        <f>IFERROR(_xll.ciqfunctions.udf.CIQ(mh_ticker, "IQ_MINORITY_INTEREST", , B1036), "")</f>
        <v/>
      </c>
      <c r="J1036" s="11">
        <f>IFERROR(_xll.ciqfunctions.udf.CIQ(mh_ticker, "IQ_EQUITY_METHOD", , B1036), "")</f>
        <v/>
      </c>
      <c r="K1036" s="11">
        <f>IFERROR(_xll.ciqfunctions.udf.CIQ(mh_ticker, "IQ_LT_Mark_Securities", , B1036), "")</f>
        <v/>
      </c>
      <c r="L1036" s="12">
        <f>IFERROR(C1036*D1036, "")</f>
        <v/>
      </c>
      <c r="M1036" s="12">
        <f>IFERROR(L1036-E1036-F1036+G1036+H1036+I1036-J1036-K1036, "")</f>
        <v/>
      </c>
      <c r="N1036" s="11">
        <f>IFERROR(_xll.ciqfunctions.udf.CIQ(mh_ticker, "IQ_EBITDA_EST", IQ_NTM, B1036, , , "USD"), "")</f>
        <v/>
      </c>
      <c r="O1036" s="13">
        <f>IFERROR(M1036/N1036, "")</f>
        <v/>
      </c>
    </row>
    <row r="1037">
      <c r="B1037" s="8" t="n"/>
      <c r="C1037" s="9">
        <f>IFERROR(_xll.ciqfunctions.udf.CIQ(mh_ticker, "IQ_LASTSALEPRICE", B1037), "")</f>
        <v/>
      </c>
      <c r="D1037" s="10">
        <f>IFERROR(_xll.ciqfunctions.udf.CIQ(mh_ticker, "IQ_SHARESOUTSTANDING_OUT", B1037), "")</f>
        <v/>
      </c>
      <c r="E1037" s="11">
        <f>IFERROR(_xll.ciqfunctions.udf.CIQ(mh_ticker, "IQ_CASH_EQUIV", , B1037), "")</f>
        <v/>
      </c>
      <c r="F1037" s="11">
        <f>IFERROR(_xll.ciqfunctions.udf.CIQ(mh_ticker, "IQ_ST_INVEST", , B1037), "")</f>
        <v/>
      </c>
      <c r="G1037" s="11">
        <f>IFERROR(_xll.ciqfunctions.udf.CIQ(mh_ticker, "IQ_TOTAL_DEBT_EXCL_OPER_LEASES", , B1037), "")</f>
        <v/>
      </c>
      <c r="H1037" s="11">
        <f>IFERROR(_xll.ciqfunctions.udf.CIQ(mh_ticker, "IQ_PREF_EQUITY", , B1037), "")</f>
        <v/>
      </c>
      <c r="I1037" s="11">
        <f>IFERROR(_xll.ciqfunctions.udf.CIQ(mh_ticker, "IQ_MINORITY_INTEREST", , B1037), "")</f>
        <v/>
      </c>
      <c r="J1037" s="11">
        <f>IFERROR(_xll.ciqfunctions.udf.CIQ(mh_ticker, "IQ_EQUITY_METHOD", , B1037), "")</f>
        <v/>
      </c>
      <c r="K1037" s="11">
        <f>IFERROR(_xll.ciqfunctions.udf.CIQ(mh_ticker, "IQ_LT_Mark_Securities", , B1037), "")</f>
        <v/>
      </c>
      <c r="L1037" s="12">
        <f>IFERROR(C1037*D1037, "")</f>
        <v/>
      </c>
      <c r="M1037" s="12">
        <f>IFERROR(L1037-E1037-F1037+G1037+H1037+I1037-J1037-K1037, "")</f>
        <v/>
      </c>
      <c r="N1037" s="11">
        <f>IFERROR(_xll.ciqfunctions.udf.CIQ(mh_ticker, "IQ_EBITDA_EST", IQ_NTM, B1037, , , "USD"), "")</f>
        <v/>
      </c>
      <c r="O1037" s="13">
        <f>IFERROR(M1037/N1037, "")</f>
        <v/>
      </c>
    </row>
    <row r="1038">
      <c r="B1038" s="8" t="n"/>
      <c r="C1038" s="9">
        <f>IFERROR(_xll.ciqfunctions.udf.CIQ(mh_ticker, "IQ_LASTSALEPRICE", B1038), "")</f>
        <v/>
      </c>
      <c r="D1038" s="10">
        <f>IFERROR(_xll.ciqfunctions.udf.CIQ(mh_ticker, "IQ_SHARESOUTSTANDING_OUT", B1038), "")</f>
        <v/>
      </c>
      <c r="E1038" s="11">
        <f>IFERROR(_xll.ciqfunctions.udf.CIQ(mh_ticker, "IQ_CASH_EQUIV", , B1038), "")</f>
        <v/>
      </c>
      <c r="F1038" s="11">
        <f>IFERROR(_xll.ciqfunctions.udf.CIQ(mh_ticker, "IQ_ST_INVEST", , B1038), "")</f>
        <v/>
      </c>
      <c r="G1038" s="11">
        <f>IFERROR(_xll.ciqfunctions.udf.CIQ(mh_ticker, "IQ_TOTAL_DEBT_EXCL_OPER_LEASES", , B1038), "")</f>
        <v/>
      </c>
      <c r="H1038" s="11">
        <f>IFERROR(_xll.ciqfunctions.udf.CIQ(mh_ticker, "IQ_PREF_EQUITY", , B1038), "")</f>
        <v/>
      </c>
      <c r="I1038" s="11">
        <f>IFERROR(_xll.ciqfunctions.udf.CIQ(mh_ticker, "IQ_MINORITY_INTEREST", , B1038), "")</f>
        <v/>
      </c>
      <c r="J1038" s="11">
        <f>IFERROR(_xll.ciqfunctions.udf.CIQ(mh_ticker, "IQ_EQUITY_METHOD", , B1038), "")</f>
        <v/>
      </c>
      <c r="K1038" s="11">
        <f>IFERROR(_xll.ciqfunctions.udf.CIQ(mh_ticker, "IQ_LT_Mark_Securities", , B1038), "")</f>
        <v/>
      </c>
      <c r="L1038" s="12">
        <f>IFERROR(C1038*D1038, "")</f>
        <v/>
      </c>
      <c r="M1038" s="12">
        <f>IFERROR(L1038-E1038-F1038+G1038+H1038+I1038-J1038-K1038, "")</f>
        <v/>
      </c>
      <c r="N1038" s="11">
        <f>IFERROR(_xll.ciqfunctions.udf.CIQ(mh_ticker, "IQ_EBITDA_EST", IQ_NTM, B1038, , , "USD"), "")</f>
        <v/>
      </c>
      <c r="O1038" s="13">
        <f>IFERROR(M1038/N1038, "")</f>
        <v/>
      </c>
    </row>
    <row r="1039">
      <c r="B1039" s="8" t="n"/>
      <c r="C1039" s="9">
        <f>IFERROR(_xll.ciqfunctions.udf.CIQ(mh_ticker, "IQ_LASTSALEPRICE", B1039), "")</f>
        <v/>
      </c>
      <c r="D1039" s="10">
        <f>IFERROR(_xll.ciqfunctions.udf.CIQ(mh_ticker, "IQ_SHARESOUTSTANDING_OUT", B1039), "")</f>
        <v/>
      </c>
      <c r="E1039" s="11">
        <f>IFERROR(_xll.ciqfunctions.udf.CIQ(mh_ticker, "IQ_CASH_EQUIV", , B1039), "")</f>
        <v/>
      </c>
      <c r="F1039" s="11">
        <f>IFERROR(_xll.ciqfunctions.udf.CIQ(mh_ticker, "IQ_ST_INVEST", , B1039), "")</f>
        <v/>
      </c>
      <c r="G1039" s="11">
        <f>IFERROR(_xll.ciqfunctions.udf.CIQ(mh_ticker, "IQ_TOTAL_DEBT_EXCL_OPER_LEASES", , B1039), "")</f>
        <v/>
      </c>
      <c r="H1039" s="11">
        <f>IFERROR(_xll.ciqfunctions.udf.CIQ(mh_ticker, "IQ_PREF_EQUITY", , B1039), "")</f>
        <v/>
      </c>
      <c r="I1039" s="11">
        <f>IFERROR(_xll.ciqfunctions.udf.CIQ(mh_ticker, "IQ_MINORITY_INTEREST", , B1039), "")</f>
        <v/>
      </c>
      <c r="J1039" s="11">
        <f>IFERROR(_xll.ciqfunctions.udf.CIQ(mh_ticker, "IQ_EQUITY_METHOD", , B1039), "")</f>
        <v/>
      </c>
      <c r="K1039" s="11">
        <f>IFERROR(_xll.ciqfunctions.udf.CIQ(mh_ticker, "IQ_LT_Mark_Securities", , B1039), "")</f>
        <v/>
      </c>
      <c r="L1039" s="12">
        <f>IFERROR(C1039*D1039, "")</f>
        <v/>
      </c>
      <c r="M1039" s="12">
        <f>IFERROR(L1039-E1039-F1039+G1039+H1039+I1039-J1039-K1039, "")</f>
        <v/>
      </c>
      <c r="N1039" s="11">
        <f>IFERROR(_xll.ciqfunctions.udf.CIQ(mh_ticker, "IQ_EBITDA_EST", IQ_NTM, B1039, , , "USD"), "")</f>
        <v/>
      </c>
      <c r="O1039" s="13">
        <f>IFERROR(M1039/N1039, "")</f>
        <v/>
      </c>
    </row>
    <row r="1040">
      <c r="B1040" s="8" t="n"/>
      <c r="C1040" s="9">
        <f>IFERROR(_xll.ciqfunctions.udf.CIQ(mh_ticker, "IQ_LASTSALEPRICE", B1040), "")</f>
        <v/>
      </c>
      <c r="D1040" s="10">
        <f>IFERROR(_xll.ciqfunctions.udf.CIQ(mh_ticker, "IQ_SHARESOUTSTANDING_OUT", B1040), "")</f>
        <v/>
      </c>
      <c r="E1040" s="11">
        <f>IFERROR(_xll.ciqfunctions.udf.CIQ(mh_ticker, "IQ_CASH_EQUIV", , B1040), "")</f>
        <v/>
      </c>
      <c r="F1040" s="11">
        <f>IFERROR(_xll.ciqfunctions.udf.CIQ(mh_ticker, "IQ_ST_INVEST", , B1040), "")</f>
        <v/>
      </c>
      <c r="G1040" s="11">
        <f>IFERROR(_xll.ciqfunctions.udf.CIQ(mh_ticker, "IQ_TOTAL_DEBT_EXCL_OPER_LEASES", , B1040), "")</f>
        <v/>
      </c>
      <c r="H1040" s="11">
        <f>IFERROR(_xll.ciqfunctions.udf.CIQ(mh_ticker, "IQ_PREF_EQUITY", , B1040), "")</f>
        <v/>
      </c>
      <c r="I1040" s="11">
        <f>IFERROR(_xll.ciqfunctions.udf.CIQ(mh_ticker, "IQ_MINORITY_INTEREST", , B1040), "")</f>
        <v/>
      </c>
      <c r="J1040" s="11">
        <f>IFERROR(_xll.ciqfunctions.udf.CIQ(mh_ticker, "IQ_EQUITY_METHOD", , B1040), "")</f>
        <v/>
      </c>
      <c r="K1040" s="11">
        <f>IFERROR(_xll.ciqfunctions.udf.CIQ(mh_ticker, "IQ_LT_Mark_Securities", , B1040), "")</f>
        <v/>
      </c>
      <c r="L1040" s="12">
        <f>IFERROR(C1040*D1040, "")</f>
        <v/>
      </c>
      <c r="M1040" s="12">
        <f>IFERROR(L1040-E1040-F1040+G1040+H1040+I1040-J1040-K1040, "")</f>
        <v/>
      </c>
      <c r="N1040" s="11">
        <f>IFERROR(_xll.ciqfunctions.udf.CIQ(mh_ticker, "IQ_EBITDA_EST", IQ_NTM, B1040, , , "USD"), "")</f>
        <v/>
      </c>
      <c r="O1040" s="13">
        <f>IFERROR(M1040/N1040, "")</f>
        <v/>
      </c>
    </row>
    <row r="1041">
      <c r="B1041" s="8" t="n"/>
      <c r="C1041" s="9">
        <f>IFERROR(_xll.ciqfunctions.udf.CIQ(mh_ticker, "IQ_LASTSALEPRICE", B1041), "")</f>
        <v/>
      </c>
      <c r="D1041" s="10">
        <f>IFERROR(_xll.ciqfunctions.udf.CIQ(mh_ticker, "IQ_SHARESOUTSTANDING_OUT", B1041), "")</f>
        <v/>
      </c>
      <c r="E1041" s="11">
        <f>IFERROR(_xll.ciqfunctions.udf.CIQ(mh_ticker, "IQ_CASH_EQUIV", , B1041), "")</f>
        <v/>
      </c>
      <c r="F1041" s="11">
        <f>IFERROR(_xll.ciqfunctions.udf.CIQ(mh_ticker, "IQ_ST_INVEST", , B1041), "")</f>
        <v/>
      </c>
      <c r="G1041" s="11">
        <f>IFERROR(_xll.ciqfunctions.udf.CIQ(mh_ticker, "IQ_TOTAL_DEBT_EXCL_OPER_LEASES", , B1041), "")</f>
        <v/>
      </c>
      <c r="H1041" s="11">
        <f>IFERROR(_xll.ciqfunctions.udf.CIQ(mh_ticker, "IQ_PREF_EQUITY", , B1041), "")</f>
        <v/>
      </c>
      <c r="I1041" s="11">
        <f>IFERROR(_xll.ciqfunctions.udf.CIQ(mh_ticker, "IQ_MINORITY_INTEREST", , B1041), "")</f>
        <v/>
      </c>
      <c r="J1041" s="11">
        <f>IFERROR(_xll.ciqfunctions.udf.CIQ(mh_ticker, "IQ_EQUITY_METHOD", , B1041), "")</f>
        <v/>
      </c>
      <c r="K1041" s="11">
        <f>IFERROR(_xll.ciqfunctions.udf.CIQ(mh_ticker, "IQ_LT_Mark_Securities", , B1041), "")</f>
        <v/>
      </c>
      <c r="L1041" s="12">
        <f>IFERROR(C1041*D1041, "")</f>
        <v/>
      </c>
      <c r="M1041" s="12">
        <f>IFERROR(L1041-E1041-F1041+G1041+H1041+I1041-J1041-K1041, "")</f>
        <v/>
      </c>
      <c r="N1041" s="11">
        <f>IFERROR(_xll.ciqfunctions.udf.CIQ(mh_ticker, "IQ_EBITDA_EST", IQ_NTM, B1041, , , "USD"), "")</f>
        <v/>
      </c>
      <c r="O1041" s="13">
        <f>IFERROR(M1041/N1041, "")</f>
        <v/>
      </c>
    </row>
    <row r="1042">
      <c r="B1042" s="8" t="n"/>
      <c r="C1042" s="9">
        <f>IFERROR(_xll.ciqfunctions.udf.CIQ(mh_ticker, "IQ_LASTSALEPRICE", B1042), "")</f>
        <v/>
      </c>
      <c r="D1042" s="10">
        <f>IFERROR(_xll.ciqfunctions.udf.CIQ(mh_ticker, "IQ_SHARESOUTSTANDING_OUT", B1042), "")</f>
        <v/>
      </c>
      <c r="E1042" s="11">
        <f>IFERROR(_xll.ciqfunctions.udf.CIQ(mh_ticker, "IQ_CASH_EQUIV", , B1042), "")</f>
        <v/>
      </c>
      <c r="F1042" s="11">
        <f>IFERROR(_xll.ciqfunctions.udf.CIQ(mh_ticker, "IQ_ST_INVEST", , B1042), "")</f>
        <v/>
      </c>
      <c r="G1042" s="11">
        <f>IFERROR(_xll.ciqfunctions.udf.CIQ(mh_ticker, "IQ_TOTAL_DEBT_EXCL_OPER_LEASES", , B1042), "")</f>
        <v/>
      </c>
      <c r="H1042" s="11">
        <f>IFERROR(_xll.ciqfunctions.udf.CIQ(mh_ticker, "IQ_PREF_EQUITY", , B1042), "")</f>
        <v/>
      </c>
      <c r="I1042" s="11">
        <f>IFERROR(_xll.ciqfunctions.udf.CIQ(mh_ticker, "IQ_MINORITY_INTEREST", , B1042), "")</f>
        <v/>
      </c>
      <c r="J1042" s="11">
        <f>IFERROR(_xll.ciqfunctions.udf.CIQ(mh_ticker, "IQ_EQUITY_METHOD", , B1042), "")</f>
        <v/>
      </c>
      <c r="K1042" s="11">
        <f>IFERROR(_xll.ciqfunctions.udf.CIQ(mh_ticker, "IQ_LT_Mark_Securities", , B1042), "")</f>
        <v/>
      </c>
      <c r="L1042" s="12">
        <f>IFERROR(C1042*D1042, "")</f>
        <v/>
      </c>
      <c r="M1042" s="12">
        <f>IFERROR(L1042-E1042-F1042+G1042+H1042+I1042-J1042-K1042, "")</f>
        <v/>
      </c>
      <c r="N1042" s="11">
        <f>IFERROR(_xll.ciqfunctions.udf.CIQ(mh_ticker, "IQ_EBITDA_EST", IQ_NTM, B1042, , , "USD"), "")</f>
        <v/>
      </c>
      <c r="O1042" s="13">
        <f>IFERROR(M1042/N1042, "")</f>
        <v/>
      </c>
    </row>
    <row r="1043">
      <c r="B1043" s="8" t="n"/>
      <c r="C1043" s="9">
        <f>IFERROR(_xll.ciqfunctions.udf.CIQ(mh_ticker, "IQ_LASTSALEPRICE", B1043), "")</f>
        <v/>
      </c>
      <c r="D1043" s="10">
        <f>IFERROR(_xll.ciqfunctions.udf.CIQ(mh_ticker, "IQ_SHARESOUTSTANDING_OUT", B1043), "")</f>
        <v/>
      </c>
      <c r="E1043" s="11">
        <f>IFERROR(_xll.ciqfunctions.udf.CIQ(mh_ticker, "IQ_CASH_EQUIV", , B1043), "")</f>
        <v/>
      </c>
      <c r="F1043" s="11">
        <f>IFERROR(_xll.ciqfunctions.udf.CIQ(mh_ticker, "IQ_ST_INVEST", , B1043), "")</f>
        <v/>
      </c>
      <c r="G1043" s="11">
        <f>IFERROR(_xll.ciqfunctions.udf.CIQ(mh_ticker, "IQ_TOTAL_DEBT_EXCL_OPER_LEASES", , B1043), "")</f>
        <v/>
      </c>
      <c r="H1043" s="11">
        <f>IFERROR(_xll.ciqfunctions.udf.CIQ(mh_ticker, "IQ_PREF_EQUITY", , B1043), "")</f>
        <v/>
      </c>
      <c r="I1043" s="11">
        <f>IFERROR(_xll.ciqfunctions.udf.CIQ(mh_ticker, "IQ_MINORITY_INTEREST", , B1043), "")</f>
        <v/>
      </c>
      <c r="J1043" s="11">
        <f>IFERROR(_xll.ciqfunctions.udf.CIQ(mh_ticker, "IQ_EQUITY_METHOD", , B1043), "")</f>
        <v/>
      </c>
      <c r="K1043" s="11">
        <f>IFERROR(_xll.ciqfunctions.udf.CIQ(mh_ticker, "IQ_LT_Mark_Securities", , B1043), "")</f>
        <v/>
      </c>
      <c r="L1043" s="12">
        <f>IFERROR(C1043*D1043, "")</f>
        <v/>
      </c>
      <c r="M1043" s="12">
        <f>IFERROR(L1043-E1043-F1043+G1043+H1043+I1043-J1043-K1043, "")</f>
        <v/>
      </c>
      <c r="N1043" s="11">
        <f>IFERROR(_xll.ciqfunctions.udf.CIQ(mh_ticker, "IQ_EBITDA_EST", IQ_NTM, B1043, , , "USD"), "")</f>
        <v/>
      </c>
      <c r="O1043" s="13">
        <f>IFERROR(M1043/N1043, "")</f>
        <v/>
      </c>
    </row>
    <row r="1044">
      <c r="B1044" s="8" t="n"/>
      <c r="C1044" s="9">
        <f>IFERROR(_xll.ciqfunctions.udf.CIQ(mh_ticker, "IQ_LASTSALEPRICE", B1044), "")</f>
        <v/>
      </c>
      <c r="D1044" s="10">
        <f>IFERROR(_xll.ciqfunctions.udf.CIQ(mh_ticker, "IQ_SHARESOUTSTANDING_OUT", B1044), "")</f>
        <v/>
      </c>
      <c r="E1044" s="11">
        <f>IFERROR(_xll.ciqfunctions.udf.CIQ(mh_ticker, "IQ_CASH_EQUIV", , B1044), "")</f>
        <v/>
      </c>
      <c r="F1044" s="11">
        <f>IFERROR(_xll.ciqfunctions.udf.CIQ(mh_ticker, "IQ_ST_INVEST", , B1044), "")</f>
        <v/>
      </c>
      <c r="G1044" s="11">
        <f>IFERROR(_xll.ciqfunctions.udf.CIQ(mh_ticker, "IQ_TOTAL_DEBT_EXCL_OPER_LEASES", , B1044), "")</f>
        <v/>
      </c>
      <c r="H1044" s="11">
        <f>IFERROR(_xll.ciqfunctions.udf.CIQ(mh_ticker, "IQ_PREF_EQUITY", , B1044), "")</f>
        <v/>
      </c>
      <c r="I1044" s="11">
        <f>IFERROR(_xll.ciqfunctions.udf.CIQ(mh_ticker, "IQ_MINORITY_INTEREST", , B1044), "")</f>
        <v/>
      </c>
      <c r="J1044" s="11">
        <f>IFERROR(_xll.ciqfunctions.udf.CIQ(mh_ticker, "IQ_EQUITY_METHOD", , B1044), "")</f>
        <v/>
      </c>
      <c r="K1044" s="11">
        <f>IFERROR(_xll.ciqfunctions.udf.CIQ(mh_ticker, "IQ_LT_Mark_Securities", , B1044), "")</f>
        <v/>
      </c>
      <c r="L1044" s="12">
        <f>IFERROR(C1044*D1044, "")</f>
        <v/>
      </c>
      <c r="M1044" s="12">
        <f>IFERROR(L1044-E1044-F1044+G1044+H1044+I1044-J1044-K1044, "")</f>
        <v/>
      </c>
      <c r="N1044" s="11">
        <f>IFERROR(_xll.ciqfunctions.udf.CIQ(mh_ticker, "IQ_EBITDA_EST", IQ_NTM, B1044, , , "USD"), "")</f>
        <v/>
      </c>
      <c r="O1044" s="13">
        <f>IFERROR(M1044/N1044, "")</f>
        <v/>
      </c>
    </row>
    <row r="1045">
      <c r="B1045" s="8" t="n"/>
      <c r="C1045" s="9">
        <f>IFERROR(_xll.ciqfunctions.udf.CIQ(mh_ticker, "IQ_LASTSALEPRICE", B1045), "")</f>
        <v/>
      </c>
      <c r="D1045" s="10">
        <f>IFERROR(_xll.ciqfunctions.udf.CIQ(mh_ticker, "IQ_SHARESOUTSTANDING_OUT", B1045), "")</f>
        <v/>
      </c>
      <c r="E1045" s="11">
        <f>IFERROR(_xll.ciqfunctions.udf.CIQ(mh_ticker, "IQ_CASH_EQUIV", , B1045), "")</f>
        <v/>
      </c>
      <c r="F1045" s="11">
        <f>IFERROR(_xll.ciqfunctions.udf.CIQ(mh_ticker, "IQ_ST_INVEST", , B1045), "")</f>
        <v/>
      </c>
      <c r="G1045" s="11">
        <f>IFERROR(_xll.ciqfunctions.udf.CIQ(mh_ticker, "IQ_TOTAL_DEBT_EXCL_OPER_LEASES", , B1045), "")</f>
        <v/>
      </c>
      <c r="H1045" s="11">
        <f>IFERROR(_xll.ciqfunctions.udf.CIQ(mh_ticker, "IQ_PREF_EQUITY", , B1045), "")</f>
        <v/>
      </c>
      <c r="I1045" s="11">
        <f>IFERROR(_xll.ciqfunctions.udf.CIQ(mh_ticker, "IQ_MINORITY_INTEREST", , B1045), "")</f>
        <v/>
      </c>
      <c r="J1045" s="11">
        <f>IFERROR(_xll.ciqfunctions.udf.CIQ(mh_ticker, "IQ_EQUITY_METHOD", , B1045), "")</f>
        <v/>
      </c>
      <c r="K1045" s="11">
        <f>IFERROR(_xll.ciqfunctions.udf.CIQ(mh_ticker, "IQ_LT_Mark_Securities", , B1045), "")</f>
        <v/>
      </c>
      <c r="L1045" s="12">
        <f>IFERROR(C1045*D1045, "")</f>
        <v/>
      </c>
      <c r="M1045" s="12">
        <f>IFERROR(L1045-E1045-F1045+G1045+H1045+I1045-J1045-K1045, "")</f>
        <v/>
      </c>
      <c r="N1045" s="11">
        <f>IFERROR(_xll.ciqfunctions.udf.CIQ(mh_ticker, "IQ_EBITDA_EST", IQ_NTM, B1045, , , "USD"), "")</f>
        <v/>
      </c>
      <c r="O1045" s="13">
        <f>IFERROR(M1045/N1045, "")</f>
        <v/>
      </c>
    </row>
    <row r="1046">
      <c r="B1046" s="8" t="n"/>
      <c r="C1046" s="9">
        <f>IFERROR(_xll.ciqfunctions.udf.CIQ(mh_ticker, "IQ_LASTSALEPRICE", B1046), "")</f>
        <v/>
      </c>
      <c r="D1046" s="10">
        <f>IFERROR(_xll.ciqfunctions.udf.CIQ(mh_ticker, "IQ_SHARESOUTSTANDING_OUT", B1046), "")</f>
        <v/>
      </c>
      <c r="E1046" s="11">
        <f>IFERROR(_xll.ciqfunctions.udf.CIQ(mh_ticker, "IQ_CASH_EQUIV", , B1046), "")</f>
        <v/>
      </c>
      <c r="F1046" s="11">
        <f>IFERROR(_xll.ciqfunctions.udf.CIQ(mh_ticker, "IQ_ST_INVEST", , B1046), "")</f>
        <v/>
      </c>
      <c r="G1046" s="11">
        <f>IFERROR(_xll.ciqfunctions.udf.CIQ(mh_ticker, "IQ_TOTAL_DEBT_EXCL_OPER_LEASES", , B1046), "")</f>
        <v/>
      </c>
      <c r="H1046" s="11">
        <f>IFERROR(_xll.ciqfunctions.udf.CIQ(mh_ticker, "IQ_PREF_EQUITY", , B1046), "")</f>
        <v/>
      </c>
      <c r="I1046" s="11">
        <f>IFERROR(_xll.ciqfunctions.udf.CIQ(mh_ticker, "IQ_MINORITY_INTEREST", , B1046), "")</f>
        <v/>
      </c>
      <c r="J1046" s="11">
        <f>IFERROR(_xll.ciqfunctions.udf.CIQ(mh_ticker, "IQ_EQUITY_METHOD", , B1046), "")</f>
        <v/>
      </c>
      <c r="K1046" s="11">
        <f>IFERROR(_xll.ciqfunctions.udf.CIQ(mh_ticker, "IQ_LT_Mark_Securities", , B1046), "")</f>
        <v/>
      </c>
      <c r="L1046" s="12">
        <f>IFERROR(C1046*D1046, "")</f>
        <v/>
      </c>
      <c r="M1046" s="12">
        <f>IFERROR(L1046-E1046-F1046+G1046+H1046+I1046-J1046-K1046, "")</f>
        <v/>
      </c>
      <c r="N1046" s="11">
        <f>IFERROR(_xll.ciqfunctions.udf.CIQ(mh_ticker, "IQ_EBITDA_EST", IQ_NTM, B1046, , , "USD"), "")</f>
        <v/>
      </c>
      <c r="O1046" s="13">
        <f>IFERROR(M1046/N1046, "")</f>
        <v/>
      </c>
    </row>
    <row r="1047">
      <c r="B1047" s="8" t="n"/>
      <c r="C1047" s="9">
        <f>IFERROR(_xll.ciqfunctions.udf.CIQ(mh_ticker, "IQ_LASTSALEPRICE", B1047), "")</f>
        <v/>
      </c>
      <c r="D1047" s="10">
        <f>IFERROR(_xll.ciqfunctions.udf.CIQ(mh_ticker, "IQ_SHARESOUTSTANDING_OUT", B1047), "")</f>
        <v/>
      </c>
      <c r="E1047" s="11">
        <f>IFERROR(_xll.ciqfunctions.udf.CIQ(mh_ticker, "IQ_CASH_EQUIV", , B1047), "")</f>
        <v/>
      </c>
      <c r="F1047" s="11">
        <f>IFERROR(_xll.ciqfunctions.udf.CIQ(mh_ticker, "IQ_ST_INVEST", , B1047), "")</f>
        <v/>
      </c>
      <c r="G1047" s="11">
        <f>IFERROR(_xll.ciqfunctions.udf.CIQ(mh_ticker, "IQ_TOTAL_DEBT_EXCL_OPER_LEASES", , B1047), "")</f>
        <v/>
      </c>
      <c r="H1047" s="11">
        <f>IFERROR(_xll.ciqfunctions.udf.CIQ(mh_ticker, "IQ_PREF_EQUITY", , B1047), "")</f>
        <v/>
      </c>
      <c r="I1047" s="11">
        <f>IFERROR(_xll.ciqfunctions.udf.CIQ(mh_ticker, "IQ_MINORITY_INTEREST", , B1047), "")</f>
        <v/>
      </c>
      <c r="J1047" s="11">
        <f>IFERROR(_xll.ciqfunctions.udf.CIQ(mh_ticker, "IQ_EQUITY_METHOD", , B1047), "")</f>
        <v/>
      </c>
      <c r="K1047" s="11">
        <f>IFERROR(_xll.ciqfunctions.udf.CIQ(mh_ticker, "IQ_LT_Mark_Securities", , B1047), "")</f>
        <v/>
      </c>
      <c r="L1047" s="12">
        <f>IFERROR(C1047*D1047, "")</f>
        <v/>
      </c>
      <c r="M1047" s="12">
        <f>IFERROR(L1047-E1047-F1047+G1047+H1047+I1047-J1047-K1047, "")</f>
        <v/>
      </c>
      <c r="N1047" s="11">
        <f>IFERROR(_xll.ciqfunctions.udf.CIQ(mh_ticker, "IQ_EBITDA_EST", IQ_NTM, B1047, , , "USD"), "")</f>
        <v/>
      </c>
      <c r="O1047" s="13">
        <f>IFERROR(M1047/N1047, "")</f>
        <v/>
      </c>
    </row>
    <row r="1048">
      <c r="B1048" s="8" t="n"/>
      <c r="C1048" s="9">
        <f>IFERROR(_xll.ciqfunctions.udf.CIQ(mh_ticker, "IQ_LASTSALEPRICE", B1048), "")</f>
        <v/>
      </c>
      <c r="D1048" s="10">
        <f>IFERROR(_xll.ciqfunctions.udf.CIQ(mh_ticker, "IQ_SHARESOUTSTANDING_OUT", B1048), "")</f>
        <v/>
      </c>
      <c r="E1048" s="11">
        <f>IFERROR(_xll.ciqfunctions.udf.CIQ(mh_ticker, "IQ_CASH_EQUIV", , B1048), "")</f>
        <v/>
      </c>
      <c r="F1048" s="11">
        <f>IFERROR(_xll.ciqfunctions.udf.CIQ(mh_ticker, "IQ_ST_INVEST", , B1048), "")</f>
        <v/>
      </c>
      <c r="G1048" s="11">
        <f>IFERROR(_xll.ciqfunctions.udf.CIQ(mh_ticker, "IQ_TOTAL_DEBT_EXCL_OPER_LEASES", , B1048), "")</f>
        <v/>
      </c>
      <c r="H1048" s="11">
        <f>IFERROR(_xll.ciqfunctions.udf.CIQ(mh_ticker, "IQ_PREF_EQUITY", , B1048), "")</f>
        <v/>
      </c>
      <c r="I1048" s="11">
        <f>IFERROR(_xll.ciqfunctions.udf.CIQ(mh_ticker, "IQ_MINORITY_INTEREST", , B1048), "")</f>
        <v/>
      </c>
      <c r="J1048" s="11">
        <f>IFERROR(_xll.ciqfunctions.udf.CIQ(mh_ticker, "IQ_EQUITY_METHOD", , B1048), "")</f>
        <v/>
      </c>
      <c r="K1048" s="11">
        <f>IFERROR(_xll.ciqfunctions.udf.CIQ(mh_ticker, "IQ_LT_Mark_Securities", , B1048), "")</f>
        <v/>
      </c>
      <c r="L1048" s="12">
        <f>IFERROR(C1048*D1048, "")</f>
        <v/>
      </c>
      <c r="M1048" s="12">
        <f>IFERROR(L1048-E1048-F1048+G1048+H1048+I1048-J1048-K1048, "")</f>
        <v/>
      </c>
      <c r="N1048" s="11">
        <f>IFERROR(_xll.ciqfunctions.udf.CIQ(mh_ticker, "IQ_EBITDA_EST", IQ_NTM, B1048, , , "USD"), "")</f>
        <v/>
      </c>
      <c r="O1048" s="13">
        <f>IFERROR(M1048/N1048, "")</f>
        <v/>
      </c>
    </row>
    <row r="1049">
      <c r="B1049" s="8" t="n"/>
      <c r="C1049" s="9">
        <f>IFERROR(_xll.ciqfunctions.udf.CIQ(mh_ticker, "IQ_LASTSALEPRICE", B1049), "")</f>
        <v/>
      </c>
      <c r="D1049" s="10">
        <f>IFERROR(_xll.ciqfunctions.udf.CIQ(mh_ticker, "IQ_SHARESOUTSTANDING_OUT", B1049), "")</f>
        <v/>
      </c>
      <c r="E1049" s="11">
        <f>IFERROR(_xll.ciqfunctions.udf.CIQ(mh_ticker, "IQ_CASH_EQUIV", , B1049), "")</f>
        <v/>
      </c>
      <c r="F1049" s="11">
        <f>IFERROR(_xll.ciqfunctions.udf.CIQ(mh_ticker, "IQ_ST_INVEST", , B1049), "")</f>
        <v/>
      </c>
      <c r="G1049" s="11">
        <f>IFERROR(_xll.ciqfunctions.udf.CIQ(mh_ticker, "IQ_TOTAL_DEBT_EXCL_OPER_LEASES", , B1049), "")</f>
        <v/>
      </c>
      <c r="H1049" s="11">
        <f>IFERROR(_xll.ciqfunctions.udf.CIQ(mh_ticker, "IQ_PREF_EQUITY", , B1049), "")</f>
        <v/>
      </c>
      <c r="I1049" s="11">
        <f>IFERROR(_xll.ciqfunctions.udf.CIQ(mh_ticker, "IQ_MINORITY_INTEREST", , B1049), "")</f>
        <v/>
      </c>
      <c r="J1049" s="11">
        <f>IFERROR(_xll.ciqfunctions.udf.CIQ(mh_ticker, "IQ_EQUITY_METHOD", , B1049), "")</f>
        <v/>
      </c>
      <c r="K1049" s="11">
        <f>IFERROR(_xll.ciqfunctions.udf.CIQ(mh_ticker, "IQ_LT_Mark_Securities", , B1049), "")</f>
        <v/>
      </c>
      <c r="L1049" s="12">
        <f>IFERROR(C1049*D1049, "")</f>
        <v/>
      </c>
      <c r="M1049" s="12">
        <f>IFERROR(L1049-E1049-F1049+G1049+H1049+I1049-J1049-K1049, "")</f>
        <v/>
      </c>
      <c r="N1049" s="11">
        <f>IFERROR(_xll.ciqfunctions.udf.CIQ(mh_ticker, "IQ_EBITDA_EST", IQ_NTM, B1049, , , "USD"), "")</f>
        <v/>
      </c>
      <c r="O1049" s="13">
        <f>IFERROR(M1049/N1049, "")</f>
        <v/>
      </c>
    </row>
    <row r="1050">
      <c r="B1050" s="8" t="n"/>
      <c r="C1050" s="9">
        <f>IFERROR(_xll.ciqfunctions.udf.CIQ(mh_ticker, "IQ_LASTSALEPRICE", B1050), "")</f>
        <v/>
      </c>
      <c r="D1050" s="10">
        <f>IFERROR(_xll.ciqfunctions.udf.CIQ(mh_ticker, "IQ_SHARESOUTSTANDING_OUT", B1050), "")</f>
        <v/>
      </c>
      <c r="E1050" s="11">
        <f>IFERROR(_xll.ciqfunctions.udf.CIQ(mh_ticker, "IQ_CASH_EQUIV", , B1050), "")</f>
        <v/>
      </c>
      <c r="F1050" s="11">
        <f>IFERROR(_xll.ciqfunctions.udf.CIQ(mh_ticker, "IQ_ST_INVEST", , B1050), "")</f>
        <v/>
      </c>
      <c r="G1050" s="11">
        <f>IFERROR(_xll.ciqfunctions.udf.CIQ(mh_ticker, "IQ_TOTAL_DEBT_EXCL_OPER_LEASES", , B1050), "")</f>
        <v/>
      </c>
      <c r="H1050" s="11">
        <f>IFERROR(_xll.ciqfunctions.udf.CIQ(mh_ticker, "IQ_PREF_EQUITY", , B1050), "")</f>
        <v/>
      </c>
      <c r="I1050" s="11">
        <f>IFERROR(_xll.ciqfunctions.udf.CIQ(mh_ticker, "IQ_MINORITY_INTEREST", , B1050), "")</f>
        <v/>
      </c>
      <c r="J1050" s="11">
        <f>IFERROR(_xll.ciqfunctions.udf.CIQ(mh_ticker, "IQ_EQUITY_METHOD", , B1050), "")</f>
        <v/>
      </c>
      <c r="K1050" s="11">
        <f>IFERROR(_xll.ciqfunctions.udf.CIQ(mh_ticker, "IQ_LT_Mark_Securities", , B1050), "")</f>
        <v/>
      </c>
      <c r="L1050" s="12">
        <f>IFERROR(C1050*D1050, "")</f>
        <v/>
      </c>
      <c r="M1050" s="12">
        <f>IFERROR(L1050-E1050-F1050+G1050+H1050+I1050-J1050-K1050, "")</f>
        <v/>
      </c>
      <c r="N1050" s="11">
        <f>IFERROR(_xll.ciqfunctions.udf.CIQ(mh_ticker, "IQ_EBITDA_EST", IQ_NTM, B1050, , , "USD"), "")</f>
        <v/>
      </c>
      <c r="O1050" s="13">
        <f>IFERROR(M1050/N1050, "")</f>
        <v/>
      </c>
    </row>
    <row r="1051">
      <c r="B1051" s="8" t="n"/>
      <c r="C1051" s="9">
        <f>IFERROR(_xll.ciqfunctions.udf.CIQ(mh_ticker, "IQ_LASTSALEPRICE", B1051), "")</f>
        <v/>
      </c>
      <c r="D1051" s="10">
        <f>IFERROR(_xll.ciqfunctions.udf.CIQ(mh_ticker, "IQ_SHARESOUTSTANDING_OUT", B1051), "")</f>
        <v/>
      </c>
      <c r="E1051" s="11">
        <f>IFERROR(_xll.ciqfunctions.udf.CIQ(mh_ticker, "IQ_CASH_EQUIV", , B1051), "")</f>
        <v/>
      </c>
      <c r="F1051" s="11">
        <f>IFERROR(_xll.ciqfunctions.udf.CIQ(mh_ticker, "IQ_ST_INVEST", , B1051), "")</f>
        <v/>
      </c>
      <c r="G1051" s="11">
        <f>IFERROR(_xll.ciqfunctions.udf.CIQ(mh_ticker, "IQ_TOTAL_DEBT_EXCL_OPER_LEASES", , B1051), "")</f>
        <v/>
      </c>
      <c r="H1051" s="11">
        <f>IFERROR(_xll.ciqfunctions.udf.CIQ(mh_ticker, "IQ_PREF_EQUITY", , B1051), "")</f>
        <v/>
      </c>
      <c r="I1051" s="11">
        <f>IFERROR(_xll.ciqfunctions.udf.CIQ(mh_ticker, "IQ_MINORITY_INTEREST", , B1051), "")</f>
        <v/>
      </c>
      <c r="J1051" s="11">
        <f>IFERROR(_xll.ciqfunctions.udf.CIQ(mh_ticker, "IQ_EQUITY_METHOD", , B1051), "")</f>
        <v/>
      </c>
      <c r="K1051" s="11">
        <f>IFERROR(_xll.ciqfunctions.udf.CIQ(mh_ticker, "IQ_LT_Mark_Securities", , B1051), "")</f>
        <v/>
      </c>
      <c r="L1051" s="12">
        <f>IFERROR(C1051*D1051, "")</f>
        <v/>
      </c>
      <c r="M1051" s="12">
        <f>IFERROR(L1051-E1051-F1051+G1051+H1051+I1051-J1051-K1051, "")</f>
        <v/>
      </c>
      <c r="N1051" s="11">
        <f>IFERROR(_xll.ciqfunctions.udf.CIQ(mh_ticker, "IQ_EBITDA_EST", IQ_NTM, B1051, , , "USD"), "")</f>
        <v/>
      </c>
      <c r="O1051" s="13">
        <f>IFERROR(M1051/N1051, "")</f>
        <v/>
      </c>
    </row>
    <row r="1052">
      <c r="B1052" s="8" t="n"/>
      <c r="C1052" s="9">
        <f>IFERROR(_xll.ciqfunctions.udf.CIQ(mh_ticker, "IQ_LASTSALEPRICE", B1052), "")</f>
        <v/>
      </c>
      <c r="D1052" s="10">
        <f>IFERROR(_xll.ciqfunctions.udf.CIQ(mh_ticker, "IQ_SHARESOUTSTANDING_OUT", B1052), "")</f>
        <v/>
      </c>
      <c r="E1052" s="11">
        <f>IFERROR(_xll.ciqfunctions.udf.CIQ(mh_ticker, "IQ_CASH_EQUIV", , B1052), "")</f>
        <v/>
      </c>
      <c r="F1052" s="11">
        <f>IFERROR(_xll.ciqfunctions.udf.CIQ(mh_ticker, "IQ_ST_INVEST", , B1052), "")</f>
        <v/>
      </c>
      <c r="G1052" s="11">
        <f>IFERROR(_xll.ciqfunctions.udf.CIQ(mh_ticker, "IQ_TOTAL_DEBT_EXCL_OPER_LEASES", , B1052), "")</f>
        <v/>
      </c>
      <c r="H1052" s="11">
        <f>IFERROR(_xll.ciqfunctions.udf.CIQ(mh_ticker, "IQ_PREF_EQUITY", , B1052), "")</f>
        <v/>
      </c>
      <c r="I1052" s="11">
        <f>IFERROR(_xll.ciqfunctions.udf.CIQ(mh_ticker, "IQ_MINORITY_INTEREST", , B1052), "")</f>
        <v/>
      </c>
      <c r="J1052" s="11">
        <f>IFERROR(_xll.ciqfunctions.udf.CIQ(mh_ticker, "IQ_EQUITY_METHOD", , B1052), "")</f>
        <v/>
      </c>
      <c r="K1052" s="11">
        <f>IFERROR(_xll.ciqfunctions.udf.CIQ(mh_ticker, "IQ_LT_Mark_Securities", , B1052), "")</f>
        <v/>
      </c>
      <c r="L1052" s="12">
        <f>IFERROR(C1052*D1052, "")</f>
        <v/>
      </c>
      <c r="M1052" s="12">
        <f>IFERROR(L1052-E1052-F1052+G1052+H1052+I1052-J1052-K1052, "")</f>
        <v/>
      </c>
      <c r="N1052" s="11">
        <f>IFERROR(_xll.ciqfunctions.udf.CIQ(mh_ticker, "IQ_EBITDA_EST", IQ_NTM, B1052, , , "USD"), "")</f>
        <v/>
      </c>
      <c r="O1052" s="13">
        <f>IFERROR(M1052/N1052, "")</f>
        <v/>
      </c>
    </row>
    <row r="1053">
      <c r="B1053" s="8" t="n"/>
      <c r="C1053" s="9">
        <f>IFERROR(_xll.ciqfunctions.udf.CIQ(mh_ticker, "IQ_LASTSALEPRICE", B1053), "")</f>
        <v/>
      </c>
      <c r="D1053" s="10">
        <f>IFERROR(_xll.ciqfunctions.udf.CIQ(mh_ticker, "IQ_SHARESOUTSTANDING_OUT", B1053), "")</f>
        <v/>
      </c>
      <c r="E1053" s="11">
        <f>IFERROR(_xll.ciqfunctions.udf.CIQ(mh_ticker, "IQ_CASH_EQUIV", , B1053), "")</f>
        <v/>
      </c>
      <c r="F1053" s="11">
        <f>IFERROR(_xll.ciqfunctions.udf.CIQ(mh_ticker, "IQ_ST_INVEST", , B1053), "")</f>
        <v/>
      </c>
      <c r="G1053" s="11">
        <f>IFERROR(_xll.ciqfunctions.udf.CIQ(mh_ticker, "IQ_TOTAL_DEBT_EXCL_OPER_LEASES", , B1053), "")</f>
        <v/>
      </c>
      <c r="H1053" s="11">
        <f>IFERROR(_xll.ciqfunctions.udf.CIQ(mh_ticker, "IQ_PREF_EQUITY", , B1053), "")</f>
        <v/>
      </c>
      <c r="I1053" s="11">
        <f>IFERROR(_xll.ciqfunctions.udf.CIQ(mh_ticker, "IQ_MINORITY_INTEREST", , B1053), "")</f>
        <v/>
      </c>
      <c r="J1053" s="11">
        <f>IFERROR(_xll.ciqfunctions.udf.CIQ(mh_ticker, "IQ_EQUITY_METHOD", , B1053), "")</f>
        <v/>
      </c>
      <c r="K1053" s="11">
        <f>IFERROR(_xll.ciqfunctions.udf.CIQ(mh_ticker, "IQ_LT_Mark_Securities", , B1053), "")</f>
        <v/>
      </c>
      <c r="L1053" s="12">
        <f>IFERROR(C1053*D1053, "")</f>
        <v/>
      </c>
      <c r="M1053" s="12">
        <f>IFERROR(L1053-E1053-F1053+G1053+H1053+I1053-J1053-K1053, "")</f>
        <v/>
      </c>
      <c r="N1053" s="11">
        <f>IFERROR(_xll.ciqfunctions.udf.CIQ(mh_ticker, "IQ_EBITDA_EST", IQ_NTM, B1053, , , "USD"), "")</f>
        <v/>
      </c>
      <c r="O1053" s="13">
        <f>IFERROR(M1053/N1053, "")</f>
        <v/>
      </c>
    </row>
    <row r="1054">
      <c r="B1054" s="8" t="n"/>
      <c r="C1054" s="9">
        <f>IFERROR(_xll.ciqfunctions.udf.CIQ(mh_ticker, "IQ_LASTSALEPRICE", B1054), "")</f>
        <v/>
      </c>
      <c r="D1054" s="10">
        <f>IFERROR(_xll.ciqfunctions.udf.CIQ(mh_ticker, "IQ_SHARESOUTSTANDING_OUT", B1054), "")</f>
        <v/>
      </c>
      <c r="E1054" s="11">
        <f>IFERROR(_xll.ciqfunctions.udf.CIQ(mh_ticker, "IQ_CASH_EQUIV", , B1054), "")</f>
        <v/>
      </c>
      <c r="F1054" s="11">
        <f>IFERROR(_xll.ciqfunctions.udf.CIQ(mh_ticker, "IQ_ST_INVEST", , B1054), "")</f>
        <v/>
      </c>
      <c r="G1054" s="11">
        <f>IFERROR(_xll.ciqfunctions.udf.CIQ(mh_ticker, "IQ_TOTAL_DEBT_EXCL_OPER_LEASES", , B1054), "")</f>
        <v/>
      </c>
      <c r="H1054" s="11">
        <f>IFERROR(_xll.ciqfunctions.udf.CIQ(mh_ticker, "IQ_PREF_EQUITY", , B1054), "")</f>
        <v/>
      </c>
      <c r="I1054" s="11">
        <f>IFERROR(_xll.ciqfunctions.udf.CIQ(mh_ticker, "IQ_MINORITY_INTEREST", , B1054), "")</f>
        <v/>
      </c>
      <c r="J1054" s="11">
        <f>IFERROR(_xll.ciqfunctions.udf.CIQ(mh_ticker, "IQ_EQUITY_METHOD", , B1054), "")</f>
        <v/>
      </c>
      <c r="K1054" s="11">
        <f>IFERROR(_xll.ciqfunctions.udf.CIQ(mh_ticker, "IQ_LT_Mark_Securities", , B1054), "")</f>
        <v/>
      </c>
      <c r="L1054" s="12">
        <f>IFERROR(C1054*D1054, "")</f>
        <v/>
      </c>
      <c r="M1054" s="12">
        <f>IFERROR(L1054-E1054-F1054+G1054+H1054+I1054-J1054-K1054, "")</f>
        <v/>
      </c>
      <c r="N1054" s="11">
        <f>IFERROR(_xll.ciqfunctions.udf.CIQ(mh_ticker, "IQ_EBITDA_EST", IQ_NTM, B1054, , , "USD"), "")</f>
        <v/>
      </c>
      <c r="O1054" s="13">
        <f>IFERROR(M1054/N1054, "")</f>
        <v/>
      </c>
    </row>
    <row r="1055">
      <c r="B1055" s="8" t="n"/>
      <c r="C1055" s="9">
        <f>IFERROR(_xll.ciqfunctions.udf.CIQ(mh_ticker, "IQ_LASTSALEPRICE", B1055), "")</f>
        <v/>
      </c>
      <c r="D1055" s="10">
        <f>IFERROR(_xll.ciqfunctions.udf.CIQ(mh_ticker, "IQ_SHARESOUTSTANDING_OUT", B1055), "")</f>
        <v/>
      </c>
      <c r="E1055" s="11">
        <f>IFERROR(_xll.ciqfunctions.udf.CIQ(mh_ticker, "IQ_CASH_EQUIV", , B1055), "")</f>
        <v/>
      </c>
      <c r="F1055" s="11">
        <f>IFERROR(_xll.ciqfunctions.udf.CIQ(mh_ticker, "IQ_ST_INVEST", , B1055), "")</f>
        <v/>
      </c>
      <c r="G1055" s="11">
        <f>IFERROR(_xll.ciqfunctions.udf.CIQ(mh_ticker, "IQ_TOTAL_DEBT_EXCL_OPER_LEASES", , B1055), "")</f>
        <v/>
      </c>
      <c r="H1055" s="11">
        <f>IFERROR(_xll.ciqfunctions.udf.CIQ(mh_ticker, "IQ_PREF_EQUITY", , B1055), "")</f>
        <v/>
      </c>
      <c r="I1055" s="11">
        <f>IFERROR(_xll.ciqfunctions.udf.CIQ(mh_ticker, "IQ_MINORITY_INTEREST", , B1055), "")</f>
        <v/>
      </c>
      <c r="J1055" s="11">
        <f>IFERROR(_xll.ciqfunctions.udf.CIQ(mh_ticker, "IQ_EQUITY_METHOD", , B1055), "")</f>
        <v/>
      </c>
      <c r="K1055" s="11">
        <f>IFERROR(_xll.ciqfunctions.udf.CIQ(mh_ticker, "IQ_LT_Mark_Securities", , B1055), "")</f>
        <v/>
      </c>
      <c r="L1055" s="12">
        <f>IFERROR(C1055*D1055, "")</f>
        <v/>
      </c>
      <c r="M1055" s="12">
        <f>IFERROR(L1055-E1055-F1055+G1055+H1055+I1055-J1055-K1055, "")</f>
        <v/>
      </c>
      <c r="N1055" s="11">
        <f>IFERROR(_xll.ciqfunctions.udf.CIQ(mh_ticker, "IQ_EBITDA_EST", IQ_NTM, B1055, , , "USD"), "")</f>
        <v/>
      </c>
      <c r="O1055" s="13">
        <f>IFERROR(M1055/N1055, "")</f>
        <v/>
      </c>
    </row>
    <row r="1056">
      <c r="B1056" s="8" t="n"/>
      <c r="C1056" s="9">
        <f>IFERROR(_xll.ciqfunctions.udf.CIQ(mh_ticker, "IQ_LASTSALEPRICE", B1056), "")</f>
        <v/>
      </c>
      <c r="D1056" s="10">
        <f>IFERROR(_xll.ciqfunctions.udf.CIQ(mh_ticker, "IQ_SHARESOUTSTANDING_OUT", B1056), "")</f>
        <v/>
      </c>
      <c r="E1056" s="11">
        <f>IFERROR(_xll.ciqfunctions.udf.CIQ(mh_ticker, "IQ_CASH_EQUIV", , B1056), "")</f>
        <v/>
      </c>
      <c r="F1056" s="11">
        <f>IFERROR(_xll.ciqfunctions.udf.CIQ(mh_ticker, "IQ_ST_INVEST", , B1056), "")</f>
        <v/>
      </c>
      <c r="G1056" s="11">
        <f>IFERROR(_xll.ciqfunctions.udf.CIQ(mh_ticker, "IQ_TOTAL_DEBT_EXCL_OPER_LEASES", , B1056), "")</f>
        <v/>
      </c>
      <c r="H1056" s="11">
        <f>IFERROR(_xll.ciqfunctions.udf.CIQ(mh_ticker, "IQ_PREF_EQUITY", , B1056), "")</f>
        <v/>
      </c>
      <c r="I1056" s="11">
        <f>IFERROR(_xll.ciqfunctions.udf.CIQ(mh_ticker, "IQ_MINORITY_INTEREST", , B1056), "")</f>
        <v/>
      </c>
      <c r="J1056" s="11">
        <f>IFERROR(_xll.ciqfunctions.udf.CIQ(mh_ticker, "IQ_EQUITY_METHOD", , B1056), "")</f>
        <v/>
      </c>
      <c r="K1056" s="11">
        <f>IFERROR(_xll.ciqfunctions.udf.CIQ(mh_ticker, "IQ_LT_Mark_Securities", , B1056), "")</f>
        <v/>
      </c>
      <c r="L1056" s="12">
        <f>IFERROR(C1056*D1056, "")</f>
        <v/>
      </c>
      <c r="M1056" s="12">
        <f>IFERROR(L1056-E1056-F1056+G1056+H1056+I1056-J1056-K1056, "")</f>
        <v/>
      </c>
      <c r="N1056" s="11">
        <f>IFERROR(_xll.ciqfunctions.udf.CIQ(mh_ticker, "IQ_EBITDA_EST", IQ_NTM, B1056, , , "USD"), "")</f>
        <v/>
      </c>
      <c r="O1056" s="13">
        <f>IFERROR(M1056/N1056, "")</f>
        <v/>
      </c>
    </row>
    <row r="1057">
      <c r="B1057" s="8" t="n"/>
      <c r="C1057" s="9">
        <f>IFERROR(_xll.ciqfunctions.udf.CIQ(mh_ticker, "IQ_LASTSALEPRICE", B1057), "")</f>
        <v/>
      </c>
      <c r="D1057" s="10">
        <f>IFERROR(_xll.ciqfunctions.udf.CIQ(mh_ticker, "IQ_SHARESOUTSTANDING_OUT", B1057), "")</f>
        <v/>
      </c>
      <c r="E1057" s="11">
        <f>IFERROR(_xll.ciqfunctions.udf.CIQ(mh_ticker, "IQ_CASH_EQUIV", , B1057), "")</f>
        <v/>
      </c>
      <c r="F1057" s="11">
        <f>IFERROR(_xll.ciqfunctions.udf.CIQ(mh_ticker, "IQ_ST_INVEST", , B1057), "")</f>
        <v/>
      </c>
      <c r="G1057" s="11">
        <f>IFERROR(_xll.ciqfunctions.udf.CIQ(mh_ticker, "IQ_TOTAL_DEBT_EXCL_OPER_LEASES", , B1057), "")</f>
        <v/>
      </c>
      <c r="H1057" s="11">
        <f>IFERROR(_xll.ciqfunctions.udf.CIQ(mh_ticker, "IQ_PREF_EQUITY", , B1057), "")</f>
        <v/>
      </c>
      <c r="I1057" s="11">
        <f>IFERROR(_xll.ciqfunctions.udf.CIQ(mh_ticker, "IQ_MINORITY_INTEREST", , B1057), "")</f>
        <v/>
      </c>
      <c r="J1057" s="11">
        <f>IFERROR(_xll.ciqfunctions.udf.CIQ(mh_ticker, "IQ_EQUITY_METHOD", , B1057), "")</f>
        <v/>
      </c>
      <c r="K1057" s="11">
        <f>IFERROR(_xll.ciqfunctions.udf.CIQ(mh_ticker, "IQ_LT_Mark_Securities", , B1057), "")</f>
        <v/>
      </c>
      <c r="L1057" s="12">
        <f>IFERROR(C1057*D1057, "")</f>
        <v/>
      </c>
      <c r="M1057" s="12">
        <f>IFERROR(L1057-E1057-F1057+G1057+H1057+I1057-J1057-K1057, "")</f>
        <v/>
      </c>
      <c r="N1057" s="11">
        <f>IFERROR(_xll.ciqfunctions.udf.CIQ(mh_ticker, "IQ_EBITDA_EST", IQ_NTM, B1057, , , "USD"), "")</f>
        <v/>
      </c>
      <c r="O1057" s="13">
        <f>IFERROR(M1057/N1057, "")</f>
        <v/>
      </c>
    </row>
    <row r="1058">
      <c r="B1058" s="8" t="n"/>
      <c r="C1058" s="9">
        <f>IFERROR(_xll.ciqfunctions.udf.CIQ(mh_ticker, "IQ_LASTSALEPRICE", B1058), "")</f>
        <v/>
      </c>
      <c r="D1058" s="10">
        <f>IFERROR(_xll.ciqfunctions.udf.CIQ(mh_ticker, "IQ_SHARESOUTSTANDING_OUT", B1058), "")</f>
        <v/>
      </c>
      <c r="E1058" s="11">
        <f>IFERROR(_xll.ciqfunctions.udf.CIQ(mh_ticker, "IQ_CASH_EQUIV", , B1058), "")</f>
        <v/>
      </c>
      <c r="F1058" s="11">
        <f>IFERROR(_xll.ciqfunctions.udf.CIQ(mh_ticker, "IQ_ST_INVEST", , B1058), "")</f>
        <v/>
      </c>
      <c r="G1058" s="11">
        <f>IFERROR(_xll.ciqfunctions.udf.CIQ(mh_ticker, "IQ_TOTAL_DEBT_EXCL_OPER_LEASES", , B1058), "")</f>
        <v/>
      </c>
      <c r="H1058" s="11">
        <f>IFERROR(_xll.ciqfunctions.udf.CIQ(mh_ticker, "IQ_PREF_EQUITY", , B1058), "")</f>
        <v/>
      </c>
      <c r="I1058" s="11">
        <f>IFERROR(_xll.ciqfunctions.udf.CIQ(mh_ticker, "IQ_MINORITY_INTEREST", , B1058), "")</f>
        <v/>
      </c>
      <c r="J1058" s="11">
        <f>IFERROR(_xll.ciqfunctions.udf.CIQ(mh_ticker, "IQ_EQUITY_METHOD", , B1058), "")</f>
        <v/>
      </c>
      <c r="K1058" s="11">
        <f>IFERROR(_xll.ciqfunctions.udf.CIQ(mh_ticker, "IQ_LT_Mark_Securities", , B1058), "")</f>
        <v/>
      </c>
      <c r="L1058" s="12">
        <f>IFERROR(C1058*D1058, "")</f>
        <v/>
      </c>
      <c r="M1058" s="12">
        <f>IFERROR(L1058-E1058-F1058+G1058+H1058+I1058-J1058-K1058, "")</f>
        <v/>
      </c>
      <c r="N1058" s="11">
        <f>IFERROR(_xll.ciqfunctions.udf.CIQ(mh_ticker, "IQ_EBITDA_EST", IQ_NTM, B1058, , , "USD"), "")</f>
        <v/>
      </c>
      <c r="O1058" s="13">
        <f>IFERROR(M1058/N1058, "")</f>
        <v/>
      </c>
    </row>
    <row r="1059">
      <c r="B1059" s="8" t="n"/>
      <c r="C1059" s="9">
        <f>IFERROR(_xll.ciqfunctions.udf.CIQ(mh_ticker, "IQ_LASTSALEPRICE", B1059), "")</f>
        <v/>
      </c>
      <c r="D1059" s="10">
        <f>IFERROR(_xll.ciqfunctions.udf.CIQ(mh_ticker, "IQ_SHARESOUTSTANDING_OUT", B1059), "")</f>
        <v/>
      </c>
      <c r="E1059" s="11">
        <f>IFERROR(_xll.ciqfunctions.udf.CIQ(mh_ticker, "IQ_CASH_EQUIV", , B1059), "")</f>
        <v/>
      </c>
      <c r="F1059" s="11">
        <f>IFERROR(_xll.ciqfunctions.udf.CIQ(mh_ticker, "IQ_ST_INVEST", , B1059), "")</f>
        <v/>
      </c>
      <c r="G1059" s="11">
        <f>IFERROR(_xll.ciqfunctions.udf.CIQ(mh_ticker, "IQ_TOTAL_DEBT_EXCL_OPER_LEASES", , B1059), "")</f>
        <v/>
      </c>
      <c r="H1059" s="11">
        <f>IFERROR(_xll.ciqfunctions.udf.CIQ(mh_ticker, "IQ_PREF_EQUITY", , B1059), "")</f>
        <v/>
      </c>
      <c r="I1059" s="11">
        <f>IFERROR(_xll.ciqfunctions.udf.CIQ(mh_ticker, "IQ_MINORITY_INTEREST", , B1059), "")</f>
        <v/>
      </c>
      <c r="J1059" s="11">
        <f>IFERROR(_xll.ciqfunctions.udf.CIQ(mh_ticker, "IQ_EQUITY_METHOD", , B1059), "")</f>
        <v/>
      </c>
      <c r="K1059" s="11">
        <f>IFERROR(_xll.ciqfunctions.udf.CIQ(mh_ticker, "IQ_LT_Mark_Securities", , B1059), "")</f>
        <v/>
      </c>
      <c r="L1059" s="12">
        <f>IFERROR(C1059*D1059, "")</f>
        <v/>
      </c>
      <c r="M1059" s="12">
        <f>IFERROR(L1059-E1059-F1059+G1059+H1059+I1059-J1059-K1059, "")</f>
        <v/>
      </c>
      <c r="N1059" s="11">
        <f>IFERROR(_xll.ciqfunctions.udf.CIQ(mh_ticker, "IQ_EBITDA_EST", IQ_NTM, B1059, , , "USD"), "")</f>
        <v/>
      </c>
      <c r="O1059" s="13">
        <f>IFERROR(M1059/N1059, "")</f>
        <v/>
      </c>
    </row>
    <row r="1060">
      <c r="B1060" s="8" t="n"/>
      <c r="C1060" s="9">
        <f>IFERROR(_xll.ciqfunctions.udf.CIQ(mh_ticker, "IQ_LASTSALEPRICE", B1060), "")</f>
        <v/>
      </c>
      <c r="D1060" s="10">
        <f>IFERROR(_xll.ciqfunctions.udf.CIQ(mh_ticker, "IQ_SHARESOUTSTANDING_OUT", B1060), "")</f>
        <v/>
      </c>
      <c r="E1060" s="11">
        <f>IFERROR(_xll.ciqfunctions.udf.CIQ(mh_ticker, "IQ_CASH_EQUIV", , B1060), "")</f>
        <v/>
      </c>
      <c r="F1060" s="11">
        <f>IFERROR(_xll.ciqfunctions.udf.CIQ(mh_ticker, "IQ_ST_INVEST", , B1060), "")</f>
        <v/>
      </c>
      <c r="G1060" s="11">
        <f>IFERROR(_xll.ciqfunctions.udf.CIQ(mh_ticker, "IQ_TOTAL_DEBT_EXCL_OPER_LEASES", , B1060), "")</f>
        <v/>
      </c>
      <c r="H1060" s="11">
        <f>IFERROR(_xll.ciqfunctions.udf.CIQ(mh_ticker, "IQ_PREF_EQUITY", , B1060), "")</f>
        <v/>
      </c>
      <c r="I1060" s="11">
        <f>IFERROR(_xll.ciqfunctions.udf.CIQ(mh_ticker, "IQ_MINORITY_INTEREST", , B1060), "")</f>
        <v/>
      </c>
      <c r="J1060" s="11">
        <f>IFERROR(_xll.ciqfunctions.udf.CIQ(mh_ticker, "IQ_EQUITY_METHOD", , B1060), "")</f>
        <v/>
      </c>
      <c r="K1060" s="11">
        <f>IFERROR(_xll.ciqfunctions.udf.CIQ(mh_ticker, "IQ_LT_Mark_Securities", , B1060), "")</f>
        <v/>
      </c>
      <c r="L1060" s="12">
        <f>IFERROR(C1060*D1060, "")</f>
        <v/>
      </c>
      <c r="M1060" s="12">
        <f>IFERROR(L1060-E1060-F1060+G1060+H1060+I1060-J1060-K1060, "")</f>
        <v/>
      </c>
      <c r="N1060" s="11">
        <f>IFERROR(_xll.ciqfunctions.udf.CIQ(mh_ticker, "IQ_EBITDA_EST", IQ_NTM, B1060, , , "USD"), "")</f>
        <v/>
      </c>
      <c r="O1060" s="13">
        <f>IFERROR(M1060/N1060, "")</f>
        <v/>
      </c>
    </row>
    <row r="1061">
      <c r="B1061" s="8" t="n"/>
      <c r="C1061" s="9">
        <f>IFERROR(_xll.ciqfunctions.udf.CIQ(mh_ticker, "IQ_LASTSALEPRICE", B1061), "")</f>
        <v/>
      </c>
      <c r="D1061" s="10">
        <f>IFERROR(_xll.ciqfunctions.udf.CIQ(mh_ticker, "IQ_SHARESOUTSTANDING_OUT", B1061), "")</f>
        <v/>
      </c>
      <c r="E1061" s="11">
        <f>IFERROR(_xll.ciqfunctions.udf.CIQ(mh_ticker, "IQ_CASH_EQUIV", , B1061), "")</f>
        <v/>
      </c>
      <c r="F1061" s="11">
        <f>IFERROR(_xll.ciqfunctions.udf.CIQ(mh_ticker, "IQ_ST_INVEST", , B1061), "")</f>
        <v/>
      </c>
      <c r="G1061" s="11">
        <f>IFERROR(_xll.ciqfunctions.udf.CIQ(mh_ticker, "IQ_TOTAL_DEBT_EXCL_OPER_LEASES", , B1061), "")</f>
        <v/>
      </c>
      <c r="H1061" s="11">
        <f>IFERROR(_xll.ciqfunctions.udf.CIQ(mh_ticker, "IQ_PREF_EQUITY", , B1061), "")</f>
        <v/>
      </c>
      <c r="I1061" s="11">
        <f>IFERROR(_xll.ciqfunctions.udf.CIQ(mh_ticker, "IQ_MINORITY_INTEREST", , B1061), "")</f>
        <v/>
      </c>
      <c r="J1061" s="11">
        <f>IFERROR(_xll.ciqfunctions.udf.CIQ(mh_ticker, "IQ_EQUITY_METHOD", , B1061), "")</f>
        <v/>
      </c>
      <c r="K1061" s="11">
        <f>IFERROR(_xll.ciqfunctions.udf.CIQ(mh_ticker, "IQ_LT_Mark_Securities", , B1061), "")</f>
        <v/>
      </c>
      <c r="L1061" s="12">
        <f>IFERROR(C1061*D1061, "")</f>
        <v/>
      </c>
      <c r="M1061" s="12">
        <f>IFERROR(L1061-E1061-F1061+G1061+H1061+I1061-J1061-K1061, "")</f>
        <v/>
      </c>
      <c r="N1061" s="11">
        <f>IFERROR(_xll.ciqfunctions.udf.CIQ(mh_ticker, "IQ_EBITDA_EST", IQ_NTM, B1061, , , "USD"), "")</f>
        <v/>
      </c>
      <c r="O1061" s="13">
        <f>IFERROR(M1061/N1061, "")</f>
        <v/>
      </c>
    </row>
    <row r="1062">
      <c r="B1062" s="8" t="n"/>
      <c r="C1062" s="9">
        <f>IFERROR(_xll.ciqfunctions.udf.CIQ(mh_ticker, "IQ_LASTSALEPRICE", B1062), "")</f>
        <v/>
      </c>
      <c r="D1062" s="10">
        <f>IFERROR(_xll.ciqfunctions.udf.CIQ(mh_ticker, "IQ_SHARESOUTSTANDING_OUT", B1062), "")</f>
        <v/>
      </c>
      <c r="E1062" s="11">
        <f>IFERROR(_xll.ciqfunctions.udf.CIQ(mh_ticker, "IQ_CASH_EQUIV", , B1062), "")</f>
        <v/>
      </c>
      <c r="F1062" s="11">
        <f>IFERROR(_xll.ciqfunctions.udf.CIQ(mh_ticker, "IQ_ST_INVEST", , B1062), "")</f>
        <v/>
      </c>
      <c r="G1062" s="11">
        <f>IFERROR(_xll.ciqfunctions.udf.CIQ(mh_ticker, "IQ_TOTAL_DEBT_EXCL_OPER_LEASES", , B1062), "")</f>
        <v/>
      </c>
      <c r="H1062" s="11">
        <f>IFERROR(_xll.ciqfunctions.udf.CIQ(mh_ticker, "IQ_PREF_EQUITY", , B1062), "")</f>
        <v/>
      </c>
      <c r="I1062" s="11">
        <f>IFERROR(_xll.ciqfunctions.udf.CIQ(mh_ticker, "IQ_MINORITY_INTEREST", , B1062), "")</f>
        <v/>
      </c>
      <c r="J1062" s="11">
        <f>IFERROR(_xll.ciqfunctions.udf.CIQ(mh_ticker, "IQ_EQUITY_METHOD", , B1062), "")</f>
        <v/>
      </c>
      <c r="K1062" s="11">
        <f>IFERROR(_xll.ciqfunctions.udf.CIQ(mh_ticker, "IQ_LT_Mark_Securities", , B1062), "")</f>
        <v/>
      </c>
      <c r="L1062" s="12">
        <f>IFERROR(C1062*D1062, "")</f>
        <v/>
      </c>
      <c r="M1062" s="12">
        <f>IFERROR(L1062-E1062-F1062+G1062+H1062+I1062-J1062-K1062, "")</f>
        <v/>
      </c>
      <c r="N1062" s="11">
        <f>IFERROR(_xll.ciqfunctions.udf.CIQ(mh_ticker, "IQ_EBITDA_EST", IQ_NTM, B1062, , , "USD"), "")</f>
        <v/>
      </c>
      <c r="O1062" s="13">
        <f>IFERROR(M1062/N1062, "")</f>
        <v/>
      </c>
    </row>
    <row r="1063">
      <c r="B1063" s="8" t="n"/>
      <c r="C1063" s="9">
        <f>IFERROR(_xll.ciqfunctions.udf.CIQ(mh_ticker, "IQ_LASTSALEPRICE", B1063), "")</f>
        <v/>
      </c>
      <c r="D1063" s="10">
        <f>IFERROR(_xll.ciqfunctions.udf.CIQ(mh_ticker, "IQ_SHARESOUTSTANDING_OUT", B1063), "")</f>
        <v/>
      </c>
      <c r="E1063" s="11">
        <f>IFERROR(_xll.ciqfunctions.udf.CIQ(mh_ticker, "IQ_CASH_EQUIV", , B1063), "")</f>
        <v/>
      </c>
      <c r="F1063" s="11">
        <f>IFERROR(_xll.ciqfunctions.udf.CIQ(mh_ticker, "IQ_ST_INVEST", , B1063), "")</f>
        <v/>
      </c>
      <c r="G1063" s="11">
        <f>IFERROR(_xll.ciqfunctions.udf.CIQ(mh_ticker, "IQ_TOTAL_DEBT_EXCL_OPER_LEASES", , B1063), "")</f>
        <v/>
      </c>
      <c r="H1063" s="11">
        <f>IFERROR(_xll.ciqfunctions.udf.CIQ(mh_ticker, "IQ_PREF_EQUITY", , B1063), "")</f>
        <v/>
      </c>
      <c r="I1063" s="11">
        <f>IFERROR(_xll.ciqfunctions.udf.CIQ(mh_ticker, "IQ_MINORITY_INTEREST", , B1063), "")</f>
        <v/>
      </c>
      <c r="J1063" s="11">
        <f>IFERROR(_xll.ciqfunctions.udf.CIQ(mh_ticker, "IQ_EQUITY_METHOD", , B1063), "")</f>
        <v/>
      </c>
      <c r="K1063" s="11">
        <f>IFERROR(_xll.ciqfunctions.udf.CIQ(mh_ticker, "IQ_LT_Mark_Securities", , B1063), "")</f>
        <v/>
      </c>
      <c r="L1063" s="12">
        <f>IFERROR(C1063*D1063, "")</f>
        <v/>
      </c>
      <c r="M1063" s="12">
        <f>IFERROR(L1063-E1063-F1063+G1063+H1063+I1063-J1063-K1063, "")</f>
        <v/>
      </c>
      <c r="N1063" s="11">
        <f>IFERROR(_xll.ciqfunctions.udf.CIQ(mh_ticker, "IQ_EBITDA_EST", IQ_NTM, B1063, , , "USD"), "")</f>
        <v/>
      </c>
      <c r="O1063" s="13">
        <f>IFERROR(M1063/N1063, "")</f>
        <v/>
      </c>
    </row>
    <row r="1064">
      <c r="B1064" s="8" t="n"/>
      <c r="C1064" s="9">
        <f>IFERROR(_xll.ciqfunctions.udf.CIQ(mh_ticker, "IQ_LASTSALEPRICE", B1064), "")</f>
        <v/>
      </c>
      <c r="D1064" s="10">
        <f>IFERROR(_xll.ciqfunctions.udf.CIQ(mh_ticker, "IQ_SHARESOUTSTANDING_OUT", B1064), "")</f>
        <v/>
      </c>
      <c r="E1064" s="11">
        <f>IFERROR(_xll.ciqfunctions.udf.CIQ(mh_ticker, "IQ_CASH_EQUIV", , B1064), "")</f>
        <v/>
      </c>
      <c r="F1064" s="11">
        <f>IFERROR(_xll.ciqfunctions.udf.CIQ(mh_ticker, "IQ_ST_INVEST", , B1064), "")</f>
        <v/>
      </c>
      <c r="G1064" s="11">
        <f>IFERROR(_xll.ciqfunctions.udf.CIQ(mh_ticker, "IQ_TOTAL_DEBT_EXCL_OPER_LEASES", , B1064), "")</f>
        <v/>
      </c>
      <c r="H1064" s="11">
        <f>IFERROR(_xll.ciqfunctions.udf.CIQ(mh_ticker, "IQ_PREF_EQUITY", , B1064), "")</f>
        <v/>
      </c>
      <c r="I1064" s="11">
        <f>IFERROR(_xll.ciqfunctions.udf.CIQ(mh_ticker, "IQ_MINORITY_INTEREST", , B1064), "")</f>
        <v/>
      </c>
      <c r="J1064" s="11">
        <f>IFERROR(_xll.ciqfunctions.udf.CIQ(mh_ticker, "IQ_EQUITY_METHOD", , B1064), "")</f>
        <v/>
      </c>
      <c r="K1064" s="11">
        <f>IFERROR(_xll.ciqfunctions.udf.CIQ(mh_ticker, "IQ_LT_Mark_Securities", , B1064), "")</f>
        <v/>
      </c>
      <c r="L1064" s="12">
        <f>IFERROR(C1064*D1064, "")</f>
        <v/>
      </c>
      <c r="M1064" s="12">
        <f>IFERROR(L1064-E1064-F1064+G1064+H1064+I1064-J1064-K1064, "")</f>
        <v/>
      </c>
      <c r="N1064" s="11">
        <f>IFERROR(_xll.ciqfunctions.udf.CIQ(mh_ticker, "IQ_EBITDA_EST", IQ_NTM, B1064, , , "USD"), "")</f>
        <v/>
      </c>
      <c r="O1064" s="13">
        <f>IFERROR(M1064/N1064, "")</f>
        <v/>
      </c>
    </row>
    <row r="1065">
      <c r="B1065" s="8" t="n"/>
      <c r="C1065" s="9">
        <f>IFERROR(_xll.ciqfunctions.udf.CIQ(mh_ticker, "IQ_LASTSALEPRICE", B1065), "")</f>
        <v/>
      </c>
      <c r="D1065" s="10">
        <f>IFERROR(_xll.ciqfunctions.udf.CIQ(mh_ticker, "IQ_SHARESOUTSTANDING_OUT", B1065), "")</f>
        <v/>
      </c>
      <c r="E1065" s="11">
        <f>IFERROR(_xll.ciqfunctions.udf.CIQ(mh_ticker, "IQ_CASH_EQUIV", , B1065), "")</f>
        <v/>
      </c>
      <c r="F1065" s="11">
        <f>IFERROR(_xll.ciqfunctions.udf.CIQ(mh_ticker, "IQ_ST_INVEST", , B1065), "")</f>
        <v/>
      </c>
      <c r="G1065" s="11">
        <f>IFERROR(_xll.ciqfunctions.udf.CIQ(mh_ticker, "IQ_TOTAL_DEBT_EXCL_OPER_LEASES", , B1065), "")</f>
        <v/>
      </c>
      <c r="H1065" s="11">
        <f>IFERROR(_xll.ciqfunctions.udf.CIQ(mh_ticker, "IQ_PREF_EQUITY", , B1065), "")</f>
        <v/>
      </c>
      <c r="I1065" s="11">
        <f>IFERROR(_xll.ciqfunctions.udf.CIQ(mh_ticker, "IQ_MINORITY_INTEREST", , B1065), "")</f>
        <v/>
      </c>
      <c r="J1065" s="11">
        <f>IFERROR(_xll.ciqfunctions.udf.CIQ(mh_ticker, "IQ_EQUITY_METHOD", , B1065), "")</f>
        <v/>
      </c>
      <c r="K1065" s="11">
        <f>IFERROR(_xll.ciqfunctions.udf.CIQ(mh_ticker, "IQ_LT_Mark_Securities", , B1065), "")</f>
        <v/>
      </c>
      <c r="L1065" s="12">
        <f>IFERROR(C1065*D1065, "")</f>
        <v/>
      </c>
      <c r="M1065" s="12">
        <f>IFERROR(L1065-E1065-F1065+G1065+H1065+I1065-J1065-K1065, "")</f>
        <v/>
      </c>
      <c r="N1065" s="11">
        <f>IFERROR(_xll.ciqfunctions.udf.CIQ(mh_ticker, "IQ_EBITDA_EST", IQ_NTM, B1065, , , "USD"), "")</f>
        <v/>
      </c>
      <c r="O1065" s="13">
        <f>IFERROR(M1065/N1065, "")</f>
        <v/>
      </c>
    </row>
    <row r="1066">
      <c r="B1066" s="8" t="n"/>
      <c r="C1066" s="9">
        <f>IFERROR(_xll.ciqfunctions.udf.CIQ(mh_ticker, "IQ_LASTSALEPRICE", B1066), "")</f>
        <v/>
      </c>
      <c r="D1066" s="10">
        <f>IFERROR(_xll.ciqfunctions.udf.CIQ(mh_ticker, "IQ_SHARESOUTSTANDING_OUT", B1066), "")</f>
        <v/>
      </c>
      <c r="E1066" s="11">
        <f>IFERROR(_xll.ciqfunctions.udf.CIQ(mh_ticker, "IQ_CASH_EQUIV", , B1066), "")</f>
        <v/>
      </c>
      <c r="F1066" s="11">
        <f>IFERROR(_xll.ciqfunctions.udf.CIQ(mh_ticker, "IQ_ST_INVEST", , B1066), "")</f>
        <v/>
      </c>
      <c r="G1066" s="11">
        <f>IFERROR(_xll.ciqfunctions.udf.CIQ(mh_ticker, "IQ_TOTAL_DEBT_EXCL_OPER_LEASES", , B1066), "")</f>
        <v/>
      </c>
      <c r="H1066" s="11">
        <f>IFERROR(_xll.ciqfunctions.udf.CIQ(mh_ticker, "IQ_PREF_EQUITY", , B1066), "")</f>
        <v/>
      </c>
      <c r="I1066" s="11">
        <f>IFERROR(_xll.ciqfunctions.udf.CIQ(mh_ticker, "IQ_MINORITY_INTEREST", , B1066), "")</f>
        <v/>
      </c>
      <c r="J1066" s="11">
        <f>IFERROR(_xll.ciqfunctions.udf.CIQ(mh_ticker, "IQ_EQUITY_METHOD", , B1066), "")</f>
        <v/>
      </c>
      <c r="K1066" s="11">
        <f>IFERROR(_xll.ciqfunctions.udf.CIQ(mh_ticker, "IQ_LT_Mark_Securities", , B1066), "")</f>
        <v/>
      </c>
      <c r="L1066" s="12">
        <f>IFERROR(C1066*D1066, "")</f>
        <v/>
      </c>
      <c r="M1066" s="12">
        <f>IFERROR(L1066-E1066-F1066+G1066+H1066+I1066-J1066-K1066, "")</f>
        <v/>
      </c>
      <c r="N1066" s="11">
        <f>IFERROR(_xll.ciqfunctions.udf.CIQ(mh_ticker, "IQ_EBITDA_EST", IQ_NTM, B1066, , , "USD"), "")</f>
        <v/>
      </c>
      <c r="O1066" s="13">
        <f>IFERROR(M1066/N1066, "")</f>
        <v/>
      </c>
    </row>
    <row r="1067">
      <c r="B1067" s="8" t="n"/>
      <c r="C1067" s="9">
        <f>IFERROR(_xll.ciqfunctions.udf.CIQ(mh_ticker, "IQ_LASTSALEPRICE", B1067), "")</f>
        <v/>
      </c>
      <c r="D1067" s="10">
        <f>IFERROR(_xll.ciqfunctions.udf.CIQ(mh_ticker, "IQ_SHARESOUTSTANDING_OUT", B1067), "")</f>
        <v/>
      </c>
      <c r="E1067" s="11">
        <f>IFERROR(_xll.ciqfunctions.udf.CIQ(mh_ticker, "IQ_CASH_EQUIV", , B1067), "")</f>
        <v/>
      </c>
      <c r="F1067" s="11">
        <f>IFERROR(_xll.ciqfunctions.udf.CIQ(mh_ticker, "IQ_ST_INVEST", , B1067), "")</f>
        <v/>
      </c>
      <c r="G1067" s="11">
        <f>IFERROR(_xll.ciqfunctions.udf.CIQ(mh_ticker, "IQ_TOTAL_DEBT_EXCL_OPER_LEASES", , B1067), "")</f>
        <v/>
      </c>
      <c r="H1067" s="11">
        <f>IFERROR(_xll.ciqfunctions.udf.CIQ(mh_ticker, "IQ_PREF_EQUITY", , B1067), "")</f>
        <v/>
      </c>
      <c r="I1067" s="11">
        <f>IFERROR(_xll.ciqfunctions.udf.CIQ(mh_ticker, "IQ_MINORITY_INTEREST", , B1067), "")</f>
        <v/>
      </c>
      <c r="J1067" s="11">
        <f>IFERROR(_xll.ciqfunctions.udf.CIQ(mh_ticker, "IQ_EQUITY_METHOD", , B1067), "")</f>
        <v/>
      </c>
      <c r="K1067" s="11">
        <f>IFERROR(_xll.ciqfunctions.udf.CIQ(mh_ticker, "IQ_LT_Mark_Securities", , B1067), "")</f>
        <v/>
      </c>
      <c r="L1067" s="12">
        <f>IFERROR(C1067*D1067, "")</f>
        <v/>
      </c>
      <c r="M1067" s="12">
        <f>IFERROR(L1067-E1067-F1067+G1067+H1067+I1067-J1067-K1067, "")</f>
        <v/>
      </c>
      <c r="N1067" s="11">
        <f>IFERROR(_xll.ciqfunctions.udf.CIQ(mh_ticker, "IQ_EBITDA_EST", IQ_NTM, B1067, , , "USD"), "")</f>
        <v/>
      </c>
      <c r="O1067" s="13">
        <f>IFERROR(M1067/N1067, "")</f>
        <v/>
      </c>
    </row>
    <row r="1068">
      <c r="B1068" s="8" t="n"/>
      <c r="C1068" s="9">
        <f>IFERROR(_xll.ciqfunctions.udf.CIQ(mh_ticker, "IQ_LASTSALEPRICE", B1068), "")</f>
        <v/>
      </c>
      <c r="D1068" s="10">
        <f>IFERROR(_xll.ciqfunctions.udf.CIQ(mh_ticker, "IQ_SHARESOUTSTANDING_OUT", B1068), "")</f>
        <v/>
      </c>
      <c r="E1068" s="11">
        <f>IFERROR(_xll.ciqfunctions.udf.CIQ(mh_ticker, "IQ_CASH_EQUIV", , B1068), "")</f>
        <v/>
      </c>
      <c r="F1068" s="11">
        <f>IFERROR(_xll.ciqfunctions.udf.CIQ(mh_ticker, "IQ_ST_INVEST", , B1068), "")</f>
        <v/>
      </c>
      <c r="G1068" s="11">
        <f>IFERROR(_xll.ciqfunctions.udf.CIQ(mh_ticker, "IQ_TOTAL_DEBT_EXCL_OPER_LEASES", , B1068), "")</f>
        <v/>
      </c>
      <c r="H1068" s="11">
        <f>IFERROR(_xll.ciqfunctions.udf.CIQ(mh_ticker, "IQ_PREF_EQUITY", , B1068), "")</f>
        <v/>
      </c>
      <c r="I1068" s="11">
        <f>IFERROR(_xll.ciqfunctions.udf.CIQ(mh_ticker, "IQ_MINORITY_INTEREST", , B1068), "")</f>
        <v/>
      </c>
      <c r="J1068" s="11">
        <f>IFERROR(_xll.ciqfunctions.udf.CIQ(mh_ticker, "IQ_EQUITY_METHOD", , B1068), "")</f>
        <v/>
      </c>
      <c r="K1068" s="11">
        <f>IFERROR(_xll.ciqfunctions.udf.CIQ(mh_ticker, "IQ_LT_Mark_Securities", , B1068), "")</f>
        <v/>
      </c>
      <c r="L1068" s="12">
        <f>IFERROR(C1068*D1068, "")</f>
        <v/>
      </c>
      <c r="M1068" s="12">
        <f>IFERROR(L1068-E1068-F1068+G1068+H1068+I1068-J1068-K1068, "")</f>
        <v/>
      </c>
      <c r="N1068" s="11">
        <f>IFERROR(_xll.ciqfunctions.udf.CIQ(mh_ticker, "IQ_EBITDA_EST", IQ_NTM, B1068, , , "USD"), "")</f>
        <v/>
      </c>
      <c r="O1068" s="13">
        <f>IFERROR(M1068/N1068, "")</f>
        <v/>
      </c>
    </row>
    <row r="1069">
      <c r="B1069" s="8" t="n"/>
      <c r="C1069" s="9">
        <f>IFERROR(_xll.ciqfunctions.udf.CIQ(mh_ticker, "IQ_LASTSALEPRICE", B1069), "")</f>
        <v/>
      </c>
      <c r="D1069" s="10">
        <f>IFERROR(_xll.ciqfunctions.udf.CIQ(mh_ticker, "IQ_SHARESOUTSTANDING_OUT", B1069), "")</f>
        <v/>
      </c>
      <c r="E1069" s="11">
        <f>IFERROR(_xll.ciqfunctions.udf.CIQ(mh_ticker, "IQ_CASH_EQUIV", , B1069), "")</f>
        <v/>
      </c>
      <c r="F1069" s="11">
        <f>IFERROR(_xll.ciqfunctions.udf.CIQ(mh_ticker, "IQ_ST_INVEST", , B1069), "")</f>
        <v/>
      </c>
      <c r="G1069" s="11">
        <f>IFERROR(_xll.ciqfunctions.udf.CIQ(mh_ticker, "IQ_TOTAL_DEBT_EXCL_OPER_LEASES", , B1069), "")</f>
        <v/>
      </c>
      <c r="H1069" s="11">
        <f>IFERROR(_xll.ciqfunctions.udf.CIQ(mh_ticker, "IQ_PREF_EQUITY", , B1069), "")</f>
        <v/>
      </c>
      <c r="I1069" s="11">
        <f>IFERROR(_xll.ciqfunctions.udf.CIQ(mh_ticker, "IQ_MINORITY_INTEREST", , B1069), "")</f>
        <v/>
      </c>
      <c r="J1069" s="11">
        <f>IFERROR(_xll.ciqfunctions.udf.CIQ(mh_ticker, "IQ_EQUITY_METHOD", , B1069), "")</f>
        <v/>
      </c>
      <c r="K1069" s="11">
        <f>IFERROR(_xll.ciqfunctions.udf.CIQ(mh_ticker, "IQ_LT_Mark_Securities", , B1069), "")</f>
        <v/>
      </c>
      <c r="L1069" s="12">
        <f>IFERROR(C1069*D1069, "")</f>
        <v/>
      </c>
      <c r="M1069" s="12">
        <f>IFERROR(L1069-E1069-F1069+G1069+H1069+I1069-J1069-K1069, "")</f>
        <v/>
      </c>
      <c r="N1069" s="11">
        <f>IFERROR(_xll.ciqfunctions.udf.CIQ(mh_ticker, "IQ_EBITDA_EST", IQ_NTM, B1069, , , "USD"), "")</f>
        <v/>
      </c>
      <c r="O1069" s="13">
        <f>IFERROR(M1069/N1069, "")</f>
        <v/>
      </c>
    </row>
    <row r="1070">
      <c r="B1070" s="8" t="n"/>
      <c r="C1070" s="9">
        <f>IFERROR(_xll.ciqfunctions.udf.CIQ(mh_ticker, "IQ_LASTSALEPRICE", B1070), "")</f>
        <v/>
      </c>
      <c r="D1070" s="10">
        <f>IFERROR(_xll.ciqfunctions.udf.CIQ(mh_ticker, "IQ_SHARESOUTSTANDING_OUT", B1070), "")</f>
        <v/>
      </c>
      <c r="E1070" s="11">
        <f>IFERROR(_xll.ciqfunctions.udf.CIQ(mh_ticker, "IQ_CASH_EQUIV", , B1070), "")</f>
        <v/>
      </c>
      <c r="F1070" s="11">
        <f>IFERROR(_xll.ciqfunctions.udf.CIQ(mh_ticker, "IQ_ST_INVEST", , B1070), "")</f>
        <v/>
      </c>
      <c r="G1070" s="11">
        <f>IFERROR(_xll.ciqfunctions.udf.CIQ(mh_ticker, "IQ_TOTAL_DEBT_EXCL_OPER_LEASES", , B1070), "")</f>
        <v/>
      </c>
      <c r="H1070" s="11">
        <f>IFERROR(_xll.ciqfunctions.udf.CIQ(mh_ticker, "IQ_PREF_EQUITY", , B1070), "")</f>
        <v/>
      </c>
      <c r="I1070" s="11">
        <f>IFERROR(_xll.ciqfunctions.udf.CIQ(mh_ticker, "IQ_MINORITY_INTEREST", , B1070), "")</f>
        <v/>
      </c>
      <c r="J1070" s="11">
        <f>IFERROR(_xll.ciqfunctions.udf.CIQ(mh_ticker, "IQ_EQUITY_METHOD", , B1070), "")</f>
        <v/>
      </c>
      <c r="K1070" s="11">
        <f>IFERROR(_xll.ciqfunctions.udf.CIQ(mh_ticker, "IQ_LT_Mark_Securities", , B1070), "")</f>
        <v/>
      </c>
      <c r="L1070" s="12">
        <f>IFERROR(C1070*D1070, "")</f>
        <v/>
      </c>
      <c r="M1070" s="12">
        <f>IFERROR(L1070-E1070-F1070+G1070+H1070+I1070-J1070-K1070, "")</f>
        <v/>
      </c>
      <c r="N1070" s="11">
        <f>IFERROR(_xll.ciqfunctions.udf.CIQ(mh_ticker, "IQ_EBITDA_EST", IQ_NTM, B1070, , , "USD"), "")</f>
        <v/>
      </c>
      <c r="O1070" s="13">
        <f>IFERROR(M1070/N1070, "")</f>
        <v/>
      </c>
    </row>
    <row r="1071">
      <c r="B1071" s="8" t="n"/>
      <c r="C1071" s="9">
        <f>IFERROR(_xll.ciqfunctions.udf.CIQ(mh_ticker, "IQ_LASTSALEPRICE", B1071), "")</f>
        <v/>
      </c>
      <c r="D1071" s="10">
        <f>IFERROR(_xll.ciqfunctions.udf.CIQ(mh_ticker, "IQ_SHARESOUTSTANDING_OUT", B1071), "")</f>
        <v/>
      </c>
      <c r="E1071" s="11">
        <f>IFERROR(_xll.ciqfunctions.udf.CIQ(mh_ticker, "IQ_CASH_EQUIV", , B1071), "")</f>
        <v/>
      </c>
      <c r="F1071" s="11">
        <f>IFERROR(_xll.ciqfunctions.udf.CIQ(mh_ticker, "IQ_ST_INVEST", , B1071), "")</f>
        <v/>
      </c>
      <c r="G1071" s="11">
        <f>IFERROR(_xll.ciqfunctions.udf.CIQ(mh_ticker, "IQ_TOTAL_DEBT_EXCL_OPER_LEASES", , B1071), "")</f>
        <v/>
      </c>
      <c r="H1071" s="11">
        <f>IFERROR(_xll.ciqfunctions.udf.CIQ(mh_ticker, "IQ_PREF_EQUITY", , B1071), "")</f>
        <v/>
      </c>
      <c r="I1071" s="11">
        <f>IFERROR(_xll.ciqfunctions.udf.CIQ(mh_ticker, "IQ_MINORITY_INTEREST", , B1071), "")</f>
        <v/>
      </c>
      <c r="J1071" s="11">
        <f>IFERROR(_xll.ciqfunctions.udf.CIQ(mh_ticker, "IQ_EQUITY_METHOD", , B1071), "")</f>
        <v/>
      </c>
      <c r="K1071" s="11">
        <f>IFERROR(_xll.ciqfunctions.udf.CIQ(mh_ticker, "IQ_LT_Mark_Securities", , B1071), "")</f>
        <v/>
      </c>
      <c r="L1071" s="12">
        <f>IFERROR(C1071*D1071, "")</f>
        <v/>
      </c>
      <c r="M1071" s="12">
        <f>IFERROR(L1071-E1071-F1071+G1071+H1071+I1071-J1071-K1071, "")</f>
        <v/>
      </c>
      <c r="N1071" s="11">
        <f>IFERROR(_xll.ciqfunctions.udf.CIQ(mh_ticker, "IQ_EBITDA_EST", IQ_NTM, B1071, , , "USD"), "")</f>
        <v/>
      </c>
      <c r="O1071" s="13">
        <f>IFERROR(M1071/N1071, "")</f>
        <v/>
      </c>
    </row>
    <row r="1072">
      <c r="B1072" s="8" t="n"/>
      <c r="C1072" s="9">
        <f>IFERROR(_xll.ciqfunctions.udf.CIQ(mh_ticker, "IQ_LASTSALEPRICE", B1072), "")</f>
        <v/>
      </c>
      <c r="D1072" s="10">
        <f>IFERROR(_xll.ciqfunctions.udf.CIQ(mh_ticker, "IQ_SHARESOUTSTANDING_OUT", B1072), "")</f>
        <v/>
      </c>
      <c r="E1072" s="11">
        <f>IFERROR(_xll.ciqfunctions.udf.CIQ(mh_ticker, "IQ_CASH_EQUIV", , B1072), "")</f>
        <v/>
      </c>
      <c r="F1072" s="11">
        <f>IFERROR(_xll.ciqfunctions.udf.CIQ(mh_ticker, "IQ_ST_INVEST", , B1072), "")</f>
        <v/>
      </c>
      <c r="G1072" s="11">
        <f>IFERROR(_xll.ciqfunctions.udf.CIQ(mh_ticker, "IQ_TOTAL_DEBT_EXCL_OPER_LEASES", , B1072), "")</f>
        <v/>
      </c>
      <c r="H1072" s="11">
        <f>IFERROR(_xll.ciqfunctions.udf.CIQ(mh_ticker, "IQ_PREF_EQUITY", , B1072), "")</f>
        <v/>
      </c>
      <c r="I1072" s="11">
        <f>IFERROR(_xll.ciqfunctions.udf.CIQ(mh_ticker, "IQ_MINORITY_INTEREST", , B1072), "")</f>
        <v/>
      </c>
      <c r="J1072" s="11">
        <f>IFERROR(_xll.ciqfunctions.udf.CIQ(mh_ticker, "IQ_EQUITY_METHOD", , B1072), "")</f>
        <v/>
      </c>
      <c r="K1072" s="11">
        <f>IFERROR(_xll.ciqfunctions.udf.CIQ(mh_ticker, "IQ_LT_Mark_Securities", , B1072), "")</f>
        <v/>
      </c>
      <c r="L1072" s="12">
        <f>IFERROR(C1072*D1072, "")</f>
        <v/>
      </c>
      <c r="M1072" s="12">
        <f>IFERROR(L1072-E1072-F1072+G1072+H1072+I1072-J1072-K1072, "")</f>
        <v/>
      </c>
      <c r="N1072" s="11">
        <f>IFERROR(_xll.ciqfunctions.udf.CIQ(mh_ticker, "IQ_EBITDA_EST", IQ_NTM, B1072, , , "USD"), "")</f>
        <v/>
      </c>
      <c r="O1072" s="13">
        <f>IFERROR(M1072/N1072, "")</f>
        <v/>
      </c>
    </row>
    <row r="1073">
      <c r="B1073" s="8" t="n"/>
      <c r="C1073" s="9">
        <f>IFERROR(_xll.ciqfunctions.udf.CIQ(mh_ticker, "IQ_LASTSALEPRICE", B1073), "")</f>
        <v/>
      </c>
      <c r="D1073" s="10">
        <f>IFERROR(_xll.ciqfunctions.udf.CIQ(mh_ticker, "IQ_SHARESOUTSTANDING_OUT", B1073), "")</f>
        <v/>
      </c>
      <c r="E1073" s="11">
        <f>IFERROR(_xll.ciqfunctions.udf.CIQ(mh_ticker, "IQ_CASH_EQUIV", , B1073), "")</f>
        <v/>
      </c>
      <c r="F1073" s="11">
        <f>IFERROR(_xll.ciqfunctions.udf.CIQ(mh_ticker, "IQ_ST_INVEST", , B1073), "")</f>
        <v/>
      </c>
      <c r="G1073" s="11">
        <f>IFERROR(_xll.ciqfunctions.udf.CIQ(mh_ticker, "IQ_TOTAL_DEBT_EXCL_OPER_LEASES", , B1073), "")</f>
        <v/>
      </c>
      <c r="H1073" s="11">
        <f>IFERROR(_xll.ciqfunctions.udf.CIQ(mh_ticker, "IQ_PREF_EQUITY", , B1073), "")</f>
        <v/>
      </c>
      <c r="I1073" s="11">
        <f>IFERROR(_xll.ciqfunctions.udf.CIQ(mh_ticker, "IQ_MINORITY_INTEREST", , B1073), "")</f>
        <v/>
      </c>
      <c r="J1073" s="11">
        <f>IFERROR(_xll.ciqfunctions.udf.CIQ(mh_ticker, "IQ_EQUITY_METHOD", , B1073), "")</f>
        <v/>
      </c>
      <c r="K1073" s="11">
        <f>IFERROR(_xll.ciqfunctions.udf.CIQ(mh_ticker, "IQ_LT_Mark_Securities", , B1073), "")</f>
        <v/>
      </c>
      <c r="L1073" s="12">
        <f>IFERROR(C1073*D1073, "")</f>
        <v/>
      </c>
      <c r="M1073" s="12">
        <f>IFERROR(L1073-E1073-F1073+G1073+H1073+I1073-J1073-K1073, "")</f>
        <v/>
      </c>
      <c r="N1073" s="11">
        <f>IFERROR(_xll.ciqfunctions.udf.CIQ(mh_ticker, "IQ_EBITDA_EST", IQ_NTM, B1073, , , "USD"), "")</f>
        <v/>
      </c>
      <c r="O1073" s="13">
        <f>IFERROR(M1073/N1073, "")</f>
        <v/>
      </c>
    </row>
    <row r="1074">
      <c r="B1074" s="8" t="n"/>
      <c r="C1074" s="9">
        <f>IFERROR(_xll.ciqfunctions.udf.CIQ(mh_ticker, "IQ_LASTSALEPRICE", B1074), "")</f>
        <v/>
      </c>
      <c r="D1074" s="10">
        <f>IFERROR(_xll.ciqfunctions.udf.CIQ(mh_ticker, "IQ_SHARESOUTSTANDING_OUT", B1074), "")</f>
        <v/>
      </c>
      <c r="E1074" s="11">
        <f>IFERROR(_xll.ciqfunctions.udf.CIQ(mh_ticker, "IQ_CASH_EQUIV", , B1074), "")</f>
        <v/>
      </c>
      <c r="F1074" s="11">
        <f>IFERROR(_xll.ciqfunctions.udf.CIQ(mh_ticker, "IQ_ST_INVEST", , B1074), "")</f>
        <v/>
      </c>
      <c r="G1074" s="11">
        <f>IFERROR(_xll.ciqfunctions.udf.CIQ(mh_ticker, "IQ_TOTAL_DEBT_EXCL_OPER_LEASES", , B1074), "")</f>
        <v/>
      </c>
      <c r="H1074" s="11">
        <f>IFERROR(_xll.ciqfunctions.udf.CIQ(mh_ticker, "IQ_PREF_EQUITY", , B1074), "")</f>
        <v/>
      </c>
      <c r="I1074" s="11">
        <f>IFERROR(_xll.ciqfunctions.udf.CIQ(mh_ticker, "IQ_MINORITY_INTEREST", , B1074), "")</f>
        <v/>
      </c>
      <c r="J1074" s="11">
        <f>IFERROR(_xll.ciqfunctions.udf.CIQ(mh_ticker, "IQ_EQUITY_METHOD", , B1074), "")</f>
        <v/>
      </c>
      <c r="K1074" s="11">
        <f>IFERROR(_xll.ciqfunctions.udf.CIQ(mh_ticker, "IQ_LT_Mark_Securities", , B1074), "")</f>
        <v/>
      </c>
      <c r="L1074" s="12">
        <f>IFERROR(C1074*D1074, "")</f>
        <v/>
      </c>
      <c r="M1074" s="12">
        <f>IFERROR(L1074-E1074-F1074+G1074+H1074+I1074-J1074-K1074, "")</f>
        <v/>
      </c>
      <c r="N1074" s="11">
        <f>IFERROR(_xll.ciqfunctions.udf.CIQ(mh_ticker, "IQ_EBITDA_EST", IQ_NTM, B1074, , , "USD"), "")</f>
        <v/>
      </c>
      <c r="O1074" s="13">
        <f>IFERROR(M1074/N1074, "")</f>
        <v/>
      </c>
    </row>
    <row r="1075">
      <c r="B1075" s="8" t="n"/>
      <c r="C1075" s="9">
        <f>IFERROR(_xll.ciqfunctions.udf.CIQ(mh_ticker, "IQ_LASTSALEPRICE", B1075), "")</f>
        <v/>
      </c>
      <c r="D1075" s="10">
        <f>IFERROR(_xll.ciqfunctions.udf.CIQ(mh_ticker, "IQ_SHARESOUTSTANDING_OUT", B1075), "")</f>
        <v/>
      </c>
      <c r="E1075" s="11">
        <f>IFERROR(_xll.ciqfunctions.udf.CIQ(mh_ticker, "IQ_CASH_EQUIV", , B1075), "")</f>
        <v/>
      </c>
      <c r="F1075" s="11">
        <f>IFERROR(_xll.ciqfunctions.udf.CIQ(mh_ticker, "IQ_ST_INVEST", , B1075), "")</f>
        <v/>
      </c>
      <c r="G1075" s="11">
        <f>IFERROR(_xll.ciqfunctions.udf.CIQ(mh_ticker, "IQ_TOTAL_DEBT_EXCL_OPER_LEASES", , B1075), "")</f>
        <v/>
      </c>
      <c r="H1075" s="11">
        <f>IFERROR(_xll.ciqfunctions.udf.CIQ(mh_ticker, "IQ_PREF_EQUITY", , B1075), "")</f>
        <v/>
      </c>
      <c r="I1075" s="11">
        <f>IFERROR(_xll.ciqfunctions.udf.CIQ(mh_ticker, "IQ_MINORITY_INTEREST", , B1075), "")</f>
        <v/>
      </c>
      <c r="J1075" s="11">
        <f>IFERROR(_xll.ciqfunctions.udf.CIQ(mh_ticker, "IQ_EQUITY_METHOD", , B1075), "")</f>
        <v/>
      </c>
      <c r="K1075" s="11">
        <f>IFERROR(_xll.ciqfunctions.udf.CIQ(mh_ticker, "IQ_LT_Mark_Securities", , B1075), "")</f>
        <v/>
      </c>
      <c r="L1075" s="12">
        <f>IFERROR(C1075*D1075, "")</f>
        <v/>
      </c>
      <c r="M1075" s="12">
        <f>IFERROR(L1075-E1075-F1075+G1075+H1075+I1075-J1075-K1075, "")</f>
        <v/>
      </c>
      <c r="N1075" s="11">
        <f>IFERROR(_xll.ciqfunctions.udf.CIQ(mh_ticker, "IQ_EBITDA_EST", IQ_NTM, B1075, , , "USD"), "")</f>
        <v/>
      </c>
      <c r="O1075" s="13">
        <f>IFERROR(M1075/N1075, "")</f>
        <v/>
      </c>
    </row>
    <row r="1076">
      <c r="B1076" s="8" t="n"/>
      <c r="C1076" s="9">
        <f>IFERROR(_xll.ciqfunctions.udf.CIQ(mh_ticker, "IQ_LASTSALEPRICE", B1076), "")</f>
        <v/>
      </c>
      <c r="D1076" s="10">
        <f>IFERROR(_xll.ciqfunctions.udf.CIQ(mh_ticker, "IQ_SHARESOUTSTANDING_OUT", B1076), "")</f>
        <v/>
      </c>
      <c r="E1076" s="11">
        <f>IFERROR(_xll.ciqfunctions.udf.CIQ(mh_ticker, "IQ_CASH_EQUIV", , B1076), "")</f>
        <v/>
      </c>
      <c r="F1076" s="11">
        <f>IFERROR(_xll.ciqfunctions.udf.CIQ(mh_ticker, "IQ_ST_INVEST", , B1076), "")</f>
        <v/>
      </c>
      <c r="G1076" s="11">
        <f>IFERROR(_xll.ciqfunctions.udf.CIQ(mh_ticker, "IQ_TOTAL_DEBT_EXCL_OPER_LEASES", , B1076), "")</f>
        <v/>
      </c>
      <c r="H1076" s="11">
        <f>IFERROR(_xll.ciqfunctions.udf.CIQ(mh_ticker, "IQ_PREF_EQUITY", , B1076), "")</f>
        <v/>
      </c>
      <c r="I1076" s="11">
        <f>IFERROR(_xll.ciqfunctions.udf.CIQ(mh_ticker, "IQ_MINORITY_INTEREST", , B1076), "")</f>
        <v/>
      </c>
      <c r="J1076" s="11">
        <f>IFERROR(_xll.ciqfunctions.udf.CIQ(mh_ticker, "IQ_EQUITY_METHOD", , B1076), "")</f>
        <v/>
      </c>
      <c r="K1076" s="11">
        <f>IFERROR(_xll.ciqfunctions.udf.CIQ(mh_ticker, "IQ_LT_Mark_Securities", , B1076), "")</f>
        <v/>
      </c>
      <c r="L1076" s="12">
        <f>IFERROR(C1076*D1076, "")</f>
        <v/>
      </c>
      <c r="M1076" s="12">
        <f>IFERROR(L1076-E1076-F1076+G1076+H1076+I1076-J1076-K1076, "")</f>
        <v/>
      </c>
      <c r="N1076" s="11">
        <f>IFERROR(_xll.ciqfunctions.udf.CIQ(mh_ticker, "IQ_EBITDA_EST", IQ_NTM, B1076, , , "USD"), "")</f>
        <v/>
      </c>
      <c r="O1076" s="13">
        <f>IFERROR(M1076/N1076, "")</f>
        <v/>
      </c>
    </row>
    <row r="1077">
      <c r="B1077" s="8" t="n"/>
      <c r="C1077" s="9">
        <f>IFERROR(_xll.ciqfunctions.udf.CIQ(mh_ticker, "IQ_LASTSALEPRICE", B1077), "")</f>
        <v/>
      </c>
      <c r="D1077" s="10">
        <f>IFERROR(_xll.ciqfunctions.udf.CIQ(mh_ticker, "IQ_SHARESOUTSTANDING_OUT", B1077), "")</f>
        <v/>
      </c>
      <c r="E1077" s="11">
        <f>IFERROR(_xll.ciqfunctions.udf.CIQ(mh_ticker, "IQ_CASH_EQUIV", , B1077), "")</f>
        <v/>
      </c>
      <c r="F1077" s="11">
        <f>IFERROR(_xll.ciqfunctions.udf.CIQ(mh_ticker, "IQ_ST_INVEST", , B1077), "")</f>
        <v/>
      </c>
      <c r="G1077" s="11">
        <f>IFERROR(_xll.ciqfunctions.udf.CIQ(mh_ticker, "IQ_TOTAL_DEBT_EXCL_OPER_LEASES", , B1077), "")</f>
        <v/>
      </c>
      <c r="H1077" s="11">
        <f>IFERROR(_xll.ciqfunctions.udf.CIQ(mh_ticker, "IQ_PREF_EQUITY", , B1077), "")</f>
        <v/>
      </c>
      <c r="I1077" s="11">
        <f>IFERROR(_xll.ciqfunctions.udf.CIQ(mh_ticker, "IQ_MINORITY_INTEREST", , B1077), "")</f>
        <v/>
      </c>
      <c r="J1077" s="11">
        <f>IFERROR(_xll.ciqfunctions.udf.CIQ(mh_ticker, "IQ_EQUITY_METHOD", , B1077), "")</f>
        <v/>
      </c>
      <c r="K1077" s="11">
        <f>IFERROR(_xll.ciqfunctions.udf.CIQ(mh_ticker, "IQ_LT_Mark_Securities", , B1077), "")</f>
        <v/>
      </c>
      <c r="L1077" s="12">
        <f>IFERROR(C1077*D1077, "")</f>
        <v/>
      </c>
      <c r="M1077" s="12">
        <f>IFERROR(L1077-E1077-F1077+G1077+H1077+I1077-J1077-K1077, "")</f>
        <v/>
      </c>
      <c r="N1077" s="11">
        <f>IFERROR(_xll.ciqfunctions.udf.CIQ(mh_ticker, "IQ_EBITDA_EST", IQ_NTM, B1077, , , "USD"), "")</f>
        <v/>
      </c>
      <c r="O1077" s="13">
        <f>IFERROR(M1077/N1077, "")</f>
        <v/>
      </c>
    </row>
    <row r="1078">
      <c r="B1078" s="8" t="n"/>
      <c r="C1078" s="9">
        <f>IFERROR(_xll.ciqfunctions.udf.CIQ(mh_ticker, "IQ_LASTSALEPRICE", B1078), "")</f>
        <v/>
      </c>
      <c r="D1078" s="10">
        <f>IFERROR(_xll.ciqfunctions.udf.CIQ(mh_ticker, "IQ_SHARESOUTSTANDING_OUT", B1078), "")</f>
        <v/>
      </c>
      <c r="E1078" s="11">
        <f>IFERROR(_xll.ciqfunctions.udf.CIQ(mh_ticker, "IQ_CASH_EQUIV", , B1078), "")</f>
        <v/>
      </c>
      <c r="F1078" s="11">
        <f>IFERROR(_xll.ciqfunctions.udf.CIQ(mh_ticker, "IQ_ST_INVEST", , B1078), "")</f>
        <v/>
      </c>
      <c r="G1078" s="11">
        <f>IFERROR(_xll.ciqfunctions.udf.CIQ(mh_ticker, "IQ_TOTAL_DEBT_EXCL_OPER_LEASES", , B1078), "")</f>
        <v/>
      </c>
      <c r="H1078" s="11">
        <f>IFERROR(_xll.ciqfunctions.udf.CIQ(mh_ticker, "IQ_PREF_EQUITY", , B1078), "")</f>
        <v/>
      </c>
      <c r="I1078" s="11">
        <f>IFERROR(_xll.ciqfunctions.udf.CIQ(mh_ticker, "IQ_MINORITY_INTEREST", , B1078), "")</f>
        <v/>
      </c>
      <c r="J1078" s="11">
        <f>IFERROR(_xll.ciqfunctions.udf.CIQ(mh_ticker, "IQ_EQUITY_METHOD", , B1078), "")</f>
        <v/>
      </c>
      <c r="K1078" s="11">
        <f>IFERROR(_xll.ciqfunctions.udf.CIQ(mh_ticker, "IQ_LT_Mark_Securities", , B1078), "")</f>
        <v/>
      </c>
      <c r="L1078" s="12">
        <f>IFERROR(C1078*D1078, "")</f>
        <v/>
      </c>
      <c r="M1078" s="12">
        <f>IFERROR(L1078-E1078-F1078+G1078+H1078+I1078-J1078-K1078, "")</f>
        <v/>
      </c>
      <c r="N1078" s="11">
        <f>IFERROR(_xll.ciqfunctions.udf.CIQ(mh_ticker, "IQ_EBITDA_EST", IQ_NTM, B1078, , , "USD"), "")</f>
        <v/>
      </c>
      <c r="O1078" s="13">
        <f>IFERROR(M1078/N1078, "")</f>
        <v/>
      </c>
    </row>
    <row r="1079">
      <c r="B1079" s="8" t="n"/>
      <c r="C1079" s="9">
        <f>IFERROR(_xll.ciqfunctions.udf.CIQ(mh_ticker, "IQ_LASTSALEPRICE", B1079), "")</f>
        <v/>
      </c>
      <c r="D1079" s="10">
        <f>IFERROR(_xll.ciqfunctions.udf.CIQ(mh_ticker, "IQ_SHARESOUTSTANDING_OUT", B1079), "")</f>
        <v/>
      </c>
      <c r="E1079" s="11">
        <f>IFERROR(_xll.ciqfunctions.udf.CIQ(mh_ticker, "IQ_CASH_EQUIV", , B1079), "")</f>
        <v/>
      </c>
      <c r="F1079" s="11">
        <f>IFERROR(_xll.ciqfunctions.udf.CIQ(mh_ticker, "IQ_ST_INVEST", , B1079), "")</f>
        <v/>
      </c>
      <c r="G1079" s="11">
        <f>IFERROR(_xll.ciqfunctions.udf.CIQ(mh_ticker, "IQ_TOTAL_DEBT_EXCL_OPER_LEASES", , B1079), "")</f>
        <v/>
      </c>
      <c r="H1079" s="11">
        <f>IFERROR(_xll.ciqfunctions.udf.CIQ(mh_ticker, "IQ_PREF_EQUITY", , B1079), "")</f>
        <v/>
      </c>
      <c r="I1079" s="11">
        <f>IFERROR(_xll.ciqfunctions.udf.CIQ(mh_ticker, "IQ_MINORITY_INTEREST", , B1079), "")</f>
        <v/>
      </c>
      <c r="J1079" s="11">
        <f>IFERROR(_xll.ciqfunctions.udf.CIQ(mh_ticker, "IQ_EQUITY_METHOD", , B1079), "")</f>
        <v/>
      </c>
      <c r="K1079" s="11">
        <f>IFERROR(_xll.ciqfunctions.udf.CIQ(mh_ticker, "IQ_LT_Mark_Securities", , B1079), "")</f>
        <v/>
      </c>
      <c r="L1079" s="12">
        <f>IFERROR(C1079*D1079, "")</f>
        <v/>
      </c>
      <c r="M1079" s="12">
        <f>IFERROR(L1079-E1079-F1079+G1079+H1079+I1079-J1079-K1079, "")</f>
        <v/>
      </c>
      <c r="N1079" s="11">
        <f>IFERROR(_xll.ciqfunctions.udf.CIQ(mh_ticker, "IQ_EBITDA_EST", IQ_NTM, B1079, , , "USD"), "")</f>
        <v/>
      </c>
      <c r="O1079" s="13">
        <f>IFERROR(M1079/N1079, "")</f>
        <v/>
      </c>
    </row>
    <row r="1080">
      <c r="B1080" s="8" t="n"/>
      <c r="C1080" s="9">
        <f>IFERROR(_xll.ciqfunctions.udf.CIQ(mh_ticker, "IQ_LASTSALEPRICE", B1080), "")</f>
        <v/>
      </c>
      <c r="D1080" s="10">
        <f>IFERROR(_xll.ciqfunctions.udf.CIQ(mh_ticker, "IQ_SHARESOUTSTANDING_OUT", B1080), "")</f>
        <v/>
      </c>
      <c r="E1080" s="11">
        <f>IFERROR(_xll.ciqfunctions.udf.CIQ(mh_ticker, "IQ_CASH_EQUIV", , B1080), "")</f>
        <v/>
      </c>
      <c r="F1080" s="11">
        <f>IFERROR(_xll.ciqfunctions.udf.CIQ(mh_ticker, "IQ_ST_INVEST", , B1080), "")</f>
        <v/>
      </c>
      <c r="G1080" s="11">
        <f>IFERROR(_xll.ciqfunctions.udf.CIQ(mh_ticker, "IQ_TOTAL_DEBT_EXCL_OPER_LEASES", , B1080), "")</f>
        <v/>
      </c>
      <c r="H1080" s="11">
        <f>IFERROR(_xll.ciqfunctions.udf.CIQ(mh_ticker, "IQ_PREF_EQUITY", , B1080), "")</f>
        <v/>
      </c>
      <c r="I1080" s="11">
        <f>IFERROR(_xll.ciqfunctions.udf.CIQ(mh_ticker, "IQ_MINORITY_INTEREST", , B1080), "")</f>
        <v/>
      </c>
      <c r="J1080" s="11">
        <f>IFERROR(_xll.ciqfunctions.udf.CIQ(mh_ticker, "IQ_EQUITY_METHOD", , B1080), "")</f>
        <v/>
      </c>
      <c r="K1080" s="11">
        <f>IFERROR(_xll.ciqfunctions.udf.CIQ(mh_ticker, "IQ_LT_Mark_Securities", , B1080), "")</f>
        <v/>
      </c>
      <c r="L1080" s="12">
        <f>IFERROR(C1080*D1080, "")</f>
        <v/>
      </c>
      <c r="M1080" s="12">
        <f>IFERROR(L1080-E1080-F1080+G1080+H1080+I1080-J1080-K1080, "")</f>
        <v/>
      </c>
      <c r="N1080" s="11">
        <f>IFERROR(_xll.ciqfunctions.udf.CIQ(mh_ticker, "IQ_EBITDA_EST", IQ_NTM, B1080, , , "USD"), "")</f>
        <v/>
      </c>
      <c r="O1080" s="13">
        <f>IFERROR(M1080/N1080, "")</f>
        <v/>
      </c>
    </row>
    <row r="1081">
      <c r="B1081" s="8" t="n"/>
      <c r="C1081" s="9">
        <f>IFERROR(_xll.ciqfunctions.udf.CIQ(mh_ticker, "IQ_LASTSALEPRICE", B1081), "")</f>
        <v/>
      </c>
      <c r="D1081" s="10">
        <f>IFERROR(_xll.ciqfunctions.udf.CIQ(mh_ticker, "IQ_SHARESOUTSTANDING_OUT", B1081), "")</f>
        <v/>
      </c>
      <c r="E1081" s="11">
        <f>IFERROR(_xll.ciqfunctions.udf.CIQ(mh_ticker, "IQ_CASH_EQUIV", , B1081), "")</f>
        <v/>
      </c>
      <c r="F1081" s="11">
        <f>IFERROR(_xll.ciqfunctions.udf.CIQ(mh_ticker, "IQ_ST_INVEST", , B1081), "")</f>
        <v/>
      </c>
      <c r="G1081" s="11">
        <f>IFERROR(_xll.ciqfunctions.udf.CIQ(mh_ticker, "IQ_TOTAL_DEBT_EXCL_OPER_LEASES", , B1081), "")</f>
        <v/>
      </c>
      <c r="H1081" s="11">
        <f>IFERROR(_xll.ciqfunctions.udf.CIQ(mh_ticker, "IQ_PREF_EQUITY", , B1081), "")</f>
        <v/>
      </c>
      <c r="I1081" s="11">
        <f>IFERROR(_xll.ciqfunctions.udf.CIQ(mh_ticker, "IQ_MINORITY_INTEREST", , B1081), "")</f>
        <v/>
      </c>
      <c r="J1081" s="11">
        <f>IFERROR(_xll.ciqfunctions.udf.CIQ(mh_ticker, "IQ_EQUITY_METHOD", , B1081), "")</f>
        <v/>
      </c>
      <c r="K1081" s="11">
        <f>IFERROR(_xll.ciqfunctions.udf.CIQ(mh_ticker, "IQ_LT_Mark_Securities", , B1081), "")</f>
        <v/>
      </c>
      <c r="L1081" s="12">
        <f>IFERROR(C1081*D1081, "")</f>
        <v/>
      </c>
      <c r="M1081" s="12">
        <f>IFERROR(L1081-E1081-F1081+G1081+H1081+I1081-J1081-K1081, "")</f>
        <v/>
      </c>
      <c r="N1081" s="11">
        <f>IFERROR(_xll.ciqfunctions.udf.CIQ(mh_ticker, "IQ_EBITDA_EST", IQ_NTM, B1081, , , "USD"), "")</f>
        <v/>
      </c>
      <c r="O1081" s="13">
        <f>IFERROR(M1081/N1081, "")</f>
        <v/>
      </c>
    </row>
    <row r="1082">
      <c r="B1082" s="8" t="n"/>
      <c r="C1082" s="9">
        <f>IFERROR(_xll.ciqfunctions.udf.CIQ(mh_ticker, "IQ_LASTSALEPRICE", B1082), "")</f>
        <v/>
      </c>
      <c r="D1082" s="10">
        <f>IFERROR(_xll.ciqfunctions.udf.CIQ(mh_ticker, "IQ_SHARESOUTSTANDING_OUT", B1082), "")</f>
        <v/>
      </c>
      <c r="E1082" s="11">
        <f>IFERROR(_xll.ciqfunctions.udf.CIQ(mh_ticker, "IQ_CASH_EQUIV", , B1082), "")</f>
        <v/>
      </c>
      <c r="F1082" s="11">
        <f>IFERROR(_xll.ciqfunctions.udf.CIQ(mh_ticker, "IQ_ST_INVEST", , B1082), "")</f>
        <v/>
      </c>
      <c r="G1082" s="11">
        <f>IFERROR(_xll.ciqfunctions.udf.CIQ(mh_ticker, "IQ_TOTAL_DEBT_EXCL_OPER_LEASES", , B1082), "")</f>
        <v/>
      </c>
      <c r="H1082" s="11">
        <f>IFERROR(_xll.ciqfunctions.udf.CIQ(mh_ticker, "IQ_PREF_EQUITY", , B1082), "")</f>
        <v/>
      </c>
      <c r="I1082" s="11">
        <f>IFERROR(_xll.ciqfunctions.udf.CIQ(mh_ticker, "IQ_MINORITY_INTEREST", , B1082), "")</f>
        <v/>
      </c>
      <c r="J1082" s="11">
        <f>IFERROR(_xll.ciqfunctions.udf.CIQ(mh_ticker, "IQ_EQUITY_METHOD", , B1082), "")</f>
        <v/>
      </c>
      <c r="K1082" s="11">
        <f>IFERROR(_xll.ciqfunctions.udf.CIQ(mh_ticker, "IQ_LT_Mark_Securities", , B1082), "")</f>
        <v/>
      </c>
      <c r="L1082" s="12">
        <f>IFERROR(C1082*D1082, "")</f>
        <v/>
      </c>
      <c r="M1082" s="12">
        <f>IFERROR(L1082-E1082-F1082+G1082+H1082+I1082-J1082-K1082, "")</f>
        <v/>
      </c>
      <c r="N1082" s="11">
        <f>IFERROR(_xll.ciqfunctions.udf.CIQ(mh_ticker, "IQ_EBITDA_EST", IQ_NTM, B1082, , , "USD"), "")</f>
        <v/>
      </c>
      <c r="O1082" s="13">
        <f>IFERROR(M1082/N1082, "")</f>
        <v/>
      </c>
    </row>
    <row r="1083">
      <c r="B1083" s="8" t="n"/>
      <c r="C1083" s="9">
        <f>IFERROR(_xll.ciqfunctions.udf.CIQ(mh_ticker, "IQ_LASTSALEPRICE", B1083), "")</f>
        <v/>
      </c>
      <c r="D1083" s="10">
        <f>IFERROR(_xll.ciqfunctions.udf.CIQ(mh_ticker, "IQ_SHARESOUTSTANDING_OUT", B1083), "")</f>
        <v/>
      </c>
      <c r="E1083" s="11">
        <f>IFERROR(_xll.ciqfunctions.udf.CIQ(mh_ticker, "IQ_CASH_EQUIV", , B1083), "")</f>
        <v/>
      </c>
      <c r="F1083" s="11">
        <f>IFERROR(_xll.ciqfunctions.udf.CIQ(mh_ticker, "IQ_ST_INVEST", , B1083), "")</f>
        <v/>
      </c>
      <c r="G1083" s="11">
        <f>IFERROR(_xll.ciqfunctions.udf.CIQ(mh_ticker, "IQ_TOTAL_DEBT_EXCL_OPER_LEASES", , B1083), "")</f>
        <v/>
      </c>
      <c r="H1083" s="11">
        <f>IFERROR(_xll.ciqfunctions.udf.CIQ(mh_ticker, "IQ_PREF_EQUITY", , B1083), "")</f>
        <v/>
      </c>
      <c r="I1083" s="11">
        <f>IFERROR(_xll.ciqfunctions.udf.CIQ(mh_ticker, "IQ_MINORITY_INTEREST", , B1083), "")</f>
        <v/>
      </c>
      <c r="J1083" s="11">
        <f>IFERROR(_xll.ciqfunctions.udf.CIQ(mh_ticker, "IQ_EQUITY_METHOD", , B1083), "")</f>
        <v/>
      </c>
      <c r="K1083" s="11">
        <f>IFERROR(_xll.ciqfunctions.udf.CIQ(mh_ticker, "IQ_LT_Mark_Securities", , B1083), "")</f>
        <v/>
      </c>
      <c r="L1083" s="12">
        <f>IFERROR(C1083*D1083, "")</f>
        <v/>
      </c>
      <c r="M1083" s="12">
        <f>IFERROR(L1083-E1083-F1083+G1083+H1083+I1083-J1083-K1083, "")</f>
        <v/>
      </c>
      <c r="N1083" s="11">
        <f>IFERROR(_xll.ciqfunctions.udf.CIQ(mh_ticker, "IQ_EBITDA_EST", IQ_NTM, B1083, , , "USD"), "")</f>
        <v/>
      </c>
      <c r="O1083" s="13">
        <f>IFERROR(M1083/N1083, "")</f>
        <v/>
      </c>
    </row>
    <row r="1084">
      <c r="B1084" s="8" t="n"/>
      <c r="C1084" s="9">
        <f>IFERROR(_xll.ciqfunctions.udf.CIQ(mh_ticker, "IQ_LASTSALEPRICE", B1084), "")</f>
        <v/>
      </c>
      <c r="D1084" s="10">
        <f>IFERROR(_xll.ciqfunctions.udf.CIQ(mh_ticker, "IQ_SHARESOUTSTANDING_OUT", B1084), "")</f>
        <v/>
      </c>
      <c r="E1084" s="11">
        <f>IFERROR(_xll.ciqfunctions.udf.CIQ(mh_ticker, "IQ_CASH_EQUIV", , B1084), "")</f>
        <v/>
      </c>
      <c r="F1084" s="11">
        <f>IFERROR(_xll.ciqfunctions.udf.CIQ(mh_ticker, "IQ_ST_INVEST", , B1084), "")</f>
        <v/>
      </c>
      <c r="G1084" s="11">
        <f>IFERROR(_xll.ciqfunctions.udf.CIQ(mh_ticker, "IQ_TOTAL_DEBT_EXCL_OPER_LEASES", , B1084), "")</f>
        <v/>
      </c>
      <c r="H1084" s="11">
        <f>IFERROR(_xll.ciqfunctions.udf.CIQ(mh_ticker, "IQ_PREF_EQUITY", , B1084), "")</f>
        <v/>
      </c>
      <c r="I1084" s="11">
        <f>IFERROR(_xll.ciqfunctions.udf.CIQ(mh_ticker, "IQ_MINORITY_INTEREST", , B1084), "")</f>
        <v/>
      </c>
      <c r="J1084" s="11">
        <f>IFERROR(_xll.ciqfunctions.udf.CIQ(mh_ticker, "IQ_EQUITY_METHOD", , B1084), "")</f>
        <v/>
      </c>
      <c r="K1084" s="11">
        <f>IFERROR(_xll.ciqfunctions.udf.CIQ(mh_ticker, "IQ_LT_Mark_Securities", , B1084), "")</f>
        <v/>
      </c>
      <c r="L1084" s="12">
        <f>IFERROR(C1084*D1084, "")</f>
        <v/>
      </c>
      <c r="M1084" s="12">
        <f>IFERROR(L1084-E1084-F1084+G1084+H1084+I1084-J1084-K1084, "")</f>
        <v/>
      </c>
      <c r="N1084" s="11">
        <f>IFERROR(_xll.ciqfunctions.udf.CIQ(mh_ticker, "IQ_EBITDA_EST", IQ_NTM, B1084, , , "USD"), "")</f>
        <v/>
      </c>
      <c r="O1084" s="13">
        <f>IFERROR(M1084/N1084, "")</f>
        <v/>
      </c>
    </row>
    <row r="1085">
      <c r="B1085" s="8" t="n"/>
      <c r="C1085" s="9">
        <f>IFERROR(_xll.ciqfunctions.udf.CIQ(mh_ticker, "IQ_LASTSALEPRICE", B1085), "")</f>
        <v/>
      </c>
      <c r="D1085" s="10">
        <f>IFERROR(_xll.ciqfunctions.udf.CIQ(mh_ticker, "IQ_SHARESOUTSTANDING_OUT", B1085), "")</f>
        <v/>
      </c>
      <c r="E1085" s="11">
        <f>IFERROR(_xll.ciqfunctions.udf.CIQ(mh_ticker, "IQ_CASH_EQUIV", , B1085), "")</f>
        <v/>
      </c>
      <c r="F1085" s="11">
        <f>IFERROR(_xll.ciqfunctions.udf.CIQ(mh_ticker, "IQ_ST_INVEST", , B1085), "")</f>
        <v/>
      </c>
      <c r="G1085" s="11">
        <f>IFERROR(_xll.ciqfunctions.udf.CIQ(mh_ticker, "IQ_TOTAL_DEBT_EXCL_OPER_LEASES", , B1085), "")</f>
        <v/>
      </c>
      <c r="H1085" s="11">
        <f>IFERROR(_xll.ciqfunctions.udf.CIQ(mh_ticker, "IQ_PREF_EQUITY", , B1085), "")</f>
        <v/>
      </c>
      <c r="I1085" s="11">
        <f>IFERROR(_xll.ciqfunctions.udf.CIQ(mh_ticker, "IQ_MINORITY_INTEREST", , B1085), "")</f>
        <v/>
      </c>
      <c r="J1085" s="11">
        <f>IFERROR(_xll.ciqfunctions.udf.CIQ(mh_ticker, "IQ_EQUITY_METHOD", , B1085), "")</f>
        <v/>
      </c>
      <c r="K1085" s="11">
        <f>IFERROR(_xll.ciqfunctions.udf.CIQ(mh_ticker, "IQ_LT_Mark_Securities", , B1085), "")</f>
        <v/>
      </c>
      <c r="L1085" s="12">
        <f>IFERROR(C1085*D1085, "")</f>
        <v/>
      </c>
      <c r="M1085" s="12">
        <f>IFERROR(L1085-E1085-F1085+G1085+H1085+I1085-J1085-K1085, "")</f>
        <v/>
      </c>
      <c r="N1085" s="11">
        <f>IFERROR(_xll.ciqfunctions.udf.CIQ(mh_ticker, "IQ_EBITDA_EST", IQ_NTM, B1085, , , "USD"), "")</f>
        <v/>
      </c>
      <c r="O1085" s="13">
        <f>IFERROR(M1085/N1085, "")</f>
        <v/>
      </c>
    </row>
    <row r="1086">
      <c r="B1086" s="8" t="n"/>
      <c r="C1086" s="9">
        <f>IFERROR(_xll.ciqfunctions.udf.CIQ(mh_ticker, "IQ_LASTSALEPRICE", B1086), "")</f>
        <v/>
      </c>
      <c r="D1086" s="10">
        <f>IFERROR(_xll.ciqfunctions.udf.CIQ(mh_ticker, "IQ_SHARESOUTSTANDING_OUT", B1086), "")</f>
        <v/>
      </c>
      <c r="E1086" s="11">
        <f>IFERROR(_xll.ciqfunctions.udf.CIQ(mh_ticker, "IQ_CASH_EQUIV", , B1086), "")</f>
        <v/>
      </c>
      <c r="F1086" s="11">
        <f>IFERROR(_xll.ciqfunctions.udf.CIQ(mh_ticker, "IQ_ST_INVEST", , B1086), "")</f>
        <v/>
      </c>
      <c r="G1086" s="11">
        <f>IFERROR(_xll.ciqfunctions.udf.CIQ(mh_ticker, "IQ_TOTAL_DEBT_EXCL_OPER_LEASES", , B1086), "")</f>
        <v/>
      </c>
      <c r="H1086" s="11">
        <f>IFERROR(_xll.ciqfunctions.udf.CIQ(mh_ticker, "IQ_PREF_EQUITY", , B1086), "")</f>
        <v/>
      </c>
      <c r="I1086" s="11">
        <f>IFERROR(_xll.ciqfunctions.udf.CIQ(mh_ticker, "IQ_MINORITY_INTEREST", , B1086), "")</f>
        <v/>
      </c>
      <c r="J1086" s="11">
        <f>IFERROR(_xll.ciqfunctions.udf.CIQ(mh_ticker, "IQ_EQUITY_METHOD", , B1086), "")</f>
        <v/>
      </c>
      <c r="K1086" s="11">
        <f>IFERROR(_xll.ciqfunctions.udf.CIQ(mh_ticker, "IQ_LT_Mark_Securities", , B1086), "")</f>
        <v/>
      </c>
      <c r="L1086" s="12">
        <f>IFERROR(C1086*D1086, "")</f>
        <v/>
      </c>
      <c r="M1086" s="12">
        <f>IFERROR(L1086-E1086-F1086+G1086+H1086+I1086-J1086-K1086, "")</f>
        <v/>
      </c>
      <c r="N1086" s="11">
        <f>IFERROR(_xll.ciqfunctions.udf.CIQ(mh_ticker, "IQ_EBITDA_EST", IQ_NTM, B1086, , , "USD"), "")</f>
        <v/>
      </c>
      <c r="O1086" s="13">
        <f>IFERROR(M1086/N1086, "")</f>
        <v/>
      </c>
    </row>
    <row r="1087">
      <c r="B1087" s="8" t="n"/>
      <c r="C1087" s="9">
        <f>IFERROR(_xll.ciqfunctions.udf.CIQ(mh_ticker, "IQ_LASTSALEPRICE", B1087), "")</f>
        <v/>
      </c>
      <c r="D1087" s="10">
        <f>IFERROR(_xll.ciqfunctions.udf.CIQ(mh_ticker, "IQ_SHARESOUTSTANDING_OUT", B1087), "")</f>
        <v/>
      </c>
      <c r="E1087" s="11">
        <f>IFERROR(_xll.ciqfunctions.udf.CIQ(mh_ticker, "IQ_CASH_EQUIV", , B1087), "")</f>
        <v/>
      </c>
      <c r="F1087" s="11">
        <f>IFERROR(_xll.ciqfunctions.udf.CIQ(mh_ticker, "IQ_ST_INVEST", , B1087), "")</f>
        <v/>
      </c>
      <c r="G1087" s="11">
        <f>IFERROR(_xll.ciqfunctions.udf.CIQ(mh_ticker, "IQ_TOTAL_DEBT_EXCL_OPER_LEASES", , B1087), "")</f>
        <v/>
      </c>
      <c r="H1087" s="11">
        <f>IFERROR(_xll.ciqfunctions.udf.CIQ(mh_ticker, "IQ_PREF_EQUITY", , B1087), "")</f>
        <v/>
      </c>
      <c r="I1087" s="11">
        <f>IFERROR(_xll.ciqfunctions.udf.CIQ(mh_ticker, "IQ_MINORITY_INTEREST", , B1087), "")</f>
        <v/>
      </c>
      <c r="J1087" s="11">
        <f>IFERROR(_xll.ciqfunctions.udf.CIQ(mh_ticker, "IQ_EQUITY_METHOD", , B1087), "")</f>
        <v/>
      </c>
      <c r="K1087" s="11">
        <f>IFERROR(_xll.ciqfunctions.udf.CIQ(mh_ticker, "IQ_LT_Mark_Securities", , B1087), "")</f>
        <v/>
      </c>
      <c r="L1087" s="12">
        <f>IFERROR(C1087*D1087, "")</f>
        <v/>
      </c>
      <c r="M1087" s="12">
        <f>IFERROR(L1087-E1087-F1087+G1087+H1087+I1087-J1087-K1087, "")</f>
        <v/>
      </c>
      <c r="N1087" s="11">
        <f>IFERROR(_xll.ciqfunctions.udf.CIQ(mh_ticker, "IQ_EBITDA_EST", IQ_NTM, B1087, , , "USD"), "")</f>
        <v/>
      </c>
      <c r="O1087" s="13">
        <f>IFERROR(M1087/N1087, "")</f>
        <v/>
      </c>
    </row>
    <row r="1088">
      <c r="B1088" s="8" t="n"/>
      <c r="C1088" s="9">
        <f>IFERROR(_xll.ciqfunctions.udf.CIQ(mh_ticker, "IQ_LASTSALEPRICE", B1088), "")</f>
        <v/>
      </c>
      <c r="D1088" s="10">
        <f>IFERROR(_xll.ciqfunctions.udf.CIQ(mh_ticker, "IQ_SHARESOUTSTANDING_OUT", B1088), "")</f>
        <v/>
      </c>
      <c r="E1088" s="11">
        <f>IFERROR(_xll.ciqfunctions.udf.CIQ(mh_ticker, "IQ_CASH_EQUIV", , B1088), "")</f>
        <v/>
      </c>
      <c r="F1088" s="11">
        <f>IFERROR(_xll.ciqfunctions.udf.CIQ(mh_ticker, "IQ_ST_INVEST", , B1088), "")</f>
        <v/>
      </c>
      <c r="G1088" s="11">
        <f>IFERROR(_xll.ciqfunctions.udf.CIQ(mh_ticker, "IQ_TOTAL_DEBT_EXCL_OPER_LEASES", , B1088), "")</f>
        <v/>
      </c>
      <c r="H1088" s="11">
        <f>IFERROR(_xll.ciqfunctions.udf.CIQ(mh_ticker, "IQ_PREF_EQUITY", , B1088), "")</f>
        <v/>
      </c>
      <c r="I1088" s="11">
        <f>IFERROR(_xll.ciqfunctions.udf.CIQ(mh_ticker, "IQ_MINORITY_INTEREST", , B1088), "")</f>
        <v/>
      </c>
      <c r="J1088" s="11">
        <f>IFERROR(_xll.ciqfunctions.udf.CIQ(mh_ticker, "IQ_EQUITY_METHOD", , B1088), "")</f>
        <v/>
      </c>
      <c r="K1088" s="11">
        <f>IFERROR(_xll.ciqfunctions.udf.CIQ(mh_ticker, "IQ_LT_Mark_Securities", , B1088), "")</f>
        <v/>
      </c>
      <c r="L1088" s="12">
        <f>IFERROR(C1088*D1088, "")</f>
        <v/>
      </c>
      <c r="M1088" s="12">
        <f>IFERROR(L1088-E1088-F1088+G1088+H1088+I1088-J1088-K1088, "")</f>
        <v/>
      </c>
      <c r="N1088" s="11">
        <f>IFERROR(_xll.ciqfunctions.udf.CIQ(mh_ticker, "IQ_EBITDA_EST", IQ_NTM, B1088, , , "USD"), "")</f>
        <v/>
      </c>
      <c r="O1088" s="13">
        <f>IFERROR(M1088/N1088, "")</f>
        <v/>
      </c>
    </row>
    <row r="1089">
      <c r="B1089" s="8" t="n"/>
      <c r="C1089" s="9">
        <f>IFERROR(_xll.ciqfunctions.udf.CIQ(mh_ticker, "IQ_LASTSALEPRICE", B1089), "")</f>
        <v/>
      </c>
      <c r="D1089" s="10">
        <f>IFERROR(_xll.ciqfunctions.udf.CIQ(mh_ticker, "IQ_SHARESOUTSTANDING_OUT", B1089), "")</f>
        <v/>
      </c>
      <c r="E1089" s="11">
        <f>IFERROR(_xll.ciqfunctions.udf.CIQ(mh_ticker, "IQ_CASH_EQUIV", , B1089), "")</f>
        <v/>
      </c>
      <c r="F1089" s="11">
        <f>IFERROR(_xll.ciqfunctions.udf.CIQ(mh_ticker, "IQ_ST_INVEST", , B1089), "")</f>
        <v/>
      </c>
      <c r="G1089" s="11">
        <f>IFERROR(_xll.ciqfunctions.udf.CIQ(mh_ticker, "IQ_TOTAL_DEBT_EXCL_OPER_LEASES", , B1089), "")</f>
        <v/>
      </c>
      <c r="H1089" s="11">
        <f>IFERROR(_xll.ciqfunctions.udf.CIQ(mh_ticker, "IQ_PREF_EQUITY", , B1089), "")</f>
        <v/>
      </c>
      <c r="I1089" s="11">
        <f>IFERROR(_xll.ciqfunctions.udf.CIQ(mh_ticker, "IQ_MINORITY_INTEREST", , B1089), "")</f>
        <v/>
      </c>
      <c r="J1089" s="11">
        <f>IFERROR(_xll.ciqfunctions.udf.CIQ(mh_ticker, "IQ_EQUITY_METHOD", , B1089), "")</f>
        <v/>
      </c>
      <c r="K1089" s="11">
        <f>IFERROR(_xll.ciqfunctions.udf.CIQ(mh_ticker, "IQ_LT_Mark_Securities", , B1089), "")</f>
        <v/>
      </c>
      <c r="L1089" s="12">
        <f>IFERROR(C1089*D1089, "")</f>
        <v/>
      </c>
      <c r="M1089" s="12">
        <f>IFERROR(L1089-E1089-F1089+G1089+H1089+I1089-J1089-K1089, "")</f>
        <v/>
      </c>
      <c r="N1089" s="11">
        <f>IFERROR(_xll.ciqfunctions.udf.CIQ(mh_ticker, "IQ_EBITDA_EST", IQ_NTM, B1089, , , "USD"), "")</f>
        <v/>
      </c>
      <c r="O1089" s="13">
        <f>IFERROR(M1089/N1089, "")</f>
        <v/>
      </c>
    </row>
    <row r="1090">
      <c r="B1090" s="8" t="n"/>
      <c r="C1090" s="9">
        <f>IFERROR(_xll.ciqfunctions.udf.CIQ(mh_ticker, "IQ_LASTSALEPRICE", B1090), "")</f>
        <v/>
      </c>
      <c r="D1090" s="10">
        <f>IFERROR(_xll.ciqfunctions.udf.CIQ(mh_ticker, "IQ_SHARESOUTSTANDING_OUT", B1090), "")</f>
        <v/>
      </c>
      <c r="E1090" s="11">
        <f>IFERROR(_xll.ciqfunctions.udf.CIQ(mh_ticker, "IQ_CASH_EQUIV", , B1090), "")</f>
        <v/>
      </c>
      <c r="F1090" s="11">
        <f>IFERROR(_xll.ciqfunctions.udf.CIQ(mh_ticker, "IQ_ST_INVEST", , B1090), "")</f>
        <v/>
      </c>
      <c r="G1090" s="11">
        <f>IFERROR(_xll.ciqfunctions.udf.CIQ(mh_ticker, "IQ_TOTAL_DEBT_EXCL_OPER_LEASES", , B1090), "")</f>
        <v/>
      </c>
      <c r="H1090" s="11">
        <f>IFERROR(_xll.ciqfunctions.udf.CIQ(mh_ticker, "IQ_PREF_EQUITY", , B1090), "")</f>
        <v/>
      </c>
      <c r="I1090" s="11">
        <f>IFERROR(_xll.ciqfunctions.udf.CIQ(mh_ticker, "IQ_MINORITY_INTEREST", , B1090), "")</f>
        <v/>
      </c>
      <c r="J1090" s="11">
        <f>IFERROR(_xll.ciqfunctions.udf.CIQ(mh_ticker, "IQ_EQUITY_METHOD", , B1090), "")</f>
        <v/>
      </c>
      <c r="K1090" s="11">
        <f>IFERROR(_xll.ciqfunctions.udf.CIQ(mh_ticker, "IQ_LT_Mark_Securities", , B1090), "")</f>
        <v/>
      </c>
      <c r="L1090" s="12">
        <f>IFERROR(C1090*D1090, "")</f>
        <v/>
      </c>
      <c r="M1090" s="12">
        <f>IFERROR(L1090-E1090-F1090+G1090+H1090+I1090-J1090-K1090, "")</f>
        <v/>
      </c>
      <c r="N1090" s="11">
        <f>IFERROR(_xll.ciqfunctions.udf.CIQ(mh_ticker, "IQ_EBITDA_EST", IQ_NTM, B1090, , , "USD"), "")</f>
        <v/>
      </c>
      <c r="O1090" s="13">
        <f>IFERROR(M1090/N1090, "")</f>
        <v/>
      </c>
    </row>
    <row r="1091">
      <c r="B1091" s="8" t="n"/>
      <c r="C1091" s="9">
        <f>IFERROR(_xll.ciqfunctions.udf.CIQ(mh_ticker, "IQ_LASTSALEPRICE", B1091), "")</f>
        <v/>
      </c>
      <c r="D1091" s="10">
        <f>IFERROR(_xll.ciqfunctions.udf.CIQ(mh_ticker, "IQ_SHARESOUTSTANDING_OUT", B1091), "")</f>
        <v/>
      </c>
      <c r="E1091" s="11">
        <f>IFERROR(_xll.ciqfunctions.udf.CIQ(mh_ticker, "IQ_CASH_EQUIV", , B1091), "")</f>
        <v/>
      </c>
      <c r="F1091" s="11">
        <f>IFERROR(_xll.ciqfunctions.udf.CIQ(mh_ticker, "IQ_ST_INVEST", , B1091), "")</f>
        <v/>
      </c>
      <c r="G1091" s="11">
        <f>IFERROR(_xll.ciqfunctions.udf.CIQ(mh_ticker, "IQ_TOTAL_DEBT_EXCL_OPER_LEASES", , B1091), "")</f>
        <v/>
      </c>
      <c r="H1091" s="11">
        <f>IFERROR(_xll.ciqfunctions.udf.CIQ(mh_ticker, "IQ_PREF_EQUITY", , B1091), "")</f>
        <v/>
      </c>
      <c r="I1091" s="11">
        <f>IFERROR(_xll.ciqfunctions.udf.CIQ(mh_ticker, "IQ_MINORITY_INTEREST", , B1091), "")</f>
        <v/>
      </c>
      <c r="J1091" s="11">
        <f>IFERROR(_xll.ciqfunctions.udf.CIQ(mh_ticker, "IQ_EQUITY_METHOD", , B1091), "")</f>
        <v/>
      </c>
      <c r="K1091" s="11">
        <f>IFERROR(_xll.ciqfunctions.udf.CIQ(mh_ticker, "IQ_LT_Mark_Securities", , B1091), "")</f>
        <v/>
      </c>
      <c r="L1091" s="12">
        <f>IFERROR(C1091*D1091, "")</f>
        <v/>
      </c>
      <c r="M1091" s="12">
        <f>IFERROR(L1091-E1091-F1091+G1091+H1091+I1091-J1091-K1091, "")</f>
        <v/>
      </c>
      <c r="N1091" s="11">
        <f>IFERROR(_xll.ciqfunctions.udf.CIQ(mh_ticker, "IQ_EBITDA_EST", IQ_NTM, B1091, , , "USD"), "")</f>
        <v/>
      </c>
      <c r="O1091" s="13">
        <f>IFERROR(M1091/N1091, "")</f>
        <v/>
      </c>
    </row>
    <row r="1092">
      <c r="B1092" s="8" t="n"/>
      <c r="C1092" s="9">
        <f>IFERROR(_xll.ciqfunctions.udf.CIQ(mh_ticker, "IQ_LASTSALEPRICE", B1092), "")</f>
        <v/>
      </c>
      <c r="D1092" s="10">
        <f>IFERROR(_xll.ciqfunctions.udf.CIQ(mh_ticker, "IQ_SHARESOUTSTANDING_OUT", B1092), "")</f>
        <v/>
      </c>
      <c r="E1092" s="11">
        <f>IFERROR(_xll.ciqfunctions.udf.CIQ(mh_ticker, "IQ_CASH_EQUIV", , B1092), "")</f>
        <v/>
      </c>
      <c r="F1092" s="11">
        <f>IFERROR(_xll.ciqfunctions.udf.CIQ(mh_ticker, "IQ_ST_INVEST", , B1092), "")</f>
        <v/>
      </c>
      <c r="G1092" s="11">
        <f>IFERROR(_xll.ciqfunctions.udf.CIQ(mh_ticker, "IQ_TOTAL_DEBT_EXCL_OPER_LEASES", , B1092), "")</f>
        <v/>
      </c>
      <c r="H1092" s="11">
        <f>IFERROR(_xll.ciqfunctions.udf.CIQ(mh_ticker, "IQ_PREF_EQUITY", , B1092), "")</f>
        <v/>
      </c>
      <c r="I1092" s="11">
        <f>IFERROR(_xll.ciqfunctions.udf.CIQ(mh_ticker, "IQ_MINORITY_INTEREST", , B1092), "")</f>
        <v/>
      </c>
      <c r="J1092" s="11">
        <f>IFERROR(_xll.ciqfunctions.udf.CIQ(mh_ticker, "IQ_EQUITY_METHOD", , B1092), "")</f>
        <v/>
      </c>
      <c r="K1092" s="11">
        <f>IFERROR(_xll.ciqfunctions.udf.CIQ(mh_ticker, "IQ_LT_Mark_Securities", , B1092), "")</f>
        <v/>
      </c>
      <c r="L1092" s="12">
        <f>IFERROR(C1092*D1092, "")</f>
        <v/>
      </c>
      <c r="M1092" s="12">
        <f>IFERROR(L1092-E1092-F1092+G1092+H1092+I1092-J1092-K1092, "")</f>
        <v/>
      </c>
      <c r="N1092" s="11">
        <f>IFERROR(_xll.ciqfunctions.udf.CIQ(mh_ticker, "IQ_EBITDA_EST", IQ_NTM, B1092, , , "USD"), "")</f>
        <v/>
      </c>
      <c r="O1092" s="13">
        <f>IFERROR(M1092/N1092, "")</f>
        <v/>
      </c>
    </row>
    <row r="1093">
      <c r="B1093" s="8" t="n"/>
      <c r="C1093" s="9">
        <f>IFERROR(_xll.ciqfunctions.udf.CIQ(mh_ticker, "IQ_LASTSALEPRICE", B1093), "")</f>
        <v/>
      </c>
      <c r="D1093" s="10">
        <f>IFERROR(_xll.ciqfunctions.udf.CIQ(mh_ticker, "IQ_SHARESOUTSTANDING_OUT", B1093), "")</f>
        <v/>
      </c>
      <c r="E1093" s="11">
        <f>IFERROR(_xll.ciqfunctions.udf.CIQ(mh_ticker, "IQ_CASH_EQUIV", , B1093), "")</f>
        <v/>
      </c>
      <c r="F1093" s="11">
        <f>IFERROR(_xll.ciqfunctions.udf.CIQ(mh_ticker, "IQ_ST_INVEST", , B1093), "")</f>
        <v/>
      </c>
      <c r="G1093" s="11">
        <f>IFERROR(_xll.ciqfunctions.udf.CIQ(mh_ticker, "IQ_TOTAL_DEBT_EXCL_OPER_LEASES", , B1093), "")</f>
        <v/>
      </c>
      <c r="H1093" s="11">
        <f>IFERROR(_xll.ciqfunctions.udf.CIQ(mh_ticker, "IQ_PREF_EQUITY", , B1093), "")</f>
        <v/>
      </c>
      <c r="I1093" s="11">
        <f>IFERROR(_xll.ciqfunctions.udf.CIQ(mh_ticker, "IQ_MINORITY_INTEREST", , B1093), "")</f>
        <v/>
      </c>
      <c r="J1093" s="11">
        <f>IFERROR(_xll.ciqfunctions.udf.CIQ(mh_ticker, "IQ_EQUITY_METHOD", , B1093), "")</f>
        <v/>
      </c>
      <c r="K1093" s="11">
        <f>IFERROR(_xll.ciqfunctions.udf.CIQ(mh_ticker, "IQ_LT_Mark_Securities", , B1093), "")</f>
        <v/>
      </c>
      <c r="L1093" s="12">
        <f>IFERROR(C1093*D1093, "")</f>
        <v/>
      </c>
      <c r="M1093" s="12">
        <f>IFERROR(L1093-E1093-F1093+G1093+H1093+I1093-J1093-K1093, "")</f>
        <v/>
      </c>
      <c r="N1093" s="11">
        <f>IFERROR(_xll.ciqfunctions.udf.CIQ(mh_ticker, "IQ_EBITDA_EST", IQ_NTM, B1093, , , "USD"), "")</f>
        <v/>
      </c>
      <c r="O1093" s="13">
        <f>IFERROR(M1093/N1093, "")</f>
        <v/>
      </c>
    </row>
    <row r="1094">
      <c r="B1094" s="8" t="n"/>
      <c r="C1094" s="9">
        <f>IFERROR(_xll.ciqfunctions.udf.CIQ(mh_ticker, "IQ_LASTSALEPRICE", B1094), "")</f>
        <v/>
      </c>
      <c r="D1094" s="10">
        <f>IFERROR(_xll.ciqfunctions.udf.CIQ(mh_ticker, "IQ_SHARESOUTSTANDING_OUT", B1094), "")</f>
        <v/>
      </c>
      <c r="E1094" s="11">
        <f>IFERROR(_xll.ciqfunctions.udf.CIQ(mh_ticker, "IQ_CASH_EQUIV", , B1094), "")</f>
        <v/>
      </c>
      <c r="F1094" s="11">
        <f>IFERROR(_xll.ciqfunctions.udf.CIQ(mh_ticker, "IQ_ST_INVEST", , B1094), "")</f>
        <v/>
      </c>
      <c r="G1094" s="11">
        <f>IFERROR(_xll.ciqfunctions.udf.CIQ(mh_ticker, "IQ_TOTAL_DEBT_EXCL_OPER_LEASES", , B1094), "")</f>
        <v/>
      </c>
      <c r="H1094" s="11">
        <f>IFERROR(_xll.ciqfunctions.udf.CIQ(mh_ticker, "IQ_PREF_EQUITY", , B1094), "")</f>
        <v/>
      </c>
      <c r="I1094" s="11">
        <f>IFERROR(_xll.ciqfunctions.udf.CIQ(mh_ticker, "IQ_MINORITY_INTEREST", , B1094), "")</f>
        <v/>
      </c>
      <c r="J1094" s="11">
        <f>IFERROR(_xll.ciqfunctions.udf.CIQ(mh_ticker, "IQ_EQUITY_METHOD", , B1094), "")</f>
        <v/>
      </c>
      <c r="K1094" s="11">
        <f>IFERROR(_xll.ciqfunctions.udf.CIQ(mh_ticker, "IQ_LT_Mark_Securities", , B1094), "")</f>
        <v/>
      </c>
      <c r="L1094" s="12">
        <f>IFERROR(C1094*D1094, "")</f>
        <v/>
      </c>
      <c r="M1094" s="12">
        <f>IFERROR(L1094-E1094-F1094+G1094+H1094+I1094-J1094-K1094, "")</f>
        <v/>
      </c>
      <c r="N1094" s="11">
        <f>IFERROR(_xll.ciqfunctions.udf.CIQ(mh_ticker, "IQ_EBITDA_EST", IQ_NTM, B1094, , , "USD"), "")</f>
        <v/>
      </c>
      <c r="O1094" s="13">
        <f>IFERROR(M1094/N1094, "")</f>
        <v/>
      </c>
    </row>
    <row r="1095">
      <c r="B1095" s="8" t="n"/>
      <c r="C1095" s="9">
        <f>IFERROR(_xll.ciqfunctions.udf.CIQ(mh_ticker, "IQ_LASTSALEPRICE", B1095), "")</f>
        <v/>
      </c>
      <c r="D1095" s="10">
        <f>IFERROR(_xll.ciqfunctions.udf.CIQ(mh_ticker, "IQ_SHARESOUTSTANDING_OUT", B1095), "")</f>
        <v/>
      </c>
      <c r="E1095" s="11">
        <f>IFERROR(_xll.ciqfunctions.udf.CIQ(mh_ticker, "IQ_CASH_EQUIV", , B1095), "")</f>
        <v/>
      </c>
      <c r="F1095" s="11">
        <f>IFERROR(_xll.ciqfunctions.udf.CIQ(mh_ticker, "IQ_ST_INVEST", , B1095), "")</f>
        <v/>
      </c>
      <c r="G1095" s="11">
        <f>IFERROR(_xll.ciqfunctions.udf.CIQ(mh_ticker, "IQ_TOTAL_DEBT_EXCL_OPER_LEASES", , B1095), "")</f>
        <v/>
      </c>
      <c r="H1095" s="11">
        <f>IFERROR(_xll.ciqfunctions.udf.CIQ(mh_ticker, "IQ_PREF_EQUITY", , B1095), "")</f>
        <v/>
      </c>
      <c r="I1095" s="11">
        <f>IFERROR(_xll.ciqfunctions.udf.CIQ(mh_ticker, "IQ_MINORITY_INTEREST", , B1095), "")</f>
        <v/>
      </c>
      <c r="J1095" s="11">
        <f>IFERROR(_xll.ciqfunctions.udf.CIQ(mh_ticker, "IQ_EQUITY_METHOD", , B1095), "")</f>
        <v/>
      </c>
      <c r="K1095" s="11">
        <f>IFERROR(_xll.ciqfunctions.udf.CIQ(mh_ticker, "IQ_LT_Mark_Securities", , B1095), "")</f>
        <v/>
      </c>
      <c r="L1095" s="12">
        <f>IFERROR(C1095*D1095, "")</f>
        <v/>
      </c>
      <c r="M1095" s="12">
        <f>IFERROR(L1095-E1095-F1095+G1095+H1095+I1095-J1095-K1095, "")</f>
        <v/>
      </c>
      <c r="N1095" s="11">
        <f>IFERROR(_xll.ciqfunctions.udf.CIQ(mh_ticker, "IQ_EBITDA_EST", IQ_NTM, B1095, , , "USD"), "")</f>
        <v/>
      </c>
      <c r="O1095" s="13">
        <f>IFERROR(M1095/N1095, "")</f>
        <v/>
      </c>
    </row>
    <row r="1096">
      <c r="B1096" s="8" t="n"/>
      <c r="C1096" s="9">
        <f>IFERROR(_xll.ciqfunctions.udf.CIQ(mh_ticker, "IQ_LASTSALEPRICE", B1096), "")</f>
        <v/>
      </c>
      <c r="D1096" s="10">
        <f>IFERROR(_xll.ciqfunctions.udf.CIQ(mh_ticker, "IQ_SHARESOUTSTANDING_OUT", B1096), "")</f>
        <v/>
      </c>
      <c r="E1096" s="11">
        <f>IFERROR(_xll.ciqfunctions.udf.CIQ(mh_ticker, "IQ_CASH_EQUIV", , B1096), "")</f>
        <v/>
      </c>
      <c r="F1096" s="11">
        <f>IFERROR(_xll.ciqfunctions.udf.CIQ(mh_ticker, "IQ_ST_INVEST", , B1096), "")</f>
        <v/>
      </c>
      <c r="G1096" s="11">
        <f>IFERROR(_xll.ciqfunctions.udf.CIQ(mh_ticker, "IQ_TOTAL_DEBT_EXCL_OPER_LEASES", , B1096), "")</f>
        <v/>
      </c>
      <c r="H1096" s="11">
        <f>IFERROR(_xll.ciqfunctions.udf.CIQ(mh_ticker, "IQ_PREF_EQUITY", , B1096), "")</f>
        <v/>
      </c>
      <c r="I1096" s="11">
        <f>IFERROR(_xll.ciqfunctions.udf.CIQ(mh_ticker, "IQ_MINORITY_INTEREST", , B1096), "")</f>
        <v/>
      </c>
      <c r="J1096" s="11">
        <f>IFERROR(_xll.ciqfunctions.udf.CIQ(mh_ticker, "IQ_EQUITY_METHOD", , B1096), "")</f>
        <v/>
      </c>
      <c r="K1096" s="11">
        <f>IFERROR(_xll.ciqfunctions.udf.CIQ(mh_ticker, "IQ_LT_Mark_Securities", , B1096), "")</f>
        <v/>
      </c>
      <c r="L1096" s="12">
        <f>IFERROR(C1096*D1096, "")</f>
        <v/>
      </c>
      <c r="M1096" s="12">
        <f>IFERROR(L1096-E1096-F1096+G1096+H1096+I1096-J1096-K1096, "")</f>
        <v/>
      </c>
      <c r="N1096" s="11">
        <f>IFERROR(_xll.ciqfunctions.udf.CIQ(mh_ticker, "IQ_EBITDA_EST", IQ_NTM, B1096, , , "USD"), "")</f>
        <v/>
      </c>
      <c r="O1096" s="13">
        <f>IFERROR(M1096/N1096, "")</f>
        <v/>
      </c>
    </row>
    <row r="1097">
      <c r="B1097" s="8" t="n"/>
      <c r="C1097" s="9">
        <f>IFERROR(_xll.ciqfunctions.udf.CIQ(mh_ticker, "IQ_LASTSALEPRICE", B1097), "")</f>
        <v/>
      </c>
      <c r="D1097" s="10">
        <f>IFERROR(_xll.ciqfunctions.udf.CIQ(mh_ticker, "IQ_SHARESOUTSTANDING_OUT", B1097), "")</f>
        <v/>
      </c>
      <c r="E1097" s="11">
        <f>IFERROR(_xll.ciqfunctions.udf.CIQ(mh_ticker, "IQ_CASH_EQUIV", , B1097), "")</f>
        <v/>
      </c>
      <c r="F1097" s="11">
        <f>IFERROR(_xll.ciqfunctions.udf.CIQ(mh_ticker, "IQ_ST_INVEST", , B1097), "")</f>
        <v/>
      </c>
      <c r="G1097" s="11">
        <f>IFERROR(_xll.ciqfunctions.udf.CIQ(mh_ticker, "IQ_TOTAL_DEBT_EXCL_OPER_LEASES", , B1097), "")</f>
        <v/>
      </c>
      <c r="H1097" s="11">
        <f>IFERROR(_xll.ciqfunctions.udf.CIQ(mh_ticker, "IQ_PREF_EQUITY", , B1097), "")</f>
        <v/>
      </c>
      <c r="I1097" s="11">
        <f>IFERROR(_xll.ciqfunctions.udf.CIQ(mh_ticker, "IQ_MINORITY_INTEREST", , B1097), "")</f>
        <v/>
      </c>
      <c r="J1097" s="11">
        <f>IFERROR(_xll.ciqfunctions.udf.CIQ(mh_ticker, "IQ_EQUITY_METHOD", , B1097), "")</f>
        <v/>
      </c>
      <c r="K1097" s="11">
        <f>IFERROR(_xll.ciqfunctions.udf.CIQ(mh_ticker, "IQ_LT_Mark_Securities", , B1097), "")</f>
        <v/>
      </c>
      <c r="L1097" s="12">
        <f>IFERROR(C1097*D1097, "")</f>
        <v/>
      </c>
      <c r="M1097" s="12">
        <f>IFERROR(L1097-E1097-F1097+G1097+H1097+I1097-J1097-K1097, "")</f>
        <v/>
      </c>
      <c r="N1097" s="11">
        <f>IFERROR(_xll.ciqfunctions.udf.CIQ(mh_ticker, "IQ_EBITDA_EST", IQ_NTM, B1097, , , "USD"), "")</f>
        <v/>
      </c>
      <c r="O1097" s="13">
        <f>IFERROR(M1097/N1097, "")</f>
        <v/>
      </c>
    </row>
    <row r="1098">
      <c r="B1098" s="8" t="n"/>
      <c r="C1098" s="9">
        <f>IFERROR(_xll.ciqfunctions.udf.CIQ(mh_ticker, "IQ_LASTSALEPRICE", B1098), "")</f>
        <v/>
      </c>
      <c r="D1098" s="10">
        <f>IFERROR(_xll.ciqfunctions.udf.CIQ(mh_ticker, "IQ_SHARESOUTSTANDING_OUT", B1098), "")</f>
        <v/>
      </c>
      <c r="E1098" s="11">
        <f>IFERROR(_xll.ciqfunctions.udf.CIQ(mh_ticker, "IQ_CASH_EQUIV", , B1098), "")</f>
        <v/>
      </c>
      <c r="F1098" s="11">
        <f>IFERROR(_xll.ciqfunctions.udf.CIQ(mh_ticker, "IQ_ST_INVEST", , B1098), "")</f>
        <v/>
      </c>
      <c r="G1098" s="11">
        <f>IFERROR(_xll.ciqfunctions.udf.CIQ(mh_ticker, "IQ_TOTAL_DEBT_EXCL_OPER_LEASES", , B1098), "")</f>
        <v/>
      </c>
      <c r="H1098" s="11">
        <f>IFERROR(_xll.ciqfunctions.udf.CIQ(mh_ticker, "IQ_PREF_EQUITY", , B1098), "")</f>
        <v/>
      </c>
      <c r="I1098" s="11">
        <f>IFERROR(_xll.ciqfunctions.udf.CIQ(mh_ticker, "IQ_MINORITY_INTEREST", , B1098), "")</f>
        <v/>
      </c>
      <c r="J1098" s="11">
        <f>IFERROR(_xll.ciqfunctions.udf.CIQ(mh_ticker, "IQ_EQUITY_METHOD", , B1098), "")</f>
        <v/>
      </c>
      <c r="K1098" s="11">
        <f>IFERROR(_xll.ciqfunctions.udf.CIQ(mh_ticker, "IQ_LT_Mark_Securities", , B1098), "")</f>
        <v/>
      </c>
      <c r="L1098" s="12">
        <f>IFERROR(C1098*D1098, "")</f>
        <v/>
      </c>
      <c r="M1098" s="12">
        <f>IFERROR(L1098-E1098-F1098+G1098+H1098+I1098-J1098-K1098, "")</f>
        <v/>
      </c>
      <c r="N1098" s="11">
        <f>IFERROR(_xll.ciqfunctions.udf.CIQ(mh_ticker, "IQ_EBITDA_EST", IQ_NTM, B1098, , , "USD"), "")</f>
        <v/>
      </c>
      <c r="O1098" s="13">
        <f>IFERROR(M1098/N1098, "")</f>
        <v/>
      </c>
    </row>
    <row r="1099">
      <c r="B1099" s="8" t="n"/>
      <c r="C1099" s="9">
        <f>IFERROR(_xll.ciqfunctions.udf.CIQ(mh_ticker, "IQ_LASTSALEPRICE", B1099), "")</f>
        <v/>
      </c>
      <c r="D1099" s="10">
        <f>IFERROR(_xll.ciqfunctions.udf.CIQ(mh_ticker, "IQ_SHARESOUTSTANDING_OUT", B1099), "")</f>
        <v/>
      </c>
      <c r="E1099" s="11">
        <f>IFERROR(_xll.ciqfunctions.udf.CIQ(mh_ticker, "IQ_CASH_EQUIV", , B1099), "")</f>
        <v/>
      </c>
      <c r="F1099" s="11">
        <f>IFERROR(_xll.ciqfunctions.udf.CIQ(mh_ticker, "IQ_ST_INVEST", , B1099), "")</f>
        <v/>
      </c>
      <c r="G1099" s="11">
        <f>IFERROR(_xll.ciqfunctions.udf.CIQ(mh_ticker, "IQ_TOTAL_DEBT_EXCL_OPER_LEASES", , B1099), "")</f>
        <v/>
      </c>
      <c r="H1099" s="11">
        <f>IFERROR(_xll.ciqfunctions.udf.CIQ(mh_ticker, "IQ_PREF_EQUITY", , B1099), "")</f>
        <v/>
      </c>
      <c r="I1099" s="11">
        <f>IFERROR(_xll.ciqfunctions.udf.CIQ(mh_ticker, "IQ_MINORITY_INTEREST", , B1099), "")</f>
        <v/>
      </c>
      <c r="J1099" s="11">
        <f>IFERROR(_xll.ciqfunctions.udf.CIQ(mh_ticker, "IQ_EQUITY_METHOD", , B1099), "")</f>
        <v/>
      </c>
      <c r="K1099" s="11">
        <f>IFERROR(_xll.ciqfunctions.udf.CIQ(mh_ticker, "IQ_LT_Mark_Securities", , B1099), "")</f>
        <v/>
      </c>
      <c r="L1099" s="12">
        <f>IFERROR(C1099*D1099, "")</f>
        <v/>
      </c>
      <c r="M1099" s="12">
        <f>IFERROR(L1099-E1099-F1099+G1099+H1099+I1099-J1099-K1099, "")</f>
        <v/>
      </c>
      <c r="N1099" s="11">
        <f>IFERROR(_xll.ciqfunctions.udf.CIQ(mh_ticker, "IQ_EBITDA_EST", IQ_NTM, B1099, , , "USD"), "")</f>
        <v/>
      </c>
      <c r="O1099" s="13">
        <f>IFERROR(M1099/N1099, "")</f>
        <v/>
      </c>
    </row>
    <row r="1100">
      <c r="B1100" s="8" t="n"/>
      <c r="C1100" s="9">
        <f>IFERROR(_xll.ciqfunctions.udf.CIQ(mh_ticker, "IQ_LASTSALEPRICE", B1100), "")</f>
        <v/>
      </c>
      <c r="D1100" s="10">
        <f>IFERROR(_xll.ciqfunctions.udf.CIQ(mh_ticker, "IQ_SHARESOUTSTANDING_OUT", B1100), "")</f>
        <v/>
      </c>
      <c r="E1100" s="11">
        <f>IFERROR(_xll.ciqfunctions.udf.CIQ(mh_ticker, "IQ_CASH_EQUIV", , B1100), "")</f>
        <v/>
      </c>
      <c r="F1100" s="11">
        <f>IFERROR(_xll.ciqfunctions.udf.CIQ(mh_ticker, "IQ_ST_INVEST", , B1100), "")</f>
        <v/>
      </c>
      <c r="G1100" s="11">
        <f>IFERROR(_xll.ciqfunctions.udf.CIQ(mh_ticker, "IQ_TOTAL_DEBT_EXCL_OPER_LEASES", , B1100), "")</f>
        <v/>
      </c>
      <c r="H1100" s="11">
        <f>IFERROR(_xll.ciqfunctions.udf.CIQ(mh_ticker, "IQ_PREF_EQUITY", , B1100), "")</f>
        <v/>
      </c>
      <c r="I1100" s="11">
        <f>IFERROR(_xll.ciqfunctions.udf.CIQ(mh_ticker, "IQ_MINORITY_INTEREST", , B1100), "")</f>
        <v/>
      </c>
      <c r="J1100" s="11">
        <f>IFERROR(_xll.ciqfunctions.udf.CIQ(mh_ticker, "IQ_EQUITY_METHOD", , B1100), "")</f>
        <v/>
      </c>
      <c r="K1100" s="11">
        <f>IFERROR(_xll.ciqfunctions.udf.CIQ(mh_ticker, "IQ_LT_Mark_Securities", , B1100), "")</f>
        <v/>
      </c>
      <c r="L1100" s="12">
        <f>IFERROR(C1100*D1100, "")</f>
        <v/>
      </c>
      <c r="M1100" s="12">
        <f>IFERROR(L1100-E1100-F1100+G1100+H1100+I1100-J1100-K1100, "")</f>
        <v/>
      </c>
      <c r="N1100" s="11">
        <f>IFERROR(_xll.ciqfunctions.udf.CIQ(mh_ticker, "IQ_EBITDA_EST", IQ_NTM, B1100, , , "USD"), "")</f>
        <v/>
      </c>
      <c r="O1100" s="13">
        <f>IFERROR(M1100/N1100, "")</f>
        <v/>
      </c>
    </row>
    <row r="1101">
      <c r="B1101" s="8" t="n"/>
      <c r="C1101" s="9">
        <f>IFERROR(_xll.ciqfunctions.udf.CIQ(mh_ticker, "IQ_LASTSALEPRICE", B1101), "")</f>
        <v/>
      </c>
      <c r="D1101" s="10">
        <f>IFERROR(_xll.ciqfunctions.udf.CIQ(mh_ticker, "IQ_SHARESOUTSTANDING_OUT", B1101), "")</f>
        <v/>
      </c>
      <c r="E1101" s="11">
        <f>IFERROR(_xll.ciqfunctions.udf.CIQ(mh_ticker, "IQ_CASH_EQUIV", , B1101), "")</f>
        <v/>
      </c>
      <c r="F1101" s="11">
        <f>IFERROR(_xll.ciqfunctions.udf.CIQ(mh_ticker, "IQ_ST_INVEST", , B1101), "")</f>
        <v/>
      </c>
      <c r="G1101" s="11">
        <f>IFERROR(_xll.ciqfunctions.udf.CIQ(mh_ticker, "IQ_TOTAL_DEBT_EXCL_OPER_LEASES", , B1101), "")</f>
        <v/>
      </c>
      <c r="H1101" s="11">
        <f>IFERROR(_xll.ciqfunctions.udf.CIQ(mh_ticker, "IQ_PREF_EQUITY", , B1101), "")</f>
        <v/>
      </c>
      <c r="I1101" s="11">
        <f>IFERROR(_xll.ciqfunctions.udf.CIQ(mh_ticker, "IQ_MINORITY_INTEREST", , B1101), "")</f>
        <v/>
      </c>
      <c r="J1101" s="11">
        <f>IFERROR(_xll.ciqfunctions.udf.CIQ(mh_ticker, "IQ_EQUITY_METHOD", , B1101), "")</f>
        <v/>
      </c>
      <c r="K1101" s="11">
        <f>IFERROR(_xll.ciqfunctions.udf.CIQ(mh_ticker, "IQ_LT_Mark_Securities", , B1101), "")</f>
        <v/>
      </c>
      <c r="L1101" s="12">
        <f>IFERROR(C1101*D1101, "")</f>
        <v/>
      </c>
      <c r="M1101" s="12">
        <f>IFERROR(L1101-E1101-F1101+G1101+H1101+I1101-J1101-K1101, "")</f>
        <v/>
      </c>
      <c r="N1101" s="11">
        <f>IFERROR(_xll.ciqfunctions.udf.CIQ(mh_ticker, "IQ_EBITDA_EST", IQ_NTM, B1101, , , "USD"), "")</f>
        <v/>
      </c>
      <c r="O1101" s="13">
        <f>IFERROR(M1101/N1101, "")</f>
        <v/>
      </c>
    </row>
    <row r="1102">
      <c r="B1102" s="8" t="n"/>
      <c r="C1102" s="9">
        <f>IFERROR(_xll.ciqfunctions.udf.CIQ(mh_ticker, "IQ_LASTSALEPRICE", B1102), "")</f>
        <v/>
      </c>
      <c r="D1102" s="10">
        <f>IFERROR(_xll.ciqfunctions.udf.CIQ(mh_ticker, "IQ_SHARESOUTSTANDING_OUT", B1102), "")</f>
        <v/>
      </c>
      <c r="E1102" s="11">
        <f>IFERROR(_xll.ciqfunctions.udf.CIQ(mh_ticker, "IQ_CASH_EQUIV", , B1102), "")</f>
        <v/>
      </c>
      <c r="F1102" s="11">
        <f>IFERROR(_xll.ciqfunctions.udf.CIQ(mh_ticker, "IQ_ST_INVEST", , B1102), "")</f>
        <v/>
      </c>
      <c r="G1102" s="11">
        <f>IFERROR(_xll.ciqfunctions.udf.CIQ(mh_ticker, "IQ_TOTAL_DEBT_EXCL_OPER_LEASES", , B1102), "")</f>
        <v/>
      </c>
      <c r="H1102" s="11">
        <f>IFERROR(_xll.ciqfunctions.udf.CIQ(mh_ticker, "IQ_PREF_EQUITY", , B1102), "")</f>
        <v/>
      </c>
      <c r="I1102" s="11">
        <f>IFERROR(_xll.ciqfunctions.udf.CIQ(mh_ticker, "IQ_MINORITY_INTEREST", , B1102), "")</f>
        <v/>
      </c>
      <c r="J1102" s="11">
        <f>IFERROR(_xll.ciqfunctions.udf.CIQ(mh_ticker, "IQ_EQUITY_METHOD", , B1102), "")</f>
        <v/>
      </c>
      <c r="K1102" s="11">
        <f>IFERROR(_xll.ciqfunctions.udf.CIQ(mh_ticker, "IQ_LT_Mark_Securities", , B1102), "")</f>
        <v/>
      </c>
      <c r="L1102" s="12">
        <f>IFERROR(C1102*D1102, "")</f>
        <v/>
      </c>
      <c r="M1102" s="12">
        <f>IFERROR(L1102-E1102-F1102+G1102+H1102+I1102-J1102-K1102, "")</f>
        <v/>
      </c>
      <c r="N1102" s="11">
        <f>IFERROR(_xll.ciqfunctions.udf.CIQ(mh_ticker, "IQ_EBITDA_EST", IQ_NTM, B1102, , , "USD"), "")</f>
        <v/>
      </c>
      <c r="O1102" s="13">
        <f>IFERROR(M1102/N1102, "")</f>
        <v/>
      </c>
    </row>
    <row r="1103">
      <c r="B1103" s="8" t="n"/>
      <c r="C1103" s="9">
        <f>IFERROR(_xll.ciqfunctions.udf.CIQ(mh_ticker, "IQ_LASTSALEPRICE", B1103), "")</f>
        <v/>
      </c>
      <c r="D1103" s="10">
        <f>IFERROR(_xll.ciqfunctions.udf.CIQ(mh_ticker, "IQ_SHARESOUTSTANDING_OUT", B1103), "")</f>
        <v/>
      </c>
      <c r="E1103" s="11">
        <f>IFERROR(_xll.ciqfunctions.udf.CIQ(mh_ticker, "IQ_CASH_EQUIV", , B1103), "")</f>
        <v/>
      </c>
      <c r="F1103" s="11">
        <f>IFERROR(_xll.ciqfunctions.udf.CIQ(mh_ticker, "IQ_ST_INVEST", , B1103), "")</f>
        <v/>
      </c>
      <c r="G1103" s="11">
        <f>IFERROR(_xll.ciqfunctions.udf.CIQ(mh_ticker, "IQ_TOTAL_DEBT_EXCL_OPER_LEASES", , B1103), "")</f>
        <v/>
      </c>
      <c r="H1103" s="11">
        <f>IFERROR(_xll.ciqfunctions.udf.CIQ(mh_ticker, "IQ_PREF_EQUITY", , B1103), "")</f>
        <v/>
      </c>
      <c r="I1103" s="11">
        <f>IFERROR(_xll.ciqfunctions.udf.CIQ(mh_ticker, "IQ_MINORITY_INTEREST", , B1103), "")</f>
        <v/>
      </c>
      <c r="J1103" s="11">
        <f>IFERROR(_xll.ciqfunctions.udf.CIQ(mh_ticker, "IQ_EQUITY_METHOD", , B1103), "")</f>
        <v/>
      </c>
      <c r="K1103" s="11">
        <f>IFERROR(_xll.ciqfunctions.udf.CIQ(mh_ticker, "IQ_LT_Mark_Securities", , B1103), "")</f>
        <v/>
      </c>
      <c r="L1103" s="12">
        <f>IFERROR(C1103*D1103, "")</f>
        <v/>
      </c>
      <c r="M1103" s="12">
        <f>IFERROR(L1103-E1103-F1103+G1103+H1103+I1103-J1103-K1103, "")</f>
        <v/>
      </c>
      <c r="N1103" s="11">
        <f>IFERROR(_xll.ciqfunctions.udf.CIQ(mh_ticker, "IQ_EBITDA_EST", IQ_NTM, B1103, , , "USD"), "")</f>
        <v/>
      </c>
      <c r="O1103" s="13">
        <f>IFERROR(M1103/N1103, "")</f>
        <v/>
      </c>
    </row>
    <row r="1104">
      <c r="B1104" s="8" t="n"/>
      <c r="C1104" s="9">
        <f>IFERROR(_xll.ciqfunctions.udf.CIQ(mh_ticker, "IQ_LASTSALEPRICE", B1104), "")</f>
        <v/>
      </c>
      <c r="D1104" s="10">
        <f>IFERROR(_xll.ciqfunctions.udf.CIQ(mh_ticker, "IQ_SHARESOUTSTANDING_OUT", B1104), "")</f>
        <v/>
      </c>
      <c r="E1104" s="11">
        <f>IFERROR(_xll.ciqfunctions.udf.CIQ(mh_ticker, "IQ_CASH_EQUIV", , B1104), "")</f>
        <v/>
      </c>
      <c r="F1104" s="11">
        <f>IFERROR(_xll.ciqfunctions.udf.CIQ(mh_ticker, "IQ_ST_INVEST", , B1104), "")</f>
        <v/>
      </c>
      <c r="G1104" s="11">
        <f>IFERROR(_xll.ciqfunctions.udf.CIQ(mh_ticker, "IQ_TOTAL_DEBT_EXCL_OPER_LEASES", , B1104), "")</f>
        <v/>
      </c>
      <c r="H1104" s="11">
        <f>IFERROR(_xll.ciqfunctions.udf.CIQ(mh_ticker, "IQ_PREF_EQUITY", , B1104), "")</f>
        <v/>
      </c>
      <c r="I1104" s="11">
        <f>IFERROR(_xll.ciqfunctions.udf.CIQ(mh_ticker, "IQ_MINORITY_INTEREST", , B1104), "")</f>
        <v/>
      </c>
      <c r="J1104" s="11">
        <f>IFERROR(_xll.ciqfunctions.udf.CIQ(mh_ticker, "IQ_EQUITY_METHOD", , B1104), "")</f>
        <v/>
      </c>
      <c r="K1104" s="11">
        <f>IFERROR(_xll.ciqfunctions.udf.CIQ(mh_ticker, "IQ_LT_Mark_Securities", , B1104), "")</f>
        <v/>
      </c>
      <c r="L1104" s="12">
        <f>IFERROR(C1104*D1104, "")</f>
        <v/>
      </c>
      <c r="M1104" s="12">
        <f>IFERROR(L1104-E1104-F1104+G1104+H1104+I1104-J1104-K1104, "")</f>
        <v/>
      </c>
      <c r="N1104" s="11">
        <f>IFERROR(_xll.ciqfunctions.udf.CIQ(mh_ticker, "IQ_EBITDA_EST", IQ_NTM, B1104, , , "USD"), "")</f>
        <v/>
      </c>
      <c r="O1104" s="13">
        <f>IFERROR(M1104/N1104, "")</f>
        <v/>
      </c>
    </row>
    <row r="1105">
      <c r="B1105" s="8" t="n"/>
      <c r="C1105" s="9">
        <f>IFERROR(_xll.ciqfunctions.udf.CIQ(mh_ticker, "IQ_LASTSALEPRICE", B1105), "")</f>
        <v/>
      </c>
      <c r="D1105" s="10">
        <f>IFERROR(_xll.ciqfunctions.udf.CIQ(mh_ticker, "IQ_SHARESOUTSTANDING_OUT", B1105), "")</f>
        <v/>
      </c>
      <c r="E1105" s="11">
        <f>IFERROR(_xll.ciqfunctions.udf.CIQ(mh_ticker, "IQ_CASH_EQUIV", , B1105), "")</f>
        <v/>
      </c>
      <c r="F1105" s="11">
        <f>IFERROR(_xll.ciqfunctions.udf.CIQ(mh_ticker, "IQ_ST_INVEST", , B1105), "")</f>
        <v/>
      </c>
      <c r="G1105" s="11">
        <f>IFERROR(_xll.ciqfunctions.udf.CIQ(mh_ticker, "IQ_TOTAL_DEBT_EXCL_OPER_LEASES", , B1105), "")</f>
        <v/>
      </c>
      <c r="H1105" s="11">
        <f>IFERROR(_xll.ciqfunctions.udf.CIQ(mh_ticker, "IQ_PREF_EQUITY", , B1105), "")</f>
        <v/>
      </c>
      <c r="I1105" s="11">
        <f>IFERROR(_xll.ciqfunctions.udf.CIQ(mh_ticker, "IQ_MINORITY_INTEREST", , B1105), "")</f>
        <v/>
      </c>
      <c r="J1105" s="11">
        <f>IFERROR(_xll.ciqfunctions.udf.CIQ(mh_ticker, "IQ_EQUITY_METHOD", , B1105), "")</f>
        <v/>
      </c>
      <c r="K1105" s="11">
        <f>IFERROR(_xll.ciqfunctions.udf.CIQ(mh_ticker, "IQ_LT_Mark_Securities", , B1105), "")</f>
        <v/>
      </c>
      <c r="L1105" s="12">
        <f>IFERROR(C1105*D1105, "")</f>
        <v/>
      </c>
      <c r="M1105" s="12">
        <f>IFERROR(L1105-E1105-F1105+G1105+H1105+I1105-J1105-K1105, "")</f>
        <v/>
      </c>
      <c r="N1105" s="11">
        <f>IFERROR(_xll.ciqfunctions.udf.CIQ(mh_ticker, "IQ_EBITDA_EST", IQ_NTM, B1105, , , "USD"), "")</f>
        <v/>
      </c>
      <c r="O1105" s="13">
        <f>IFERROR(M1105/N1105, "")</f>
        <v/>
      </c>
    </row>
    <row r="1106">
      <c r="B1106" s="8" t="n"/>
      <c r="C1106" s="9">
        <f>IFERROR(_xll.ciqfunctions.udf.CIQ(mh_ticker, "IQ_LASTSALEPRICE", B1106), "")</f>
        <v/>
      </c>
      <c r="D1106" s="10">
        <f>IFERROR(_xll.ciqfunctions.udf.CIQ(mh_ticker, "IQ_SHARESOUTSTANDING_OUT", B1106), "")</f>
        <v/>
      </c>
      <c r="E1106" s="11">
        <f>IFERROR(_xll.ciqfunctions.udf.CIQ(mh_ticker, "IQ_CASH_EQUIV", , B1106), "")</f>
        <v/>
      </c>
      <c r="F1106" s="11">
        <f>IFERROR(_xll.ciqfunctions.udf.CIQ(mh_ticker, "IQ_ST_INVEST", , B1106), "")</f>
        <v/>
      </c>
      <c r="G1106" s="11">
        <f>IFERROR(_xll.ciqfunctions.udf.CIQ(mh_ticker, "IQ_TOTAL_DEBT_EXCL_OPER_LEASES", , B1106), "")</f>
        <v/>
      </c>
      <c r="H1106" s="11">
        <f>IFERROR(_xll.ciqfunctions.udf.CIQ(mh_ticker, "IQ_PREF_EQUITY", , B1106), "")</f>
        <v/>
      </c>
      <c r="I1106" s="11">
        <f>IFERROR(_xll.ciqfunctions.udf.CIQ(mh_ticker, "IQ_MINORITY_INTEREST", , B1106), "")</f>
        <v/>
      </c>
      <c r="J1106" s="11">
        <f>IFERROR(_xll.ciqfunctions.udf.CIQ(mh_ticker, "IQ_EQUITY_METHOD", , B1106), "")</f>
        <v/>
      </c>
      <c r="K1106" s="11">
        <f>IFERROR(_xll.ciqfunctions.udf.CIQ(mh_ticker, "IQ_LT_Mark_Securities", , B1106), "")</f>
        <v/>
      </c>
      <c r="L1106" s="12">
        <f>IFERROR(C1106*D1106, "")</f>
        <v/>
      </c>
      <c r="M1106" s="12">
        <f>IFERROR(L1106-E1106-F1106+G1106+H1106+I1106-J1106-K1106, "")</f>
        <v/>
      </c>
      <c r="N1106" s="11">
        <f>IFERROR(_xll.ciqfunctions.udf.CIQ(mh_ticker, "IQ_EBITDA_EST", IQ_NTM, B1106, , , "USD"), "")</f>
        <v/>
      </c>
      <c r="O1106" s="13">
        <f>IFERROR(M1106/N1106, "")</f>
        <v/>
      </c>
    </row>
    <row r="1107">
      <c r="B1107" s="8" t="n"/>
      <c r="C1107" s="9">
        <f>IFERROR(_xll.ciqfunctions.udf.CIQ(mh_ticker, "IQ_LASTSALEPRICE", B1107), "")</f>
        <v/>
      </c>
      <c r="D1107" s="10">
        <f>IFERROR(_xll.ciqfunctions.udf.CIQ(mh_ticker, "IQ_SHARESOUTSTANDING_OUT", B1107), "")</f>
        <v/>
      </c>
      <c r="E1107" s="11">
        <f>IFERROR(_xll.ciqfunctions.udf.CIQ(mh_ticker, "IQ_CASH_EQUIV", , B1107), "")</f>
        <v/>
      </c>
      <c r="F1107" s="11">
        <f>IFERROR(_xll.ciqfunctions.udf.CIQ(mh_ticker, "IQ_ST_INVEST", , B1107), "")</f>
        <v/>
      </c>
      <c r="G1107" s="11">
        <f>IFERROR(_xll.ciqfunctions.udf.CIQ(mh_ticker, "IQ_TOTAL_DEBT_EXCL_OPER_LEASES", , B1107), "")</f>
        <v/>
      </c>
      <c r="H1107" s="11">
        <f>IFERROR(_xll.ciqfunctions.udf.CIQ(mh_ticker, "IQ_PREF_EQUITY", , B1107), "")</f>
        <v/>
      </c>
      <c r="I1107" s="11">
        <f>IFERROR(_xll.ciqfunctions.udf.CIQ(mh_ticker, "IQ_MINORITY_INTEREST", , B1107), "")</f>
        <v/>
      </c>
      <c r="J1107" s="11">
        <f>IFERROR(_xll.ciqfunctions.udf.CIQ(mh_ticker, "IQ_EQUITY_METHOD", , B1107), "")</f>
        <v/>
      </c>
      <c r="K1107" s="11">
        <f>IFERROR(_xll.ciqfunctions.udf.CIQ(mh_ticker, "IQ_LT_Mark_Securities", , B1107), "")</f>
        <v/>
      </c>
      <c r="L1107" s="12">
        <f>IFERROR(C1107*D1107, "")</f>
        <v/>
      </c>
      <c r="M1107" s="12">
        <f>IFERROR(L1107-E1107-F1107+G1107+H1107+I1107-J1107-K1107, "")</f>
        <v/>
      </c>
      <c r="N1107" s="11">
        <f>IFERROR(_xll.ciqfunctions.udf.CIQ(mh_ticker, "IQ_EBITDA_EST", IQ_NTM, B1107, , , "USD"), "")</f>
        <v/>
      </c>
      <c r="O1107" s="13">
        <f>IFERROR(M1107/N1107, "")</f>
        <v/>
      </c>
    </row>
    <row r="1108">
      <c r="B1108" s="8" t="n"/>
      <c r="C1108" s="9">
        <f>IFERROR(_xll.ciqfunctions.udf.CIQ(mh_ticker, "IQ_LASTSALEPRICE", B1108), "")</f>
        <v/>
      </c>
      <c r="D1108" s="10">
        <f>IFERROR(_xll.ciqfunctions.udf.CIQ(mh_ticker, "IQ_SHARESOUTSTANDING_OUT", B1108), "")</f>
        <v/>
      </c>
      <c r="E1108" s="11">
        <f>IFERROR(_xll.ciqfunctions.udf.CIQ(mh_ticker, "IQ_CASH_EQUIV", , B1108), "")</f>
        <v/>
      </c>
      <c r="F1108" s="11">
        <f>IFERROR(_xll.ciqfunctions.udf.CIQ(mh_ticker, "IQ_ST_INVEST", , B1108), "")</f>
        <v/>
      </c>
      <c r="G1108" s="11">
        <f>IFERROR(_xll.ciqfunctions.udf.CIQ(mh_ticker, "IQ_TOTAL_DEBT_EXCL_OPER_LEASES", , B1108), "")</f>
        <v/>
      </c>
      <c r="H1108" s="11">
        <f>IFERROR(_xll.ciqfunctions.udf.CIQ(mh_ticker, "IQ_PREF_EQUITY", , B1108), "")</f>
        <v/>
      </c>
      <c r="I1108" s="11">
        <f>IFERROR(_xll.ciqfunctions.udf.CIQ(mh_ticker, "IQ_MINORITY_INTEREST", , B1108), "")</f>
        <v/>
      </c>
      <c r="J1108" s="11">
        <f>IFERROR(_xll.ciqfunctions.udf.CIQ(mh_ticker, "IQ_EQUITY_METHOD", , B1108), "")</f>
        <v/>
      </c>
      <c r="K1108" s="11">
        <f>IFERROR(_xll.ciqfunctions.udf.CIQ(mh_ticker, "IQ_LT_Mark_Securities", , B1108), "")</f>
        <v/>
      </c>
      <c r="L1108" s="12">
        <f>IFERROR(C1108*D1108, "")</f>
        <v/>
      </c>
      <c r="M1108" s="12">
        <f>IFERROR(L1108-E1108-F1108+G1108+H1108+I1108-J1108-K1108, "")</f>
        <v/>
      </c>
      <c r="N1108" s="11">
        <f>IFERROR(_xll.ciqfunctions.udf.CIQ(mh_ticker, "IQ_EBITDA_EST", IQ_NTM, B1108, , , "USD"), "")</f>
        <v/>
      </c>
      <c r="O1108" s="13">
        <f>IFERROR(M1108/N1108, "")</f>
        <v/>
      </c>
    </row>
    <row r="1109">
      <c r="B1109" s="8" t="n"/>
      <c r="C1109" s="9">
        <f>IFERROR(_xll.ciqfunctions.udf.CIQ(mh_ticker, "IQ_LASTSALEPRICE", B1109), "")</f>
        <v/>
      </c>
      <c r="D1109" s="10">
        <f>IFERROR(_xll.ciqfunctions.udf.CIQ(mh_ticker, "IQ_SHARESOUTSTANDING_OUT", B1109), "")</f>
        <v/>
      </c>
      <c r="E1109" s="11">
        <f>IFERROR(_xll.ciqfunctions.udf.CIQ(mh_ticker, "IQ_CASH_EQUIV", , B1109), "")</f>
        <v/>
      </c>
      <c r="F1109" s="11">
        <f>IFERROR(_xll.ciqfunctions.udf.CIQ(mh_ticker, "IQ_ST_INVEST", , B1109), "")</f>
        <v/>
      </c>
      <c r="G1109" s="11">
        <f>IFERROR(_xll.ciqfunctions.udf.CIQ(mh_ticker, "IQ_TOTAL_DEBT_EXCL_OPER_LEASES", , B1109), "")</f>
        <v/>
      </c>
      <c r="H1109" s="11">
        <f>IFERROR(_xll.ciqfunctions.udf.CIQ(mh_ticker, "IQ_PREF_EQUITY", , B1109), "")</f>
        <v/>
      </c>
      <c r="I1109" s="11">
        <f>IFERROR(_xll.ciqfunctions.udf.CIQ(mh_ticker, "IQ_MINORITY_INTEREST", , B1109), "")</f>
        <v/>
      </c>
      <c r="J1109" s="11">
        <f>IFERROR(_xll.ciqfunctions.udf.CIQ(mh_ticker, "IQ_EQUITY_METHOD", , B1109), "")</f>
        <v/>
      </c>
      <c r="K1109" s="11">
        <f>IFERROR(_xll.ciqfunctions.udf.CIQ(mh_ticker, "IQ_LT_Mark_Securities", , B1109), "")</f>
        <v/>
      </c>
      <c r="L1109" s="12">
        <f>IFERROR(C1109*D1109, "")</f>
        <v/>
      </c>
      <c r="M1109" s="12">
        <f>IFERROR(L1109-E1109-F1109+G1109+H1109+I1109-J1109-K1109, "")</f>
        <v/>
      </c>
      <c r="N1109" s="11">
        <f>IFERROR(_xll.ciqfunctions.udf.CIQ(mh_ticker, "IQ_EBITDA_EST", IQ_NTM, B1109, , , "USD"), "")</f>
        <v/>
      </c>
      <c r="O1109" s="13">
        <f>IFERROR(M1109/N1109, "")</f>
        <v/>
      </c>
    </row>
    <row r="1110">
      <c r="B1110" s="8" t="n"/>
      <c r="C1110" s="9">
        <f>IFERROR(_xll.ciqfunctions.udf.CIQ(mh_ticker, "IQ_LASTSALEPRICE", B1110), "")</f>
        <v/>
      </c>
      <c r="D1110" s="10">
        <f>IFERROR(_xll.ciqfunctions.udf.CIQ(mh_ticker, "IQ_SHARESOUTSTANDING_OUT", B1110), "")</f>
        <v/>
      </c>
      <c r="E1110" s="11">
        <f>IFERROR(_xll.ciqfunctions.udf.CIQ(mh_ticker, "IQ_CASH_EQUIV", , B1110), "")</f>
        <v/>
      </c>
      <c r="F1110" s="11">
        <f>IFERROR(_xll.ciqfunctions.udf.CIQ(mh_ticker, "IQ_ST_INVEST", , B1110), "")</f>
        <v/>
      </c>
      <c r="G1110" s="11">
        <f>IFERROR(_xll.ciqfunctions.udf.CIQ(mh_ticker, "IQ_TOTAL_DEBT_EXCL_OPER_LEASES", , B1110), "")</f>
        <v/>
      </c>
      <c r="H1110" s="11">
        <f>IFERROR(_xll.ciqfunctions.udf.CIQ(mh_ticker, "IQ_PREF_EQUITY", , B1110), "")</f>
        <v/>
      </c>
      <c r="I1110" s="11">
        <f>IFERROR(_xll.ciqfunctions.udf.CIQ(mh_ticker, "IQ_MINORITY_INTEREST", , B1110), "")</f>
        <v/>
      </c>
      <c r="J1110" s="11">
        <f>IFERROR(_xll.ciqfunctions.udf.CIQ(mh_ticker, "IQ_EQUITY_METHOD", , B1110), "")</f>
        <v/>
      </c>
      <c r="K1110" s="11">
        <f>IFERROR(_xll.ciqfunctions.udf.CIQ(mh_ticker, "IQ_LT_Mark_Securities", , B1110), "")</f>
        <v/>
      </c>
      <c r="L1110" s="12">
        <f>IFERROR(C1110*D1110, "")</f>
        <v/>
      </c>
      <c r="M1110" s="12">
        <f>IFERROR(L1110-E1110-F1110+G1110+H1110+I1110-J1110-K1110, "")</f>
        <v/>
      </c>
      <c r="N1110" s="11">
        <f>IFERROR(_xll.ciqfunctions.udf.CIQ(mh_ticker, "IQ_EBITDA_EST", IQ_NTM, B1110, , , "USD"), "")</f>
        <v/>
      </c>
      <c r="O1110" s="13">
        <f>IFERROR(M1110/N1110, "")</f>
        <v/>
      </c>
    </row>
    <row r="1111">
      <c r="B1111" s="8" t="n"/>
      <c r="C1111" s="9">
        <f>IFERROR(_xll.ciqfunctions.udf.CIQ(mh_ticker, "IQ_LASTSALEPRICE", B1111), "")</f>
        <v/>
      </c>
      <c r="D1111" s="10">
        <f>IFERROR(_xll.ciqfunctions.udf.CIQ(mh_ticker, "IQ_SHARESOUTSTANDING_OUT", B1111), "")</f>
        <v/>
      </c>
      <c r="E1111" s="11">
        <f>IFERROR(_xll.ciqfunctions.udf.CIQ(mh_ticker, "IQ_CASH_EQUIV", , B1111), "")</f>
        <v/>
      </c>
      <c r="F1111" s="11">
        <f>IFERROR(_xll.ciqfunctions.udf.CIQ(mh_ticker, "IQ_ST_INVEST", , B1111), "")</f>
        <v/>
      </c>
      <c r="G1111" s="11">
        <f>IFERROR(_xll.ciqfunctions.udf.CIQ(mh_ticker, "IQ_TOTAL_DEBT_EXCL_OPER_LEASES", , B1111), "")</f>
        <v/>
      </c>
      <c r="H1111" s="11">
        <f>IFERROR(_xll.ciqfunctions.udf.CIQ(mh_ticker, "IQ_PREF_EQUITY", , B1111), "")</f>
        <v/>
      </c>
      <c r="I1111" s="11">
        <f>IFERROR(_xll.ciqfunctions.udf.CIQ(mh_ticker, "IQ_MINORITY_INTEREST", , B1111), "")</f>
        <v/>
      </c>
      <c r="J1111" s="11">
        <f>IFERROR(_xll.ciqfunctions.udf.CIQ(mh_ticker, "IQ_EQUITY_METHOD", , B1111), "")</f>
        <v/>
      </c>
      <c r="K1111" s="11">
        <f>IFERROR(_xll.ciqfunctions.udf.CIQ(mh_ticker, "IQ_LT_Mark_Securities", , B1111), "")</f>
        <v/>
      </c>
      <c r="L1111" s="12">
        <f>IFERROR(C1111*D1111, "")</f>
        <v/>
      </c>
      <c r="M1111" s="12">
        <f>IFERROR(L1111-E1111-F1111+G1111+H1111+I1111-J1111-K1111, "")</f>
        <v/>
      </c>
      <c r="N1111" s="11">
        <f>IFERROR(_xll.ciqfunctions.udf.CIQ(mh_ticker, "IQ_EBITDA_EST", IQ_NTM, B1111, , , "USD"), "")</f>
        <v/>
      </c>
      <c r="O1111" s="13">
        <f>IFERROR(M1111/N1111, "")</f>
        <v/>
      </c>
    </row>
    <row r="1112">
      <c r="B1112" s="8" t="n"/>
      <c r="C1112" s="9">
        <f>IFERROR(_xll.ciqfunctions.udf.CIQ(mh_ticker, "IQ_LASTSALEPRICE", B1112), "")</f>
        <v/>
      </c>
      <c r="D1112" s="10">
        <f>IFERROR(_xll.ciqfunctions.udf.CIQ(mh_ticker, "IQ_SHARESOUTSTANDING_OUT", B1112), "")</f>
        <v/>
      </c>
      <c r="E1112" s="11">
        <f>IFERROR(_xll.ciqfunctions.udf.CIQ(mh_ticker, "IQ_CASH_EQUIV", , B1112), "")</f>
        <v/>
      </c>
      <c r="F1112" s="11">
        <f>IFERROR(_xll.ciqfunctions.udf.CIQ(mh_ticker, "IQ_ST_INVEST", , B1112), "")</f>
        <v/>
      </c>
      <c r="G1112" s="11">
        <f>IFERROR(_xll.ciqfunctions.udf.CIQ(mh_ticker, "IQ_TOTAL_DEBT_EXCL_OPER_LEASES", , B1112), "")</f>
        <v/>
      </c>
      <c r="H1112" s="11">
        <f>IFERROR(_xll.ciqfunctions.udf.CIQ(mh_ticker, "IQ_PREF_EQUITY", , B1112), "")</f>
        <v/>
      </c>
      <c r="I1112" s="11">
        <f>IFERROR(_xll.ciqfunctions.udf.CIQ(mh_ticker, "IQ_MINORITY_INTEREST", , B1112), "")</f>
        <v/>
      </c>
      <c r="J1112" s="11">
        <f>IFERROR(_xll.ciqfunctions.udf.CIQ(mh_ticker, "IQ_EQUITY_METHOD", , B1112), "")</f>
        <v/>
      </c>
      <c r="K1112" s="11">
        <f>IFERROR(_xll.ciqfunctions.udf.CIQ(mh_ticker, "IQ_LT_Mark_Securities", , B1112), "")</f>
        <v/>
      </c>
      <c r="L1112" s="12">
        <f>IFERROR(C1112*D1112, "")</f>
        <v/>
      </c>
      <c r="M1112" s="12">
        <f>IFERROR(L1112-E1112-F1112+G1112+H1112+I1112-J1112-K1112, "")</f>
        <v/>
      </c>
      <c r="N1112" s="11">
        <f>IFERROR(_xll.ciqfunctions.udf.CIQ(mh_ticker, "IQ_EBITDA_EST", IQ_NTM, B1112, , , "USD"), "")</f>
        <v/>
      </c>
      <c r="O1112" s="13">
        <f>IFERROR(M1112/N1112, "")</f>
        <v/>
      </c>
    </row>
    <row r="1113">
      <c r="B1113" s="8" t="n"/>
      <c r="C1113" s="9">
        <f>IFERROR(_xll.ciqfunctions.udf.CIQ(mh_ticker, "IQ_LASTSALEPRICE", B1113), "")</f>
        <v/>
      </c>
      <c r="D1113" s="10">
        <f>IFERROR(_xll.ciqfunctions.udf.CIQ(mh_ticker, "IQ_SHARESOUTSTANDING_OUT", B1113), "")</f>
        <v/>
      </c>
      <c r="E1113" s="11">
        <f>IFERROR(_xll.ciqfunctions.udf.CIQ(mh_ticker, "IQ_CASH_EQUIV", , B1113), "")</f>
        <v/>
      </c>
      <c r="F1113" s="11">
        <f>IFERROR(_xll.ciqfunctions.udf.CIQ(mh_ticker, "IQ_ST_INVEST", , B1113), "")</f>
        <v/>
      </c>
      <c r="G1113" s="11">
        <f>IFERROR(_xll.ciqfunctions.udf.CIQ(mh_ticker, "IQ_TOTAL_DEBT_EXCL_OPER_LEASES", , B1113), "")</f>
        <v/>
      </c>
      <c r="H1113" s="11">
        <f>IFERROR(_xll.ciqfunctions.udf.CIQ(mh_ticker, "IQ_PREF_EQUITY", , B1113), "")</f>
        <v/>
      </c>
      <c r="I1113" s="11">
        <f>IFERROR(_xll.ciqfunctions.udf.CIQ(mh_ticker, "IQ_MINORITY_INTEREST", , B1113), "")</f>
        <v/>
      </c>
      <c r="J1113" s="11">
        <f>IFERROR(_xll.ciqfunctions.udf.CIQ(mh_ticker, "IQ_EQUITY_METHOD", , B1113), "")</f>
        <v/>
      </c>
      <c r="K1113" s="11">
        <f>IFERROR(_xll.ciqfunctions.udf.CIQ(mh_ticker, "IQ_LT_Mark_Securities", , B1113), "")</f>
        <v/>
      </c>
      <c r="L1113" s="12">
        <f>IFERROR(C1113*D1113, "")</f>
        <v/>
      </c>
      <c r="M1113" s="12">
        <f>IFERROR(L1113-E1113-F1113+G1113+H1113+I1113-J1113-K1113, "")</f>
        <v/>
      </c>
      <c r="N1113" s="11">
        <f>IFERROR(_xll.ciqfunctions.udf.CIQ(mh_ticker, "IQ_EBITDA_EST", IQ_NTM, B1113, , , "USD"), "")</f>
        <v/>
      </c>
      <c r="O1113" s="13">
        <f>IFERROR(M1113/N1113, "")</f>
        <v/>
      </c>
    </row>
    <row r="1114">
      <c r="B1114" s="8" t="n"/>
      <c r="C1114" s="9">
        <f>IFERROR(_xll.ciqfunctions.udf.CIQ(mh_ticker, "IQ_LASTSALEPRICE", B1114), "")</f>
        <v/>
      </c>
      <c r="D1114" s="10">
        <f>IFERROR(_xll.ciqfunctions.udf.CIQ(mh_ticker, "IQ_SHARESOUTSTANDING_OUT", B1114), "")</f>
        <v/>
      </c>
      <c r="E1114" s="11">
        <f>IFERROR(_xll.ciqfunctions.udf.CIQ(mh_ticker, "IQ_CASH_EQUIV", , B1114), "")</f>
        <v/>
      </c>
      <c r="F1114" s="11">
        <f>IFERROR(_xll.ciqfunctions.udf.CIQ(mh_ticker, "IQ_ST_INVEST", , B1114), "")</f>
        <v/>
      </c>
      <c r="G1114" s="11">
        <f>IFERROR(_xll.ciqfunctions.udf.CIQ(mh_ticker, "IQ_TOTAL_DEBT_EXCL_OPER_LEASES", , B1114), "")</f>
        <v/>
      </c>
      <c r="H1114" s="11">
        <f>IFERROR(_xll.ciqfunctions.udf.CIQ(mh_ticker, "IQ_PREF_EQUITY", , B1114), "")</f>
        <v/>
      </c>
      <c r="I1114" s="11">
        <f>IFERROR(_xll.ciqfunctions.udf.CIQ(mh_ticker, "IQ_MINORITY_INTEREST", , B1114), "")</f>
        <v/>
      </c>
      <c r="J1114" s="11">
        <f>IFERROR(_xll.ciqfunctions.udf.CIQ(mh_ticker, "IQ_EQUITY_METHOD", , B1114), "")</f>
        <v/>
      </c>
      <c r="K1114" s="11">
        <f>IFERROR(_xll.ciqfunctions.udf.CIQ(mh_ticker, "IQ_LT_Mark_Securities", , B1114), "")</f>
        <v/>
      </c>
      <c r="L1114" s="12">
        <f>IFERROR(C1114*D1114, "")</f>
        <v/>
      </c>
      <c r="M1114" s="12">
        <f>IFERROR(L1114-E1114-F1114+G1114+H1114+I1114-J1114-K1114, "")</f>
        <v/>
      </c>
      <c r="N1114" s="11">
        <f>IFERROR(_xll.ciqfunctions.udf.CIQ(mh_ticker, "IQ_EBITDA_EST", IQ_NTM, B1114, , , "USD"), "")</f>
        <v/>
      </c>
      <c r="O1114" s="13">
        <f>IFERROR(M1114/N1114, "")</f>
        <v/>
      </c>
    </row>
    <row r="1115">
      <c r="B1115" s="8" t="n"/>
      <c r="C1115" s="9">
        <f>IFERROR(_xll.ciqfunctions.udf.CIQ(mh_ticker, "IQ_LASTSALEPRICE", B1115), "")</f>
        <v/>
      </c>
      <c r="D1115" s="10">
        <f>IFERROR(_xll.ciqfunctions.udf.CIQ(mh_ticker, "IQ_SHARESOUTSTANDING_OUT", B1115), "")</f>
        <v/>
      </c>
      <c r="E1115" s="11">
        <f>IFERROR(_xll.ciqfunctions.udf.CIQ(mh_ticker, "IQ_CASH_EQUIV", , B1115), "")</f>
        <v/>
      </c>
      <c r="F1115" s="11">
        <f>IFERROR(_xll.ciqfunctions.udf.CIQ(mh_ticker, "IQ_ST_INVEST", , B1115), "")</f>
        <v/>
      </c>
      <c r="G1115" s="11">
        <f>IFERROR(_xll.ciqfunctions.udf.CIQ(mh_ticker, "IQ_TOTAL_DEBT_EXCL_OPER_LEASES", , B1115), "")</f>
        <v/>
      </c>
      <c r="H1115" s="11">
        <f>IFERROR(_xll.ciqfunctions.udf.CIQ(mh_ticker, "IQ_PREF_EQUITY", , B1115), "")</f>
        <v/>
      </c>
      <c r="I1115" s="11">
        <f>IFERROR(_xll.ciqfunctions.udf.CIQ(mh_ticker, "IQ_MINORITY_INTEREST", , B1115), "")</f>
        <v/>
      </c>
      <c r="J1115" s="11">
        <f>IFERROR(_xll.ciqfunctions.udf.CIQ(mh_ticker, "IQ_EQUITY_METHOD", , B1115), "")</f>
        <v/>
      </c>
      <c r="K1115" s="11">
        <f>IFERROR(_xll.ciqfunctions.udf.CIQ(mh_ticker, "IQ_LT_Mark_Securities", , B1115), "")</f>
        <v/>
      </c>
      <c r="L1115" s="12">
        <f>IFERROR(C1115*D1115, "")</f>
        <v/>
      </c>
      <c r="M1115" s="12">
        <f>IFERROR(L1115-E1115-F1115+G1115+H1115+I1115-J1115-K1115, "")</f>
        <v/>
      </c>
      <c r="N1115" s="11">
        <f>IFERROR(_xll.ciqfunctions.udf.CIQ(mh_ticker, "IQ_EBITDA_EST", IQ_NTM, B1115, , , "USD"), "")</f>
        <v/>
      </c>
      <c r="O1115" s="13">
        <f>IFERROR(M1115/N1115, "")</f>
        <v/>
      </c>
    </row>
    <row r="1116">
      <c r="B1116" s="8" t="n"/>
      <c r="C1116" s="9">
        <f>IFERROR(_xll.ciqfunctions.udf.CIQ(mh_ticker, "IQ_LASTSALEPRICE", B1116), "")</f>
        <v/>
      </c>
      <c r="D1116" s="10">
        <f>IFERROR(_xll.ciqfunctions.udf.CIQ(mh_ticker, "IQ_SHARESOUTSTANDING_OUT", B1116), "")</f>
        <v/>
      </c>
      <c r="E1116" s="11">
        <f>IFERROR(_xll.ciqfunctions.udf.CIQ(mh_ticker, "IQ_CASH_EQUIV", , B1116), "")</f>
        <v/>
      </c>
      <c r="F1116" s="11">
        <f>IFERROR(_xll.ciqfunctions.udf.CIQ(mh_ticker, "IQ_ST_INVEST", , B1116), "")</f>
        <v/>
      </c>
      <c r="G1116" s="11">
        <f>IFERROR(_xll.ciqfunctions.udf.CIQ(mh_ticker, "IQ_TOTAL_DEBT_EXCL_OPER_LEASES", , B1116), "")</f>
        <v/>
      </c>
      <c r="H1116" s="11">
        <f>IFERROR(_xll.ciqfunctions.udf.CIQ(mh_ticker, "IQ_PREF_EQUITY", , B1116), "")</f>
        <v/>
      </c>
      <c r="I1116" s="11">
        <f>IFERROR(_xll.ciqfunctions.udf.CIQ(mh_ticker, "IQ_MINORITY_INTEREST", , B1116), "")</f>
        <v/>
      </c>
      <c r="J1116" s="11">
        <f>IFERROR(_xll.ciqfunctions.udf.CIQ(mh_ticker, "IQ_EQUITY_METHOD", , B1116), "")</f>
        <v/>
      </c>
      <c r="K1116" s="11">
        <f>IFERROR(_xll.ciqfunctions.udf.CIQ(mh_ticker, "IQ_LT_Mark_Securities", , B1116), "")</f>
        <v/>
      </c>
      <c r="L1116" s="12">
        <f>IFERROR(C1116*D1116, "")</f>
        <v/>
      </c>
      <c r="M1116" s="12">
        <f>IFERROR(L1116-E1116-F1116+G1116+H1116+I1116-J1116-K1116, "")</f>
        <v/>
      </c>
      <c r="N1116" s="11">
        <f>IFERROR(_xll.ciqfunctions.udf.CIQ(mh_ticker, "IQ_EBITDA_EST", IQ_NTM, B1116, , , "USD"), "")</f>
        <v/>
      </c>
      <c r="O1116" s="13">
        <f>IFERROR(M1116/N1116, "")</f>
        <v/>
      </c>
    </row>
    <row r="1117">
      <c r="B1117" s="8" t="n"/>
      <c r="C1117" s="9">
        <f>IFERROR(_xll.ciqfunctions.udf.CIQ(mh_ticker, "IQ_LASTSALEPRICE", B1117), "")</f>
        <v/>
      </c>
      <c r="D1117" s="10">
        <f>IFERROR(_xll.ciqfunctions.udf.CIQ(mh_ticker, "IQ_SHARESOUTSTANDING_OUT", B1117), "")</f>
        <v/>
      </c>
      <c r="E1117" s="11">
        <f>IFERROR(_xll.ciqfunctions.udf.CIQ(mh_ticker, "IQ_CASH_EQUIV", , B1117), "")</f>
        <v/>
      </c>
      <c r="F1117" s="11">
        <f>IFERROR(_xll.ciqfunctions.udf.CIQ(mh_ticker, "IQ_ST_INVEST", , B1117), "")</f>
        <v/>
      </c>
      <c r="G1117" s="11">
        <f>IFERROR(_xll.ciqfunctions.udf.CIQ(mh_ticker, "IQ_TOTAL_DEBT_EXCL_OPER_LEASES", , B1117), "")</f>
        <v/>
      </c>
      <c r="H1117" s="11">
        <f>IFERROR(_xll.ciqfunctions.udf.CIQ(mh_ticker, "IQ_PREF_EQUITY", , B1117), "")</f>
        <v/>
      </c>
      <c r="I1117" s="11">
        <f>IFERROR(_xll.ciqfunctions.udf.CIQ(mh_ticker, "IQ_MINORITY_INTEREST", , B1117), "")</f>
        <v/>
      </c>
      <c r="J1117" s="11">
        <f>IFERROR(_xll.ciqfunctions.udf.CIQ(mh_ticker, "IQ_EQUITY_METHOD", , B1117), "")</f>
        <v/>
      </c>
      <c r="K1117" s="11">
        <f>IFERROR(_xll.ciqfunctions.udf.CIQ(mh_ticker, "IQ_LT_Mark_Securities", , B1117), "")</f>
        <v/>
      </c>
      <c r="L1117" s="12">
        <f>IFERROR(C1117*D1117, "")</f>
        <v/>
      </c>
      <c r="M1117" s="12">
        <f>IFERROR(L1117-E1117-F1117+G1117+H1117+I1117-J1117-K1117, "")</f>
        <v/>
      </c>
      <c r="N1117" s="11">
        <f>IFERROR(_xll.ciqfunctions.udf.CIQ(mh_ticker, "IQ_EBITDA_EST", IQ_NTM, B1117, , , "USD"), "")</f>
        <v/>
      </c>
      <c r="O1117" s="13">
        <f>IFERROR(M1117/N1117, "")</f>
        <v/>
      </c>
    </row>
    <row r="1118">
      <c r="B1118" s="8" t="n"/>
      <c r="C1118" s="9">
        <f>IFERROR(_xll.ciqfunctions.udf.CIQ(mh_ticker, "IQ_LASTSALEPRICE", B1118), "")</f>
        <v/>
      </c>
      <c r="D1118" s="10">
        <f>IFERROR(_xll.ciqfunctions.udf.CIQ(mh_ticker, "IQ_SHARESOUTSTANDING_OUT", B1118), "")</f>
        <v/>
      </c>
      <c r="E1118" s="11">
        <f>IFERROR(_xll.ciqfunctions.udf.CIQ(mh_ticker, "IQ_CASH_EQUIV", , B1118), "")</f>
        <v/>
      </c>
      <c r="F1118" s="11">
        <f>IFERROR(_xll.ciqfunctions.udf.CIQ(mh_ticker, "IQ_ST_INVEST", , B1118), "")</f>
        <v/>
      </c>
      <c r="G1118" s="11">
        <f>IFERROR(_xll.ciqfunctions.udf.CIQ(mh_ticker, "IQ_TOTAL_DEBT_EXCL_OPER_LEASES", , B1118), "")</f>
        <v/>
      </c>
      <c r="H1118" s="11">
        <f>IFERROR(_xll.ciqfunctions.udf.CIQ(mh_ticker, "IQ_PREF_EQUITY", , B1118), "")</f>
        <v/>
      </c>
      <c r="I1118" s="11">
        <f>IFERROR(_xll.ciqfunctions.udf.CIQ(mh_ticker, "IQ_MINORITY_INTEREST", , B1118), "")</f>
        <v/>
      </c>
      <c r="J1118" s="11">
        <f>IFERROR(_xll.ciqfunctions.udf.CIQ(mh_ticker, "IQ_EQUITY_METHOD", , B1118), "")</f>
        <v/>
      </c>
      <c r="K1118" s="11">
        <f>IFERROR(_xll.ciqfunctions.udf.CIQ(mh_ticker, "IQ_LT_Mark_Securities", , B1118), "")</f>
        <v/>
      </c>
      <c r="L1118" s="12">
        <f>IFERROR(C1118*D1118, "")</f>
        <v/>
      </c>
      <c r="M1118" s="12">
        <f>IFERROR(L1118-E1118-F1118+G1118+H1118+I1118-J1118-K1118, "")</f>
        <v/>
      </c>
      <c r="N1118" s="11">
        <f>IFERROR(_xll.ciqfunctions.udf.CIQ(mh_ticker, "IQ_EBITDA_EST", IQ_NTM, B1118, , , "USD"), "")</f>
        <v/>
      </c>
      <c r="O1118" s="13">
        <f>IFERROR(M1118/N1118, "")</f>
        <v/>
      </c>
    </row>
    <row r="1119">
      <c r="B1119" s="8" t="n"/>
      <c r="C1119" s="9">
        <f>IFERROR(_xll.ciqfunctions.udf.CIQ(mh_ticker, "IQ_LASTSALEPRICE", B1119), "")</f>
        <v/>
      </c>
      <c r="D1119" s="10">
        <f>IFERROR(_xll.ciqfunctions.udf.CIQ(mh_ticker, "IQ_SHARESOUTSTANDING_OUT", B1119), "")</f>
        <v/>
      </c>
      <c r="E1119" s="11">
        <f>IFERROR(_xll.ciqfunctions.udf.CIQ(mh_ticker, "IQ_CASH_EQUIV", , B1119), "")</f>
        <v/>
      </c>
      <c r="F1119" s="11">
        <f>IFERROR(_xll.ciqfunctions.udf.CIQ(mh_ticker, "IQ_ST_INVEST", , B1119), "")</f>
        <v/>
      </c>
      <c r="G1119" s="11">
        <f>IFERROR(_xll.ciqfunctions.udf.CIQ(mh_ticker, "IQ_TOTAL_DEBT_EXCL_OPER_LEASES", , B1119), "")</f>
        <v/>
      </c>
      <c r="H1119" s="11">
        <f>IFERROR(_xll.ciqfunctions.udf.CIQ(mh_ticker, "IQ_PREF_EQUITY", , B1119), "")</f>
        <v/>
      </c>
      <c r="I1119" s="11">
        <f>IFERROR(_xll.ciqfunctions.udf.CIQ(mh_ticker, "IQ_MINORITY_INTEREST", , B1119), "")</f>
        <v/>
      </c>
      <c r="J1119" s="11">
        <f>IFERROR(_xll.ciqfunctions.udf.CIQ(mh_ticker, "IQ_EQUITY_METHOD", , B1119), "")</f>
        <v/>
      </c>
      <c r="K1119" s="11">
        <f>IFERROR(_xll.ciqfunctions.udf.CIQ(mh_ticker, "IQ_LT_Mark_Securities", , B1119), "")</f>
        <v/>
      </c>
      <c r="L1119" s="12">
        <f>IFERROR(C1119*D1119, "")</f>
        <v/>
      </c>
      <c r="M1119" s="12">
        <f>IFERROR(L1119-E1119-F1119+G1119+H1119+I1119-J1119-K1119, "")</f>
        <v/>
      </c>
      <c r="N1119" s="11">
        <f>IFERROR(_xll.ciqfunctions.udf.CIQ(mh_ticker, "IQ_EBITDA_EST", IQ_NTM, B1119, , , "USD"), "")</f>
        <v/>
      </c>
      <c r="O1119" s="13">
        <f>IFERROR(M1119/N1119, "")</f>
        <v/>
      </c>
    </row>
    <row r="1120">
      <c r="B1120" s="8" t="n"/>
      <c r="C1120" s="9">
        <f>IFERROR(_xll.ciqfunctions.udf.CIQ(mh_ticker, "IQ_LASTSALEPRICE", B1120), "")</f>
        <v/>
      </c>
      <c r="D1120" s="10">
        <f>IFERROR(_xll.ciqfunctions.udf.CIQ(mh_ticker, "IQ_SHARESOUTSTANDING_OUT", B1120), "")</f>
        <v/>
      </c>
      <c r="E1120" s="11">
        <f>IFERROR(_xll.ciqfunctions.udf.CIQ(mh_ticker, "IQ_CASH_EQUIV", , B1120), "")</f>
        <v/>
      </c>
      <c r="F1120" s="11">
        <f>IFERROR(_xll.ciqfunctions.udf.CIQ(mh_ticker, "IQ_ST_INVEST", , B1120), "")</f>
        <v/>
      </c>
      <c r="G1120" s="11">
        <f>IFERROR(_xll.ciqfunctions.udf.CIQ(mh_ticker, "IQ_TOTAL_DEBT_EXCL_OPER_LEASES", , B1120), "")</f>
        <v/>
      </c>
      <c r="H1120" s="11">
        <f>IFERROR(_xll.ciqfunctions.udf.CIQ(mh_ticker, "IQ_PREF_EQUITY", , B1120), "")</f>
        <v/>
      </c>
      <c r="I1120" s="11">
        <f>IFERROR(_xll.ciqfunctions.udf.CIQ(mh_ticker, "IQ_MINORITY_INTEREST", , B1120), "")</f>
        <v/>
      </c>
      <c r="J1120" s="11">
        <f>IFERROR(_xll.ciqfunctions.udf.CIQ(mh_ticker, "IQ_EQUITY_METHOD", , B1120), "")</f>
        <v/>
      </c>
      <c r="K1120" s="11">
        <f>IFERROR(_xll.ciqfunctions.udf.CIQ(mh_ticker, "IQ_LT_Mark_Securities", , B1120), "")</f>
        <v/>
      </c>
      <c r="L1120" s="12">
        <f>IFERROR(C1120*D1120, "")</f>
        <v/>
      </c>
      <c r="M1120" s="12">
        <f>IFERROR(L1120-E1120-F1120+G1120+H1120+I1120-J1120-K1120, "")</f>
        <v/>
      </c>
      <c r="N1120" s="11">
        <f>IFERROR(_xll.ciqfunctions.udf.CIQ(mh_ticker, "IQ_EBITDA_EST", IQ_NTM, B1120, , , "USD"), "")</f>
        <v/>
      </c>
      <c r="O1120" s="13">
        <f>IFERROR(M1120/N1120, "")</f>
        <v/>
      </c>
    </row>
    <row r="1121">
      <c r="B1121" s="8" t="n"/>
      <c r="C1121" s="9">
        <f>IFERROR(_xll.ciqfunctions.udf.CIQ(mh_ticker, "IQ_LASTSALEPRICE", B1121), "")</f>
        <v/>
      </c>
      <c r="D1121" s="10">
        <f>IFERROR(_xll.ciqfunctions.udf.CIQ(mh_ticker, "IQ_SHARESOUTSTANDING_OUT", B1121), "")</f>
        <v/>
      </c>
      <c r="E1121" s="11">
        <f>IFERROR(_xll.ciqfunctions.udf.CIQ(mh_ticker, "IQ_CASH_EQUIV", , B1121), "")</f>
        <v/>
      </c>
      <c r="F1121" s="11">
        <f>IFERROR(_xll.ciqfunctions.udf.CIQ(mh_ticker, "IQ_ST_INVEST", , B1121), "")</f>
        <v/>
      </c>
      <c r="G1121" s="11">
        <f>IFERROR(_xll.ciqfunctions.udf.CIQ(mh_ticker, "IQ_TOTAL_DEBT_EXCL_OPER_LEASES", , B1121), "")</f>
        <v/>
      </c>
      <c r="H1121" s="11">
        <f>IFERROR(_xll.ciqfunctions.udf.CIQ(mh_ticker, "IQ_PREF_EQUITY", , B1121), "")</f>
        <v/>
      </c>
      <c r="I1121" s="11">
        <f>IFERROR(_xll.ciqfunctions.udf.CIQ(mh_ticker, "IQ_MINORITY_INTEREST", , B1121), "")</f>
        <v/>
      </c>
      <c r="J1121" s="11">
        <f>IFERROR(_xll.ciqfunctions.udf.CIQ(mh_ticker, "IQ_EQUITY_METHOD", , B1121), "")</f>
        <v/>
      </c>
      <c r="K1121" s="11">
        <f>IFERROR(_xll.ciqfunctions.udf.CIQ(mh_ticker, "IQ_LT_Mark_Securities", , B1121), "")</f>
        <v/>
      </c>
      <c r="L1121" s="12">
        <f>IFERROR(C1121*D1121, "")</f>
        <v/>
      </c>
      <c r="M1121" s="12">
        <f>IFERROR(L1121-E1121-F1121+G1121+H1121+I1121-J1121-K1121, "")</f>
        <v/>
      </c>
      <c r="N1121" s="11">
        <f>IFERROR(_xll.ciqfunctions.udf.CIQ(mh_ticker, "IQ_EBITDA_EST", IQ_NTM, B1121, , , "USD"), "")</f>
        <v/>
      </c>
      <c r="O1121" s="13">
        <f>IFERROR(M1121/N1121, "")</f>
        <v/>
      </c>
    </row>
    <row r="1122">
      <c r="B1122" s="8" t="n"/>
      <c r="C1122" s="9">
        <f>IFERROR(_xll.ciqfunctions.udf.CIQ(mh_ticker, "IQ_LASTSALEPRICE", B1122), "")</f>
        <v/>
      </c>
      <c r="D1122" s="10">
        <f>IFERROR(_xll.ciqfunctions.udf.CIQ(mh_ticker, "IQ_SHARESOUTSTANDING_OUT", B1122), "")</f>
        <v/>
      </c>
      <c r="E1122" s="11">
        <f>IFERROR(_xll.ciqfunctions.udf.CIQ(mh_ticker, "IQ_CASH_EQUIV", , B1122), "")</f>
        <v/>
      </c>
      <c r="F1122" s="11">
        <f>IFERROR(_xll.ciqfunctions.udf.CIQ(mh_ticker, "IQ_ST_INVEST", , B1122), "")</f>
        <v/>
      </c>
      <c r="G1122" s="11">
        <f>IFERROR(_xll.ciqfunctions.udf.CIQ(mh_ticker, "IQ_TOTAL_DEBT_EXCL_OPER_LEASES", , B1122), "")</f>
        <v/>
      </c>
      <c r="H1122" s="11">
        <f>IFERROR(_xll.ciqfunctions.udf.CIQ(mh_ticker, "IQ_PREF_EQUITY", , B1122), "")</f>
        <v/>
      </c>
      <c r="I1122" s="11">
        <f>IFERROR(_xll.ciqfunctions.udf.CIQ(mh_ticker, "IQ_MINORITY_INTEREST", , B1122), "")</f>
        <v/>
      </c>
      <c r="J1122" s="11">
        <f>IFERROR(_xll.ciqfunctions.udf.CIQ(mh_ticker, "IQ_EQUITY_METHOD", , B1122), "")</f>
        <v/>
      </c>
      <c r="K1122" s="11">
        <f>IFERROR(_xll.ciqfunctions.udf.CIQ(mh_ticker, "IQ_LT_Mark_Securities", , B1122), "")</f>
        <v/>
      </c>
      <c r="L1122" s="12">
        <f>IFERROR(C1122*D1122, "")</f>
        <v/>
      </c>
      <c r="M1122" s="12">
        <f>IFERROR(L1122-E1122-F1122+G1122+H1122+I1122-J1122-K1122, "")</f>
        <v/>
      </c>
      <c r="N1122" s="11">
        <f>IFERROR(_xll.ciqfunctions.udf.CIQ(mh_ticker, "IQ_EBITDA_EST", IQ_NTM, B1122, , , "USD"), "")</f>
        <v/>
      </c>
      <c r="O1122" s="13">
        <f>IFERROR(M1122/N1122, "")</f>
        <v/>
      </c>
    </row>
    <row r="1123">
      <c r="B1123" s="8" t="n"/>
      <c r="C1123" s="9">
        <f>IFERROR(_xll.ciqfunctions.udf.CIQ(mh_ticker, "IQ_LASTSALEPRICE", B1123), "")</f>
        <v/>
      </c>
      <c r="D1123" s="10">
        <f>IFERROR(_xll.ciqfunctions.udf.CIQ(mh_ticker, "IQ_SHARESOUTSTANDING_OUT", B1123), "")</f>
        <v/>
      </c>
      <c r="E1123" s="11">
        <f>IFERROR(_xll.ciqfunctions.udf.CIQ(mh_ticker, "IQ_CASH_EQUIV", , B1123), "")</f>
        <v/>
      </c>
      <c r="F1123" s="11">
        <f>IFERROR(_xll.ciqfunctions.udf.CIQ(mh_ticker, "IQ_ST_INVEST", , B1123), "")</f>
        <v/>
      </c>
      <c r="G1123" s="11">
        <f>IFERROR(_xll.ciqfunctions.udf.CIQ(mh_ticker, "IQ_TOTAL_DEBT_EXCL_OPER_LEASES", , B1123), "")</f>
        <v/>
      </c>
      <c r="H1123" s="11">
        <f>IFERROR(_xll.ciqfunctions.udf.CIQ(mh_ticker, "IQ_PREF_EQUITY", , B1123), "")</f>
        <v/>
      </c>
      <c r="I1123" s="11">
        <f>IFERROR(_xll.ciqfunctions.udf.CIQ(mh_ticker, "IQ_MINORITY_INTEREST", , B1123), "")</f>
        <v/>
      </c>
      <c r="J1123" s="11">
        <f>IFERROR(_xll.ciqfunctions.udf.CIQ(mh_ticker, "IQ_EQUITY_METHOD", , B1123), "")</f>
        <v/>
      </c>
      <c r="K1123" s="11">
        <f>IFERROR(_xll.ciqfunctions.udf.CIQ(mh_ticker, "IQ_LT_Mark_Securities", , B1123), "")</f>
        <v/>
      </c>
      <c r="L1123" s="12">
        <f>IFERROR(C1123*D1123, "")</f>
        <v/>
      </c>
      <c r="M1123" s="12">
        <f>IFERROR(L1123-E1123-F1123+G1123+H1123+I1123-J1123-K1123, "")</f>
        <v/>
      </c>
      <c r="N1123" s="11">
        <f>IFERROR(_xll.ciqfunctions.udf.CIQ(mh_ticker, "IQ_EBITDA_EST", IQ_NTM, B1123, , , "USD"), "")</f>
        <v/>
      </c>
      <c r="O1123" s="13">
        <f>IFERROR(M1123/N1123, "")</f>
        <v/>
      </c>
    </row>
    <row r="1124">
      <c r="B1124" s="8" t="n"/>
      <c r="C1124" s="9">
        <f>IFERROR(_xll.ciqfunctions.udf.CIQ(mh_ticker, "IQ_LASTSALEPRICE", B1124), "")</f>
        <v/>
      </c>
      <c r="D1124" s="10">
        <f>IFERROR(_xll.ciqfunctions.udf.CIQ(mh_ticker, "IQ_SHARESOUTSTANDING_OUT", B1124), "")</f>
        <v/>
      </c>
      <c r="E1124" s="11">
        <f>IFERROR(_xll.ciqfunctions.udf.CIQ(mh_ticker, "IQ_CASH_EQUIV", , B1124), "")</f>
        <v/>
      </c>
      <c r="F1124" s="11">
        <f>IFERROR(_xll.ciqfunctions.udf.CIQ(mh_ticker, "IQ_ST_INVEST", , B1124), "")</f>
        <v/>
      </c>
      <c r="G1124" s="11">
        <f>IFERROR(_xll.ciqfunctions.udf.CIQ(mh_ticker, "IQ_TOTAL_DEBT_EXCL_OPER_LEASES", , B1124), "")</f>
        <v/>
      </c>
      <c r="H1124" s="11">
        <f>IFERROR(_xll.ciqfunctions.udf.CIQ(mh_ticker, "IQ_PREF_EQUITY", , B1124), "")</f>
        <v/>
      </c>
      <c r="I1124" s="11">
        <f>IFERROR(_xll.ciqfunctions.udf.CIQ(mh_ticker, "IQ_MINORITY_INTEREST", , B1124), "")</f>
        <v/>
      </c>
      <c r="J1124" s="11">
        <f>IFERROR(_xll.ciqfunctions.udf.CIQ(mh_ticker, "IQ_EQUITY_METHOD", , B1124), "")</f>
        <v/>
      </c>
      <c r="K1124" s="11">
        <f>IFERROR(_xll.ciqfunctions.udf.CIQ(mh_ticker, "IQ_LT_Mark_Securities", , B1124), "")</f>
        <v/>
      </c>
      <c r="L1124" s="12">
        <f>IFERROR(C1124*D1124, "")</f>
        <v/>
      </c>
      <c r="M1124" s="12">
        <f>IFERROR(L1124-E1124-F1124+G1124+H1124+I1124-J1124-K1124, "")</f>
        <v/>
      </c>
      <c r="N1124" s="11">
        <f>IFERROR(_xll.ciqfunctions.udf.CIQ(mh_ticker, "IQ_EBITDA_EST", IQ_NTM, B1124, , , "USD"), "")</f>
        <v/>
      </c>
      <c r="O1124" s="13">
        <f>IFERROR(M1124/N1124, "")</f>
        <v/>
      </c>
    </row>
    <row r="1125">
      <c r="B1125" s="8" t="n"/>
      <c r="C1125" s="9">
        <f>IFERROR(_xll.ciqfunctions.udf.CIQ(mh_ticker, "IQ_LASTSALEPRICE", B1125), "")</f>
        <v/>
      </c>
      <c r="D1125" s="10">
        <f>IFERROR(_xll.ciqfunctions.udf.CIQ(mh_ticker, "IQ_SHARESOUTSTANDING_OUT", B1125), "")</f>
        <v/>
      </c>
      <c r="E1125" s="11">
        <f>IFERROR(_xll.ciqfunctions.udf.CIQ(mh_ticker, "IQ_CASH_EQUIV", , B1125), "")</f>
        <v/>
      </c>
      <c r="F1125" s="11">
        <f>IFERROR(_xll.ciqfunctions.udf.CIQ(mh_ticker, "IQ_ST_INVEST", , B1125), "")</f>
        <v/>
      </c>
      <c r="G1125" s="11">
        <f>IFERROR(_xll.ciqfunctions.udf.CIQ(mh_ticker, "IQ_TOTAL_DEBT_EXCL_OPER_LEASES", , B1125), "")</f>
        <v/>
      </c>
      <c r="H1125" s="11">
        <f>IFERROR(_xll.ciqfunctions.udf.CIQ(mh_ticker, "IQ_PREF_EQUITY", , B1125), "")</f>
        <v/>
      </c>
      <c r="I1125" s="11">
        <f>IFERROR(_xll.ciqfunctions.udf.CIQ(mh_ticker, "IQ_MINORITY_INTEREST", , B1125), "")</f>
        <v/>
      </c>
      <c r="J1125" s="11">
        <f>IFERROR(_xll.ciqfunctions.udf.CIQ(mh_ticker, "IQ_EQUITY_METHOD", , B1125), "")</f>
        <v/>
      </c>
      <c r="K1125" s="11">
        <f>IFERROR(_xll.ciqfunctions.udf.CIQ(mh_ticker, "IQ_LT_Mark_Securities", , B1125), "")</f>
        <v/>
      </c>
      <c r="L1125" s="12">
        <f>IFERROR(C1125*D1125, "")</f>
        <v/>
      </c>
      <c r="M1125" s="12">
        <f>IFERROR(L1125-E1125-F1125+G1125+H1125+I1125-J1125-K1125, "")</f>
        <v/>
      </c>
      <c r="N1125" s="11">
        <f>IFERROR(_xll.ciqfunctions.udf.CIQ(mh_ticker, "IQ_EBITDA_EST", IQ_NTM, B1125, , , "USD"), "")</f>
        <v/>
      </c>
      <c r="O1125" s="13">
        <f>IFERROR(M1125/N1125, "")</f>
        <v/>
      </c>
    </row>
    <row r="1126">
      <c r="B1126" s="8" t="n"/>
      <c r="C1126" s="9">
        <f>IFERROR(_xll.ciqfunctions.udf.CIQ(mh_ticker, "IQ_LASTSALEPRICE", B1126), "")</f>
        <v/>
      </c>
      <c r="D1126" s="10">
        <f>IFERROR(_xll.ciqfunctions.udf.CIQ(mh_ticker, "IQ_SHARESOUTSTANDING_OUT", B1126), "")</f>
        <v/>
      </c>
      <c r="E1126" s="11">
        <f>IFERROR(_xll.ciqfunctions.udf.CIQ(mh_ticker, "IQ_CASH_EQUIV", , B1126), "")</f>
        <v/>
      </c>
      <c r="F1126" s="11">
        <f>IFERROR(_xll.ciqfunctions.udf.CIQ(mh_ticker, "IQ_ST_INVEST", , B1126), "")</f>
        <v/>
      </c>
      <c r="G1126" s="11">
        <f>IFERROR(_xll.ciqfunctions.udf.CIQ(mh_ticker, "IQ_TOTAL_DEBT_EXCL_OPER_LEASES", , B1126), "")</f>
        <v/>
      </c>
      <c r="H1126" s="11">
        <f>IFERROR(_xll.ciqfunctions.udf.CIQ(mh_ticker, "IQ_PREF_EQUITY", , B1126), "")</f>
        <v/>
      </c>
      <c r="I1126" s="11">
        <f>IFERROR(_xll.ciqfunctions.udf.CIQ(mh_ticker, "IQ_MINORITY_INTEREST", , B1126), "")</f>
        <v/>
      </c>
      <c r="J1126" s="11">
        <f>IFERROR(_xll.ciqfunctions.udf.CIQ(mh_ticker, "IQ_EQUITY_METHOD", , B1126), "")</f>
        <v/>
      </c>
      <c r="K1126" s="11">
        <f>IFERROR(_xll.ciqfunctions.udf.CIQ(mh_ticker, "IQ_LT_Mark_Securities", , B1126), "")</f>
        <v/>
      </c>
      <c r="L1126" s="12">
        <f>IFERROR(C1126*D1126, "")</f>
        <v/>
      </c>
      <c r="M1126" s="12">
        <f>IFERROR(L1126-E1126-F1126+G1126+H1126+I1126-J1126-K1126, "")</f>
        <v/>
      </c>
      <c r="N1126" s="11">
        <f>IFERROR(_xll.ciqfunctions.udf.CIQ(mh_ticker, "IQ_EBITDA_EST", IQ_NTM, B1126, , , "USD"), "")</f>
        <v/>
      </c>
      <c r="O1126" s="13">
        <f>IFERROR(M1126/N1126, "")</f>
        <v/>
      </c>
    </row>
    <row r="1127">
      <c r="B1127" s="8" t="n"/>
      <c r="C1127" s="9">
        <f>IFERROR(_xll.ciqfunctions.udf.CIQ(mh_ticker, "IQ_LASTSALEPRICE", B1127), "")</f>
        <v/>
      </c>
      <c r="D1127" s="10">
        <f>IFERROR(_xll.ciqfunctions.udf.CIQ(mh_ticker, "IQ_SHARESOUTSTANDING_OUT", B1127), "")</f>
        <v/>
      </c>
      <c r="E1127" s="11">
        <f>IFERROR(_xll.ciqfunctions.udf.CIQ(mh_ticker, "IQ_CASH_EQUIV", , B1127), "")</f>
        <v/>
      </c>
      <c r="F1127" s="11">
        <f>IFERROR(_xll.ciqfunctions.udf.CIQ(mh_ticker, "IQ_ST_INVEST", , B1127), "")</f>
        <v/>
      </c>
      <c r="G1127" s="11">
        <f>IFERROR(_xll.ciqfunctions.udf.CIQ(mh_ticker, "IQ_TOTAL_DEBT_EXCL_OPER_LEASES", , B1127), "")</f>
        <v/>
      </c>
      <c r="H1127" s="11">
        <f>IFERROR(_xll.ciqfunctions.udf.CIQ(mh_ticker, "IQ_PREF_EQUITY", , B1127), "")</f>
        <v/>
      </c>
      <c r="I1127" s="11">
        <f>IFERROR(_xll.ciqfunctions.udf.CIQ(mh_ticker, "IQ_MINORITY_INTEREST", , B1127), "")</f>
        <v/>
      </c>
      <c r="J1127" s="11">
        <f>IFERROR(_xll.ciqfunctions.udf.CIQ(mh_ticker, "IQ_EQUITY_METHOD", , B1127), "")</f>
        <v/>
      </c>
      <c r="K1127" s="11">
        <f>IFERROR(_xll.ciqfunctions.udf.CIQ(mh_ticker, "IQ_LT_Mark_Securities", , B1127), "")</f>
        <v/>
      </c>
      <c r="L1127" s="12">
        <f>IFERROR(C1127*D1127, "")</f>
        <v/>
      </c>
      <c r="M1127" s="12">
        <f>IFERROR(L1127-E1127-F1127+G1127+H1127+I1127-J1127-K1127, "")</f>
        <v/>
      </c>
      <c r="N1127" s="11">
        <f>IFERROR(_xll.ciqfunctions.udf.CIQ(mh_ticker, "IQ_EBITDA_EST", IQ_NTM, B1127, , , "USD"), "")</f>
        <v/>
      </c>
      <c r="O1127" s="13">
        <f>IFERROR(M1127/N1127, "")</f>
        <v/>
      </c>
    </row>
    <row r="1128">
      <c r="B1128" s="8" t="n"/>
      <c r="C1128" s="9">
        <f>IFERROR(_xll.ciqfunctions.udf.CIQ(mh_ticker, "IQ_LASTSALEPRICE", B1128), "")</f>
        <v/>
      </c>
      <c r="D1128" s="10">
        <f>IFERROR(_xll.ciqfunctions.udf.CIQ(mh_ticker, "IQ_SHARESOUTSTANDING_OUT", B1128), "")</f>
        <v/>
      </c>
      <c r="E1128" s="11">
        <f>IFERROR(_xll.ciqfunctions.udf.CIQ(mh_ticker, "IQ_CASH_EQUIV", , B1128), "")</f>
        <v/>
      </c>
      <c r="F1128" s="11">
        <f>IFERROR(_xll.ciqfunctions.udf.CIQ(mh_ticker, "IQ_ST_INVEST", , B1128), "")</f>
        <v/>
      </c>
      <c r="G1128" s="11">
        <f>IFERROR(_xll.ciqfunctions.udf.CIQ(mh_ticker, "IQ_TOTAL_DEBT_EXCL_OPER_LEASES", , B1128), "")</f>
        <v/>
      </c>
      <c r="H1128" s="11">
        <f>IFERROR(_xll.ciqfunctions.udf.CIQ(mh_ticker, "IQ_PREF_EQUITY", , B1128), "")</f>
        <v/>
      </c>
      <c r="I1128" s="11">
        <f>IFERROR(_xll.ciqfunctions.udf.CIQ(mh_ticker, "IQ_MINORITY_INTEREST", , B1128), "")</f>
        <v/>
      </c>
      <c r="J1128" s="11">
        <f>IFERROR(_xll.ciqfunctions.udf.CIQ(mh_ticker, "IQ_EQUITY_METHOD", , B1128), "")</f>
        <v/>
      </c>
      <c r="K1128" s="11">
        <f>IFERROR(_xll.ciqfunctions.udf.CIQ(mh_ticker, "IQ_LT_Mark_Securities", , B1128), "")</f>
        <v/>
      </c>
      <c r="L1128" s="12">
        <f>IFERROR(C1128*D1128, "")</f>
        <v/>
      </c>
      <c r="M1128" s="12">
        <f>IFERROR(L1128-E1128-F1128+G1128+H1128+I1128-J1128-K1128, "")</f>
        <v/>
      </c>
      <c r="N1128" s="11">
        <f>IFERROR(_xll.ciqfunctions.udf.CIQ(mh_ticker, "IQ_EBITDA_EST", IQ_NTM, B1128, , , "USD"), "")</f>
        <v/>
      </c>
      <c r="O1128" s="13">
        <f>IFERROR(M1128/N1128, "")</f>
        <v/>
      </c>
    </row>
    <row r="1129">
      <c r="B1129" s="8" t="n"/>
      <c r="C1129" s="9">
        <f>IFERROR(_xll.ciqfunctions.udf.CIQ(mh_ticker, "IQ_LASTSALEPRICE", B1129), "")</f>
        <v/>
      </c>
      <c r="D1129" s="10">
        <f>IFERROR(_xll.ciqfunctions.udf.CIQ(mh_ticker, "IQ_SHARESOUTSTANDING_OUT", B1129), "")</f>
        <v/>
      </c>
      <c r="E1129" s="11">
        <f>IFERROR(_xll.ciqfunctions.udf.CIQ(mh_ticker, "IQ_CASH_EQUIV", , B1129), "")</f>
        <v/>
      </c>
      <c r="F1129" s="11">
        <f>IFERROR(_xll.ciqfunctions.udf.CIQ(mh_ticker, "IQ_ST_INVEST", , B1129), "")</f>
        <v/>
      </c>
      <c r="G1129" s="11">
        <f>IFERROR(_xll.ciqfunctions.udf.CIQ(mh_ticker, "IQ_TOTAL_DEBT_EXCL_OPER_LEASES", , B1129), "")</f>
        <v/>
      </c>
      <c r="H1129" s="11">
        <f>IFERROR(_xll.ciqfunctions.udf.CIQ(mh_ticker, "IQ_PREF_EQUITY", , B1129), "")</f>
        <v/>
      </c>
      <c r="I1129" s="11">
        <f>IFERROR(_xll.ciqfunctions.udf.CIQ(mh_ticker, "IQ_MINORITY_INTEREST", , B1129), "")</f>
        <v/>
      </c>
      <c r="J1129" s="11">
        <f>IFERROR(_xll.ciqfunctions.udf.CIQ(mh_ticker, "IQ_EQUITY_METHOD", , B1129), "")</f>
        <v/>
      </c>
      <c r="K1129" s="11">
        <f>IFERROR(_xll.ciqfunctions.udf.CIQ(mh_ticker, "IQ_LT_Mark_Securities", , B1129), "")</f>
        <v/>
      </c>
      <c r="L1129" s="12">
        <f>IFERROR(C1129*D1129, "")</f>
        <v/>
      </c>
      <c r="M1129" s="12">
        <f>IFERROR(L1129-E1129-F1129+G1129+H1129+I1129-J1129-K1129, "")</f>
        <v/>
      </c>
      <c r="N1129" s="11">
        <f>IFERROR(_xll.ciqfunctions.udf.CIQ(mh_ticker, "IQ_EBITDA_EST", IQ_NTM, B1129, , , "USD"), "")</f>
        <v/>
      </c>
      <c r="O1129" s="13">
        <f>IFERROR(M1129/N1129, "")</f>
        <v/>
      </c>
    </row>
    <row r="1130">
      <c r="B1130" s="8" t="n"/>
      <c r="C1130" s="9">
        <f>IFERROR(_xll.ciqfunctions.udf.CIQ(mh_ticker, "IQ_LASTSALEPRICE", B1130), "")</f>
        <v/>
      </c>
      <c r="D1130" s="10">
        <f>IFERROR(_xll.ciqfunctions.udf.CIQ(mh_ticker, "IQ_SHARESOUTSTANDING_OUT", B1130), "")</f>
        <v/>
      </c>
      <c r="E1130" s="11">
        <f>IFERROR(_xll.ciqfunctions.udf.CIQ(mh_ticker, "IQ_CASH_EQUIV", , B1130), "")</f>
        <v/>
      </c>
      <c r="F1130" s="11">
        <f>IFERROR(_xll.ciqfunctions.udf.CIQ(mh_ticker, "IQ_ST_INVEST", , B1130), "")</f>
        <v/>
      </c>
      <c r="G1130" s="11">
        <f>IFERROR(_xll.ciqfunctions.udf.CIQ(mh_ticker, "IQ_TOTAL_DEBT_EXCL_OPER_LEASES", , B1130), "")</f>
        <v/>
      </c>
      <c r="H1130" s="11">
        <f>IFERROR(_xll.ciqfunctions.udf.CIQ(mh_ticker, "IQ_PREF_EQUITY", , B1130), "")</f>
        <v/>
      </c>
      <c r="I1130" s="11">
        <f>IFERROR(_xll.ciqfunctions.udf.CIQ(mh_ticker, "IQ_MINORITY_INTEREST", , B1130), "")</f>
        <v/>
      </c>
      <c r="J1130" s="11">
        <f>IFERROR(_xll.ciqfunctions.udf.CIQ(mh_ticker, "IQ_EQUITY_METHOD", , B1130), "")</f>
        <v/>
      </c>
      <c r="K1130" s="11">
        <f>IFERROR(_xll.ciqfunctions.udf.CIQ(mh_ticker, "IQ_LT_Mark_Securities", , B1130), "")</f>
        <v/>
      </c>
      <c r="L1130" s="12">
        <f>IFERROR(C1130*D1130, "")</f>
        <v/>
      </c>
      <c r="M1130" s="12">
        <f>IFERROR(L1130-E1130-F1130+G1130+H1130+I1130-J1130-K1130, "")</f>
        <v/>
      </c>
      <c r="N1130" s="11">
        <f>IFERROR(_xll.ciqfunctions.udf.CIQ(mh_ticker, "IQ_EBITDA_EST", IQ_NTM, B1130, , , "USD"), "")</f>
        <v/>
      </c>
      <c r="O1130" s="13">
        <f>IFERROR(M1130/N1130, "")</f>
        <v/>
      </c>
    </row>
    <row r="1131">
      <c r="B1131" s="8" t="n"/>
      <c r="C1131" s="9">
        <f>IFERROR(_xll.ciqfunctions.udf.CIQ(mh_ticker, "IQ_LASTSALEPRICE", B1131), "")</f>
        <v/>
      </c>
      <c r="D1131" s="10">
        <f>IFERROR(_xll.ciqfunctions.udf.CIQ(mh_ticker, "IQ_SHARESOUTSTANDING_OUT", B1131), "")</f>
        <v/>
      </c>
      <c r="E1131" s="11">
        <f>IFERROR(_xll.ciqfunctions.udf.CIQ(mh_ticker, "IQ_CASH_EQUIV", , B1131), "")</f>
        <v/>
      </c>
      <c r="F1131" s="11">
        <f>IFERROR(_xll.ciqfunctions.udf.CIQ(mh_ticker, "IQ_ST_INVEST", , B1131), "")</f>
        <v/>
      </c>
      <c r="G1131" s="11">
        <f>IFERROR(_xll.ciqfunctions.udf.CIQ(mh_ticker, "IQ_TOTAL_DEBT_EXCL_OPER_LEASES", , B1131), "")</f>
        <v/>
      </c>
      <c r="H1131" s="11">
        <f>IFERROR(_xll.ciqfunctions.udf.CIQ(mh_ticker, "IQ_PREF_EQUITY", , B1131), "")</f>
        <v/>
      </c>
      <c r="I1131" s="11">
        <f>IFERROR(_xll.ciqfunctions.udf.CIQ(mh_ticker, "IQ_MINORITY_INTEREST", , B1131), "")</f>
        <v/>
      </c>
      <c r="J1131" s="11">
        <f>IFERROR(_xll.ciqfunctions.udf.CIQ(mh_ticker, "IQ_EQUITY_METHOD", , B1131), "")</f>
        <v/>
      </c>
      <c r="K1131" s="11">
        <f>IFERROR(_xll.ciqfunctions.udf.CIQ(mh_ticker, "IQ_LT_Mark_Securities", , B1131), "")</f>
        <v/>
      </c>
      <c r="L1131" s="12">
        <f>IFERROR(C1131*D1131, "")</f>
        <v/>
      </c>
      <c r="M1131" s="12">
        <f>IFERROR(L1131-E1131-F1131+G1131+H1131+I1131-J1131-K1131, "")</f>
        <v/>
      </c>
      <c r="N1131" s="11">
        <f>IFERROR(_xll.ciqfunctions.udf.CIQ(mh_ticker, "IQ_EBITDA_EST", IQ_NTM, B1131, , , "USD"), "")</f>
        <v/>
      </c>
      <c r="O1131" s="13">
        <f>IFERROR(M1131/N1131, "")</f>
        <v/>
      </c>
    </row>
    <row r="1132">
      <c r="B1132" s="8" t="n"/>
      <c r="C1132" s="9">
        <f>IFERROR(_xll.ciqfunctions.udf.CIQ(mh_ticker, "IQ_LASTSALEPRICE", B1132), "")</f>
        <v/>
      </c>
      <c r="D1132" s="10">
        <f>IFERROR(_xll.ciqfunctions.udf.CIQ(mh_ticker, "IQ_SHARESOUTSTANDING_OUT", B1132), "")</f>
        <v/>
      </c>
      <c r="E1132" s="11">
        <f>IFERROR(_xll.ciqfunctions.udf.CIQ(mh_ticker, "IQ_CASH_EQUIV", , B1132), "")</f>
        <v/>
      </c>
      <c r="F1132" s="11">
        <f>IFERROR(_xll.ciqfunctions.udf.CIQ(mh_ticker, "IQ_ST_INVEST", , B1132), "")</f>
        <v/>
      </c>
      <c r="G1132" s="11">
        <f>IFERROR(_xll.ciqfunctions.udf.CIQ(mh_ticker, "IQ_TOTAL_DEBT_EXCL_OPER_LEASES", , B1132), "")</f>
        <v/>
      </c>
      <c r="H1132" s="11">
        <f>IFERROR(_xll.ciqfunctions.udf.CIQ(mh_ticker, "IQ_PREF_EQUITY", , B1132), "")</f>
        <v/>
      </c>
      <c r="I1132" s="11">
        <f>IFERROR(_xll.ciqfunctions.udf.CIQ(mh_ticker, "IQ_MINORITY_INTEREST", , B1132), "")</f>
        <v/>
      </c>
      <c r="J1132" s="11">
        <f>IFERROR(_xll.ciqfunctions.udf.CIQ(mh_ticker, "IQ_EQUITY_METHOD", , B1132), "")</f>
        <v/>
      </c>
      <c r="K1132" s="11">
        <f>IFERROR(_xll.ciqfunctions.udf.CIQ(mh_ticker, "IQ_LT_Mark_Securities", , B1132), "")</f>
        <v/>
      </c>
      <c r="L1132" s="12">
        <f>IFERROR(C1132*D1132, "")</f>
        <v/>
      </c>
      <c r="M1132" s="12">
        <f>IFERROR(L1132-E1132-F1132+G1132+H1132+I1132-J1132-K1132, "")</f>
        <v/>
      </c>
      <c r="N1132" s="11">
        <f>IFERROR(_xll.ciqfunctions.udf.CIQ(mh_ticker, "IQ_EBITDA_EST", IQ_NTM, B1132, , , "USD"), "")</f>
        <v/>
      </c>
      <c r="O1132" s="13">
        <f>IFERROR(M1132/N1132, "")</f>
        <v/>
      </c>
    </row>
    <row r="1133">
      <c r="B1133" s="8" t="n"/>
      <c r="C1133" s="9">
        <f>IFERROR(_xll.ciqfunctions.udf.CIQ(mh_ticker, "IQ_LASTSALEPRICE", B1133), "")</f>
        <v/>
      </c>
      <c r="D1133" s="10">
        <f>IFERROR(_xll.ciqfunctions.udf.CIQ(mh_ticker, "IQ_SHARESOUTSTANDING_OUT", B1133), "")</f>
        <v/>
      </c>
      <c r="E1133" s="11">
        <f>IFERROR(_xll.ciqfunctions.udf.CIQ(mh_ticker, "IQ_CASH_EQUIV", , B1133), "")</f>
        <v/>
      </c>
      <c r="F1133" s="11">
        <f>IFERROR(_xll.ciqfunctions.udf.CIQ(mh_ticker, "IQ_ST_INVEST", , B1133), "")</f>
        <v/>
      </c>
      <c r="G1133" s="11">
        <f>IFERROR(_xll.ciqfunctions.udf.CIQ(mh_ticker, "IQ_TOTAL_DEBT_EXCL_OPER_LEASES", , B1133), "")</f>
        <v/>
      </c>
      <c r="H1133" s="11">
        <f>IFERROR(_xll.ciqfunctions.udf.CIQ(mh_ticker, "IQ_PREF_EQUITY", , B1133), "")</f>
        <v/>
      </c>
      <c r="I1133" s="11">
        <f>IFERROR(_xll.ciqfunctions.udf.CIQ(mh_ticker, "IQ_MINORITY_INTEREST", , B1133), "")</f>
        <v/>
      </c>
      <c r="J1133" s="11">
        <f>IFERROR(_xll.ciqfunctions.udf.CIQ(mh_ticker, "IQ_EQUITY_METHOD", , B1133), "")</f>
        <v/>
      </c>
      <c r="K1133" s="11">
        <f>IFERROR(_xll.ciqfunctions.udf.CIQ(mh_ticker, "IQ_LT_Mark_Securities", , B1133), "")</f>
        <v/>
      </c>
      <c r="L1133" s="12">
        <f>IFERROR(C1133*D1133, "")</f>
        <v/>
      </c>
      <c r="M1133" s="12">
        <f>IFERROR(L1133-E1133-F1133+G1133+H1133+I1133-J1133-K1133, "")</f>
        <v/>
      </c>
      <c r="N1133" s="11">
        <f>IFERROR(_xll.ciqfunctions.udf.CIQ(mh_ticker, "IQ_EBITDA_EST", IQ_NTM, B1133, , , "USD"), "")</f>
        <v/>
      </c>
      <c r="O1133" s="13">
        <f>IFERROR(M1133/N1133, "")</f>
        <v/>
      </c>
    </row>
    <row r="1134">
      <c r="B1134" s="8" t="n"/>
      <c r="C1134" s="9">
        <f>IFERROR(_xll.ciqfunctions.udf.CIQ(mh_ticker, "IQ_LASTSALEPRICE", B1134), "")</f>
        <v/>
      </c>
      <c r="D1134" s="10">
        <f>IFERROR(_xll.ciqfunctions.udf.CIQ(mh_ticker, "IQ_SHARESOUTSTANDING_OUT", B1134), "")</f>
        <v/>
      </c>
      <c r="E1134" s="11">
        <f>IFERROR(_xll.ciqfunctions.udf.CIQ(mh_ticker, "IQ_CASH_EQUIV", , B1134), "")</f>
        <v/>
      </c>
      <c r="F1134" s="11">
        <f>IFERROR(_xll.ciqfunctions.udf.CIQ(mh_ticker, "IQ_ST_INVEST", , B1134), "")</f>
        <v/>
      </c>
      <c r="G1134" s="11">
        <f>IFERROR(_xll.ciqfunctions.udf.CIQ(mh_ticker, "IQ_TOTAL_DEBT_EXCL_OPER_LEASES", , B1134), "")</f>
        <v/>
      </c>
      <c r="H1134" s="11">
        <f>IFERROR(_xll.ciqfunctions.udf.CIQ(mh_ticker, "IQ_PREF_EQUITY", , B1134), "")</f>
        <v/>
      </c>
      <c r="I1134" s="11">
        <f>IFERROR(_xll.ciqfunctions.udf.CIQ(mh_ticker, "IQ_MINORITY_INTEREST", , B1134), "")</f>
        <v/>
      </c>
      <c r="J1134" s="11">
        <f>IFERROR(_xll.ciqfunctions.udf.CIQ(mh_ticker, "IQ_EQUITY_METHOD", , B1134), "")</f>
        <v/>
      </c>
      <c r="K1134" s="11">
        <f>IFERROR(_xll.ciqfunctions.udf.CIQ(mh_ticker, "IQ_LT_Mark_Securities", , B1134), "")</f>
        <v/>
      </c>
      <c r="L1134" s="12">
        <f>IFERROR(C1134*D1134, "")</f>
        <v/>
      </c>
      <c r="M1134" s="12">
        <f>IFERROR(L1134-E1134-F1134+G1134+H1134+I1134-J1134-K1134, "")</f>
        <v/>
      </c>
      <c r="N1134" s="11">
        <f>IFERROR(_xll.ciqfunctions.udf.CIQ(mh_ticker, "IQ_EBITDA_EST", IQ_NTM, B1134, , , "USD"), "")</f>
        <v/>
      </c>
      <c r="O1134" s="13">
        <f>IFERROR(M1134/N1134, "")</f>
        <v/>
      </c>
    </row>
    <row r="1135">
      <c r="B1135" s="8" t="n"/>
      <c r="C1135" s="9">
        <f>IFERROR(_xll.ciqfunctions.udf.CIQ(mh_ticker, "IQ_LASTSALEPRICE", B1135), "")</f>
        <v/>
      </c>
      <c r="D1135" s="10">
        <f>IFERROR(_xll.ciqfunctions.udf.CIQ(mh_ticker, "IQ_SHARESOUTSTANDING_OUT", B1135), "")</f>
        <v/>
      </c>
      <c r="E1135" s="11">
        <f>IFERROR(_xll.ciqfunctions.udf.CIQ(mh_ticker, "IQ_CASH_EQUIV", , B1135), "")</f>
        <v/>
      </c>
      <c r="F1135" s="11">
        <f>IFERROR(_xll.ciqfunctions.udf.CIQ(mh_ticker, "IQ_ST_INVEST", , B1135), "")</f>
        <v/>
      </c>
      <c r="G1135" s="11">
        <f>IFERROR(_xll.ciqfunctions.udf.CIQ(mh_ticker, "IQ_TOTAL_DEBT_EXCL_OPER_LEASES", , B1135), "")</f>
        <v/>
      </c>
      <c r="H1135" s="11">
        <f>IFERROR(_xll.ciqfunctions.udf.CIQ(mh_ticker, "IQ_PREF_EQUITY", , B1135), "")</f>
        <v/>
      </c>
      <c r="I1135" s="11">
        <f>IFERROR(_xll.ciqfunctions.udf.CIQ(mh_ticker, "IQ_MINORITY_INTEREST", , B1135), "")</f>
        <v/>
      </c>
      <c r="J1135" s="11">
        <f>IFERROR(_xll.ciqfunctions.udf.CIQ(mh_ticker, "IQ_EQUITY_METHOD", , B1135), "")</f>
        <v/>
      </c>
      <c r="K1135" s="11">
        <f>IFERROR(_xll.ciqfunctions.udf.CIQ(mh_ticker, "IQ_LT_Mark_Securities", , B1135), "")</f>
        <v/>
      </c>
      <c r="L1135" s="12">
        <f>IFERROR(C1135*D1135, "")</f>
        <v/>
      </c>
      <c r="M1135" s="12">
        <f>IFERROR(L1135-E1135-F1135+G1135+H1135+I1135-J1135-K1135, "")</f>
        <v/>
      </c>
      <c r="N1135" s="11">
        <f>IFERROR(_xll.ciqfunctions.udf.CIQ(mh_ticker, "IQ_EBITDA_EST", IQ_NTM, B1135, , , "USD"), "")</f>
        <v/>
      </c>
      <c r="O1135" s="13">
        <f>IFERROR(M1135/N1135, "")</f>
        <v/>
      </c>
    </row>
    <row r="1136">
      <c r="B1136" s="8" t="n"/>
      <c r="C1136" s="9">
        <f>IFERROR(_xll.ciqfunctions.udf.CIQ(mh_ticker, "IQ_LASTSALEPRICE", B1136), "")</f>
        <v/>
      </c>
      <c r="D1136" s="10">
        <f>IFERROR(_xll.ciqfunctions.udf.CIQ(mh_ticker, "IQ_SHARESOUTSTANDING_OUT", B1136), "")</f>
        <v/>
      </c>
      <c r="E1136" s="11">
        <f>IFERROR(_xll.ciqfunctions.udf.CIQ(mh_ticker, "IQ_CASH_EQUIV", , B1136), "")</f>
        <v/>
      </c>
      <c r="F1136" s="11">
        <f>IFERROR(_xll.ciqfunctions.udf.CIQ(mh_ticker, "IQ_ST_INVEST", , B1136), "")</f>
        <v/>
      </c>
      <c r="G1136" s="11">
        <f>IFERROR(_xll.ciqfunctions.udf.CIQ(mh_ticker, "IQ_TOTAL_DEBT_EXCL_OPER_LEASES", , B1136), "")</f>
        <v/>
      </c>
      <c r="H1136" s="11">
        <f>IFERROR(_xll.ciqfunctions.udf.CIQ(mh_ticker, "IQ_PREF_EQUITY", , B1136), "")</f>
        <v/>
      </c>
      <c r="I1136" s="11">
        <f>IFERROR(_xll.ciqfunctions.udf.CIQ(mh_ticker, "IQ_MINORITY_INTEREST", , B1136), "")</f>
        <v/>
      </c>
      <c r="J1136" s="11">
        <f>IFERROR(_xll.ciqfunctions.udf.CIQ(mh_ticker, "IQ_EQUITY_METHOD", , B1136), "")</f>
        <v/>
      </c>
      <c r="K1136" s="11">
        <f>IFERROR(_xll.ciqfunctions.udf.CIQ(mh_ticker, "IQ_LT_Mark_Securities", , B1136), "")</f>
        <v/>
      </c>
      <c r="L1136" s="12">
        <f>IFERROR(C1136*D1136, "")</f>
        <v/>
      </c>
      <c r="M1136" s="12">
        <f>IFERROR(L1136-E1136-F1136+G1136+H1136+I1136-J1136-K1136, "")</f>
        <v/>
      </c>
      <c r="N1136" s="11">
        <f>IFERROR(_xll.ciqfunctions.udf.CIQ(mh_ticker, "IQ_EBITDA_EST", IQ_NTM, B1136, , , "USD"), "")</f>
        <v/>
      </c>
      <c r="O1136" s="13">
        <f>IFERROR(M1136/N1136, "")</f>
        <v/>
      </c>
    </row>
    <row r="1137">
      <c r="B1137" s="8" t="n"/>
      <c r="C1137" s="9">
        <f>IFERROR(_xll.ciqfunctions.udf.CIQ(mh_ticker, "IQ_LASTSALEPRICE", B1137), "")</f>
        <v/>
      </c>
      <c r="D1137" s="10">
        <f>IFERROR(_xll.ciqfunctions.udf.CIQ(mh_ticker, "IQ_SHARESOUTSTANDING_OUT", B1137), "")</f>
        <v/>
      </c>
      <c r="E1137" s="11">
        <f>IFERROR(_xll.ciqfunctions.udf.CIQ(mh_ticker, "IQ_CASH_EQUIV", , B1137), "")</f>
        <v/>
      </c>
      <c r="F1137" s="11">
        <f>IFERROR(_xll.ciqfunctions.udf.CIQ(mh_ticker, "IQ_ST_INVEST", , B1137), "")</f>
        <v/>
      </c>
      <c r="G1137" s="11">
        <f>IFERROR(_xll.ciqfunctions.udf.CIQ(mh_ticker, "IQ_TOTAL_DEBT_EXCL_OPER_LEASES", , B1137), "")</f>
        <v/>
      </c>
      <c r="H1137" s="11">
        <f>IFERROR(_xll.ciqfunctions.udf.CIQ(mh_ticker, "IQ_PREF_EQUITY", , B1137), "")</f>
        <v/>
      </c>
      <c r="I1137" s="11">
        <f>IFERROR(_xll.ciqfunctions.udf.CIQ(mh_ticker, "IQ_MINORITY_INTEREST", , B1137), "")</f>
        <v/>
      </c>
      <c r="J1137" s="11">
        <f>IFERROR(_xll.ciqfunctions.udf.CIQ(mh_ticker, "IQ_EQUITY_METHOD", , B1137), "")</f>
        <v/>
      </c>
      <c r="K1137" s="11">
        <f>IFERROR(_xll.ciqfunctions.udf.CIQ(mh_ticker, "IQ_LT_Mark_Securities", , B1137), "")</f>
        <v/>
      </c>
      <c r="L1137" s="12">
        <f>IFERROR(C1137*D1137, "")</f>
        <v/>
      </c>
      <c r="M1137" s="12">
        <f>IFERROR(L1137-E1137-F1137+G1137+H1137+I1137-J1137-K1137, "")</f>
        <v/>
      </c>
      <c r="N1137" s="11">
        <f>IFERROR(_xll.ciqfunctions.udf.CIQ(mh_ticker, "IQ_EBITDA_EST", IQ_NTM, B1137, , , "USD"), "")</f>
        <v/>
      </c>
      <c r="O1137" s="13">
        <f>IFERROR(M1137/N1137, "")</f>
        <v/>
      </c>
    </row>
    <row r="1138">
      <c r="B1138" s="8" t="n"/>
      <c r="C1138" s="9">
        <f>IFERROR(_xll.ciqfunctions.udf.CIQ(mh_ticker, "IQ_LASTSALEPRICE", B1138), "")</f>
        <v/>
      </c>
      <c r="D1138" s="10">
        <f>IFERROR(_xll.ciqfunctions.udf.CIQ(mh_ticker, "IQ_SHARESOUTSTANDING_OUT", B1138), "")</f>
        <v/>
      </c>
      <c r="E1138" s="11">
        <f>IFERROR(_xll.ciqfunctions.udf.CIQ(mh_ticker, "IQ_CASH_EQUIV", , B1138), "")</f>
        <v/>
      </c>
      <c r="F1138" s="11">
        <f>IFERROR(_xll.ciqfunctions.udf.CIQ(mh_ticker, "IQ_ST_INVEST", , B1138), "")</f>
        <v/>
      </c>
      <c r="G1138" s="11">
        <f>IFERROR(_xll.ciqfunctions.udf.CIQ(mh_ticker, "IQ_TOTAL_DEBT_EXCL_OPER_LEASES", , B1138), "")</f>
        <v/>
      </c>
      <c r="H1138" s="11">
        <f>IFERROR(_xll.ciqfunctions.udf.CIQ(mh_ticker, "IQ_PREF_EQUITY", , B1138), "")</f>
        <v/>
      </c>
      <c r="I1138" s="11">
        <f>IFERROR(_xll.ciqfunctions.udf.CIQ(mh_ticker, "IQ_MINORITY_INTEREST", , B1138), "")</f>
        <v/>
      </c>
      <c r="J1138" s="11">
        <f>IFERROR(_xll.ciqfunctions.udf.CIQ(mh_ticker, "IQ_EQUITY_METHOD", , B1138), "")</f>
        <v/>
      </c>
      <c r="K1138" s="11">
        <f>IFERROR(_xll.ciqfunctions.udf.CIQ(mh_ticker, "IQ_LT_Mark_Securities", , B1138), "")</f>
        <v/>
      </c>
      <c r="L1138" s="12">
        <f>IFERROR(C1138*D1138, "")</f>
        <v/>
      </c>
      <c r="M1138" s="12">
        <f>IFERROR(L1138-E1138-F1138+G1138+H1138+I1138-J1138-K1138, "")</f>
        <v/>
      </c>
      <c r="N1138" s="11">
        <f>IFERROR(_xll.ciqfunctions.udf.CIQ(mh_ticker, "IQ_EBITDA_EST", IQ_NTM, B1138, , , "USD"), "")</f>
        <v/>
      </c>
      <c r="O1138" s="13">
        <f>IFERROR(M1138/N1138, "")</f>
        <v/>
      </c>
    </row>
    <row r="1139">
      <c r="B1139" s="8" t="n"/>
      <c r="C1139" s="9">
        <f>IFERROR(_xll.ciqfunctions.udf.CIQ(mh_ticker, "IQ_LASTSALEPRICE", B1139), "")</f>
        <v/>
      </c>
      <c r="D1139" s="10">
        <f>IFERROR(_xll.ciqfunctions.udf.CIQ(mh_ticker, "IQ_SHARESOUTSTANDING_OUT", B1139), "")</f>
        <v/>
      </c>
      <c r="E1139" s="11">
        <f>IFERROR(_xll.ciqfunctions.udf.CIQ(mh_ticker, "IQ_CASH_EQUIV", , B1139), "")</f>
        <v/>
      </c>
      <c r="F1139" s="11">
        <f>IFERROR(_xll.ciqfunctions.udf.CIQ(mh_ticker, "IQ_ST_INVEST", , B1139), "")</f>
        <v/>
      </c>
      <c r="G1139" s="11">
        <f>IFERROR(_xll.ciqfunctions.udf.CIQ(mh_ticker, "IQ_TOTAL_DEBT_EXCL_OPER_LEASES", , B1139), "")</f>
        <v/>
      </c>
      <c r="H1139" s="11">
        <f>IFERROR(_xll.ciqfunctions.udf.CIQ(mh_ticker, "IQ_PREF_EQUITY", , B1139), "")</f>
        <v/>
      </c>
      <c r="I1139" s="11">
        <f>IFERROR(_xll.ciqfunctions.udf.CIQ(mh_ticker, "IQ_MINORITY_INTEREST", , B1139), "")</f>
        <v/>
      </c>
      <c r="J1139" s="11">
        <f>IFERROR(_xll.ciqfunctions.udf.CIQ(mh_ticker, "IQ_EQUITY_METHOD", , B1139), "")</f>
        <v/>
      </c>
      <c r="K1139" s="11">
        <f>IFERROR(_xll.ciqfunctions.udf.CIQ(mh_ticker, "IQ_LT_Mark_Securities", , B1139), "")</f>
        <v/>
      </c>
      <c r="L1139" s="12">
        <f>IFERROR(C1139*D1139, "")</f>
        <v/>
      </c>
      <c r="M1139" s="12">
        <f>IFERROR(L1139-E1139-F1139+G1139+H1139+I1139-J1139-K1139, "")</f>
        <v/>
      </c>
      <c r="N1139" s="11">
        <f>IFERROR(_xll.ciqfunctions.udf.CIQ(mh_ticker, "IQ_EBITDA_EST", IQ_NTM, B1139, , , "USD"), "")</f>
        <v/>
      </c>
      <c r="O1139" s="13">
        <f>IFERROR(M1139/N1139, "")</f>
        <v/>
      </c>
    </row>
    <row r="1140">
      <c r="B1140" s="8" t="n"/>
      <c r="C1140" s="9">
        <f>IFERROR(_xll.ciqfunctions.udf.CIQ(mh_ticker, "IQ_LASTSALEPRICE", B1140), "")</f>
        <v/>
      </c>
      <c r="D1140" s="10">
        <f>IFERROR(_xll.ciqfunctions.udf.CIQ(mh_ticker, "IQ_SHARESOUTSTANDING_OUT", B1140), "")</f>
        <v/>
      </c>
      <c r="E1140" s="11">
        <f>IFERROR(_xll.ciqfunctions.udf.CIQ(mh_ticker, "IQ_CASH_EQUIV", , B1140), "")</f>
        <v/>
      </c>
      <c r="F1140" s="11">
        <f>IFERROR(_xll.ciqfunctions.udf.CIQ(mh_ticker, "IQ_ST_INVEST", , B1140), "")</f>
        <v/>
      </c>
      <c r="G1140" s="11">
        <f>IFERROR(_xll.ciqfunctions.udf.CIQ(mh_ticker, "IQ_TOTAL_DEBT_EXCL_OPER_LEASES", , B1140), "")</f>
        <v/>
      </c>
      <c r="H1140" s="11">
        <f>IFERROR(_xll.ciqfunctions.udf.CIQ(mh_ticker, "IQ_PREF_EQUITY", , B1140), "")</f>
        <v/>
      </c>
      <c r="I1140" s="11">
        <f>IFERROR(_xll.ciqfunctions.udf.CIQ(mh_ticker, "IQ_MINORITY_INTEREST", , B1140), "")</f>
        <v/>
      </c>
      <c r="J1140" s="11">
        <f>IFERROR(_xll.ciqfunctions.udf.CIQ(mh_ticker, "IQ_EQUITY_METHOD", , B1140), "")</f>
        <v/>
      </c>
      <c r="K1140" s="11">
        <f>IFERROR(_xll.ciqfunctions.udf.CIQ(mh_ticker, "IQ_LT_Mark_Securities", , B1140), "")</f>
        <v/>
      </c>
      <c r="L1140" s="12">
        <f>IFERROR(C1140*D1140, "")</f>
        <v/>
      </c>
      <c r="M1140" s="12">
        <f>IFERROR(L1140-E1140-F1140+G1140+H1140+I1140-J1140-K1140, "")</f>
        <v/>
      </c>
      <c r="N1140" s="11">
        <f>IFERROR(_xll.ciqfunctions.udf.CIQ(mh_ticker, "IQ_EBITDA_EST", IQ_NTM, B1140, , , "USD"), "")</f>
        <v/>
      </c>
      <c r="O1140" s="13">
        <f>IFERROR(M1140/N1140, "")</f>
        <v/>
      </c>
    </row>
    <row r="1141">
      <c r="B1141" s="8" t="n"/>
      <c r="C1141" s="9">
        <f>IFERROR(_xll.ciqfunctions.udf.CIQ(mh_ticker, "IQ_LASTSALEPRICE", B1141), "")</f>
        <v/>
      </c>
      <c r="D1141" s="10">
        <f>IFERROR(_xll.ciqfunctions.udf.CIQ(mh_ticker, "IQ_SHARESOUTSTANDING_OUT", B1141), "")</f>
        <v/>
      </c>
      <c r="E1141" s="11">
        <f>IFERROR(_xll.ciqfunctions.udf.CIQ(mh_ticker, "IQ_CASH_EQUIV", , B1141), "")</f>
        <v/>
      </c>
      <c r="F1141" s="11">
        <f>IFERROR(_xll.ciqfunctions.udf.CIQ(mh_ticker, "IQ_ST_INVEST", , B1141), "")</f>
        <v/>
      </c>
      <c r="G1141" s="11">
        <f>IFERROR(_xll.ciqfunctions.udf.CIQ(mh_ticker, "IQ_TOTAL_DEBT_EXCL_OPER_LEASES", , B1141), "")</f>
        <v/>
      </c>
      <c r="H1141" s="11">
        <f>IFERROR(_xll.ciqfunctions.udf.CIQ(mh_ticker, "IQ_PREF_EQUITY", , B1141), "")</f>
        <v/>
      </c>
      <c r="I1141" s="11">
        <f>IFERROR(_xll.ciqfunctions.udf.CIQ(mh_ticker, "IQ_MINORITY_INTEREST", , B1141), "")</f>
        <v/>
      </c>
      <c r="J1141" s="11">
        <f>IFERROR(_xll.ciqfunctions.udf.CIQ(mh_ticker, "IQ_EQUITY_METHOD", , B1141), "")</f>
        <v/>
      </c>
      <c r="K1141" s="11">
        <f>IFERROR(_xll.ciqfunctions.udf.CIQ(mh_ticker, "IQ_LT_Mark_Securities", , B1141), "")</f>
        <v/>
      </c>
      <c r="L1141" s="12">
        <f>IFERROR(C1141*D1141, "")</f>
        <v/>
      </c>
      <c r="M1141" s="12">
        <f>IFERROR(L1141-E1141-F1141+G1141+H1141+I1141-J1141-K1141, "")</f>
        <v/>
      </c>
      <c r="N1141" s="11">
        <f>IFERROR(_xll.ciqfunctions.udf.CIQ(mh_ticker, "IQ_EBITDA_EST", IQ_NTM, B1141, , , "USD"), "")</f>
        <v/>
      </c>
      <c r="O1141" s="13">
        <f>IFERROR(M1141/N1141, "")</f>
        <v/>
      </c>
    </row>
    <row r="1142">
      <c r="B1142" s="8" t="n"/>
      <c r="C1142" s="9">
        <f>IFERROR(_xll.ciqfunctions.udf.CIQ(mh_ticker, "IQ_LASTSALEPRICE", B1142), "")</f>
        <v/>
      </c>
      <c r="D1142" s="10">
        <f>IFERROR(_xll.ciqfunctions.udf.CIQ(mh_ticker, "IQ_SHARESOUTSTANDING_OUT", B1142), "")</f>
        <v/>
      </c>
      <c r="E1142" s="11">
        <f>IFERROR(_xll.ciqfunctions.udf.CIQ(mh_ticker, "IQ_CASH_EQUIV", , B1142), "")</f>
        <v/>
      </c>
      <c r="F1142" s="11">
        <f>IFERROR(_xll.ciqfunctions.udf.CIQ(mh_ticker, "IQ_ST_INVEST", , B1142), "")</f>
        <v/>
      </c>
      <c r="G1142" s="11">
        <f>IFERROR(_xll.ciqfunctions.udf.CIQ(mh_ticker, "IQ_TOTAL_DEBT_EXCL_OPER_LEASES", , B1142), "")</f>
        <v/>
      </c>
      <c r="H1142" s="11">
        <f>IFERROR(_xll.ciqfunctions.udf.CIQ(mh_ticker, "IQ_PREF_EQUITY", , B1142), "")</f>
        <v/>
      </c>
      <c r="I1142" s="11">
        <f>IFERROR(_xll.ciqfunctions.udf.CIQ(mh_ticker, "IQ_MINORITY_INTEREST", , B1142), "")</f>
        <v/>
      </c>
      <c r="J1142" s="11">
        <f>IFERROR(_xll.ciqfunctions.udf.CIQ(mh_ticker, "IQ_EQUITY_METHOD", , B1142), "")</f>
        <v/>
      </c>
      <c r="K1142" s="11">
        <f>IFERROR(_xll.ciqfunctions.udf.CIQ(mh_ticker, "IQ_LT_Mark_Securities", , B1142), "")</f>
        <v/>
      </c>
      <c r="L1142" s="12">
        <f>IFERROR(C1142*D1142, "")</f>
        <v/>
      </c>
      <c r="M1142" s="12">
        <f>IFERROR(L1142-E1142-F1142+G1142+H1142+I1142-J1142-K1142, "")</f>
        <v/>
      </c>
      <c r="N1142" s="11">
        <f>IFERROR(_xll.ciqfunctions.udf.CIQ(mh_ticker, "IQ_EBITDA_EST", IQ_NTM, B1142, , , "USD"), "")</f>
        <v/>
      </c>
      <c r="O1142" s="13">
        <f>IFERROR(M1142/N1142, "")</f>
        <v/>
      </c>
    </row>
    <row r="1143">
      <c r="B1143" s="8" t="n"/>
      <c r="C1143" s="9">
        <f>IFERROR(_xll.ciqfunctions.udf.CIQ(mh_ticker, "IQ_LASTSALEPRICE", B1143), "")</f>
        <v/>
      </c>
      <c r="D1143" s="10">
        <f>IFERROR(_xll.ciqfunctions.udf.CIQ(mh_ticker, "IQ_SHARESOUTSTANDING_OUT", B1143), "")</f>
        <v/>
      </c>
      <c r="E1143" s="11">
        <f>IFERROR(_xll.ciqfunctions.udf.CIQ(mh_ticker, "IQ_CASH_EQUIV", , B1143), "")</f>
        <v/>
      </c>
      <c r="F1143" s="11">
        <f>IFERROR(_xll.ciqfunctions.udf.CIQ(mh_ticker, "IQ_ST_INVEST", , B1143), "")</f>
        <v/>
      </c>
      <c r="G1143" s="11">
        <f>IFERROR(_xll.ciqfunctions.udf.CIQ(mh_ticker, "IQ_TOTAL_DEBT_EXCL_OPER_LEASES", , B1143), "")</f>
        <v/>
      </c>
      <c r="H1143" s="11">
        <f>IFERROR(_xll.ciqfunctions.udf.CIQ(mh_ticker, "IQ_PREF_EQUITY", , B1143), "")</f>
        <v/>
      </c>
      <c r="I1143" s="11">
        <f>IFERROR(_xll.ciqfunctions.udf.CIQ(mh_ticker, "IQ_MINORITY_INTEREST", , B1143), "")</f>
        <v/>
      </c>
      <c r="J1143" s="11">
        <f>IFERROR(_xll.ciqfunctions.udf.CIQ(mh_ticker, "IQ_EQUITY_METHOD", , B1143), "")</f>
        <v/>
      </c>
      <c r="K1143" s="11">
        <f>IFERROR(_xll.ciqfunctions.udf.CIQ(mh_ticker, "IQ_LT_Mark_Securities", , B1143), "")</f>
        <v/>
      </c>
      <c r="L1143" s="12">
        <f>IFERROR(C1143*D1143, "")</f>
        <v/>
      </c>
      <c r="M1143" s="12">
        <f>IFERROR(L1143-E1143-F1143+G1143+H1143+I1143-J1143-K1143, "")</f>
        <v/>
      </c>
      <c r="N1143" s="11">
        <f>IFERROR(_xll.ciqfunctions.udf.CIQ(mh_ticker, "IQ_EBITDA_EST", IQ_NTM, B1143, , , "USD"), "")</f>
        <v/>
      </c>
      <c r="O1143" s="13">
        <f>IFERROR(M1143/N1143, "")</f>
        <v/>
      </c>
    </row>
    <row r="1144">
      <c r="B1144" s="8" t="n"/>
      <c r="C1144" s="9">
        <f>IFERROR(_xll.ciqfunctions.udf.CIQ(mh_ticker, "IQ_LASTSALEPRICE", B1144), "")</f>
        <v/>
      </c>
      <c r="D1144" s="10">
        <f>IFERROR(_xll.ciqfunctions.udf.CIQ(mh_ticker, "IQ_SHARESOUTSTANDING_OUT", B1144), "")</f>
        <v/>
      </c>
      <c r="E1144" s="11">
        <f>IFERROR(_xll.ciqfunctions.udf.CIQ(mh_ticker, "IQ_CASH_EQUIV", , B1144), "")</f>
        <v/>
      </c>
      <c r="F1144" s="11">
        <f>IFERROR(_xll.ciqfunctions.udf.CIQ(mh_ticker, "IQ_ST_INVEST", , B1144), "")</f>
        <v/>
      </c>
      <c r="G1144" s="11">
        <f>IFERROR(_xll.ciqfunctions.udf.CIQ(mh_ticker, "IQ_TOTAL_DEBT_EXCL_OPER_LEASES", , B1144), "")</f>
        <v/>
      </c>
      <c r="H1144" s="11">
        <f>IFERROR(_xll.ciqfunctions.udf.CIQ(mh_ticker, "IQ_PREF_EQUITY", , B1144), "")</f>
        <v/>
      </c>
      <c r="I1144" s="11">
        <f>IFERROR(_xll.ciqfunctions.udf.CIQ(mh_ticker, "IQ_MINORITY_INTEREST", , B1144), "")</f>
        <v/>
      </c>
      <c r="J1144" s="11">
        <f>IFERROR(_xll.ciqfunctions.udf.CIQ(mh_ticker, "IQ_EQUITY_METHOD", , B1144), "")</f>
        <v/>
      </c>
      <c r="K1144" s="11">
        <f>IFERROR(_xll.ciqfunctions.udf.CIQ(mh_ticker, "IQ_LT_Mark_Securities", , B1144), "")</f>
        <v/>
      </c>
      <c r="L1144" s="12">
        <f>IFERROR(C1144*D1144, "")</f>
        <v/>
      </c>
      <c r="M1144" s="12">
        <f>IFERROR(L1144-E1144-F1144+G1144+H1144+I1144-J1144-K1144, "")</f>
        <v/>
      </c>
      <c r="N1144" s="11">
        <f>IFERROR(_xll.ciqfunctions.udf.CIQ(mh_ticker, "IQ_EBITDA_EST", IQ_NTM, B1144, , , "USD"), "")</f>
        <v/>
      </c>
      <c r="O1144" s="13">
        <f>IFERROR(M1144/N1144, "")</f>
        <v/>
      </c>
    </row>
    <row r="1145">
      <c r="B1145" s="8" t="n"/>
      <c r="C1145" s="9">
        <f>IFERROR(_xll.ciqfunctions.udf.CIQ(mh_ticker, "IQ_LASTSALEPRICE", B1145), "")</f>
        <v/>
      </c>
      <c r="D1145" s="10">
        <f>IFERROR(_xll.ciqfunctions.udf.CIQ(mh_ticker, "IQ_SHARESOUTSTANDING_OUT", B1145), "")</f>
        <v/>
      </c>
      <c r="E1145" s="11">
        <f>IFERROR(_xll.ciqfunctions.udf.CIQ(mh_ticker, "IQ_CASH_EQUIV", , B1145), "")</f>
        <v/>
      </c>
      <c r="F1145" s="11">
        <f>IFERROR(_xll.ciqfunctions.udf.CIQ(mh_ticker, "IQ_ST_INVEST", , B1145), "")</f>
        <v/>
      </c>
      <c r="G1145" s="11">
        <f>IFERROR(_xll.ciqfunctions.udf.CIQ(mh_ticker, "IQ_TOTAL_DEBT_EXCL_OPER_LEASES", , B1145), "")</f>
        <v/>
      </c>
      <c r="H1145" s="11">
        <f>IFERROR(_xll.ciqfunctions.udf.CIQ(mh_ticker, "IQ_PREF_EQUITY", , B1145), "")</f>
        <v/>
      </c>
      <c r="I1145" s="11">
        <f>IFERROR(_xll.ciqfunctions.udf.CIQ(mh_ticker, "IQ_MINORITY_INTEREST", , B1145), "")</f>
        <v/>
      </c>
      <c r="J1145" s="11">
        <f>IFERROR(_xll.ciqfunctions.udf.CIQ(mh_ticker, "IQ_EQUITY_METHOD", , B1145), "")</f>
        <v/>
      </c>
      <c r="K1145" s="11">
        <f>IFERROR(_xll.ciqfunctions.udf.CIQ(mh_ticker, "IQ_LT_Mark_Securities", , B1145), "")</f>
        <v/>
      </c>
      <c r="L1145" s="12">
        <f>IFERROR(C1145*D1145, "")</f>
        <v/>
      </c>
      <c r="M1145" s="12">
        <f>IFERROR(L1145-E1145-F1145+G1145+H1145+I1145-J1145-K1145, "")</f>
        <v/>
      </c>
      <c r="N1145" s="11">
        <f>IFERROR(_xll.ciqfunctions.udf.CIQ(mh_ticker, "IQ_EBITDA_EST", IQ_NTM, B1145, , , "USD"), "")</f>
        <v/>
      </c>
      <c r="O1145" s="13">
        <f>IFERROR(M1145/N1145, "")</f>
        <v/>
      </c>
    </row>
    <row r="1146">
      <c r="B1146" s="8" t="n"/>
      <c r="C1146" s="9">
        <f>IFERROR(_xll.ciqfunctions.udf.CIQ(mh_ticker, "IQ_LASTSALEPRICE", B1146), "")</f>
        <v/>
      </c>
      <c r="D1146" s="10">
        <f>IFERROR(_xll.ciqfunctions.udf.CIQ(mh_ticker, "IQ_SHARESOUTSTANDING_OUT", B1146), "")</f>
        <v/>
      </c>
      <c r="E1146" s="11">
        <f>IFERROR(_xll.ciqfunctions.udf.CIQ(mh_ticker, "IQ_CASH_EQUIV", , B1146), "")</f>
        <v/>
      </c>
      <c r="F1146" s="11">
        <f>IFERROR(_xll.ciqfunctions.udf.CIQ(mh_ticker, "IQ_ST_INVEST", , B1146), "")</f>
        <v/>
      </c>
      <c r="G1146" s="11">
        <f>IFERROR(_xll.ciqfunctions.udf.CIQ(mh_ticker, "IQ_TOTAL_DEBT_EXCL_OPER_LEASES", , B1146), "")</f>
        <v/>
      </c>
      <c r="H1146" s="11">
        <f>IFERROR(_xll.ciqfunctions.udf.CIQ(mh_ticker, "IQ_PREF_EQUITY", , B1146), "")</f>
        <v/>
      </c>
      <c r="I1146" s="11">
        <f>IFERROR(_xll.ciqfunctions.udf.CIQ(mh_ticker, "IQ_MINORITY_INTEREST", , B1146), "")</f>
        <v/>
      </c>
      <c r="J1146" s="11">
        <f>IFERROR(_xll.ciqfunctions.udf.CIQ(mh_ticker, "IQ_EQUITY_METHOD", , B1146), "")</f>
        <v/>
      </c>
      <c r="K1146" s="11">
        <f>IFERROR(_xll.ciqfunctions.udf.CIQ(mh_ticker, "IQ_LT_Mark_Securities", , B1146), "")</f>
        <v/>
      </c>
      <c r="L1146" s="12">
        <f>IFERROR(C1146*D1146, "")</f>
        <v/>
      </c>
      <c r="M1146" s="12">
        <f>IFERROR(L1146-E1146-F1146+G1146+H1146+I1146-J1146-K1146, "")</f>
        <v/>
      </c>
      <c r="N1146" s="11">
        <f>IFERROR(_xll.ciqfunctions.udf.CIQ(mh_ticker, "IQ_EBITDA_EST", IQ_NTM, B1146, , , "USD"), "")</f>
        <v/>
      </c>
      <c r="O1146" s="13">
        <f>IFERROR(M1146/N1146, "")</f>
        <v/>
      </c>
    </row>
    <row r="1147">
      <c r="B1147" s="8" t="n"/>
      <c r="C1147" s="9">
        <f>IFERROR(_xll.ciqfunctions.udf.CIQ(mh_ticker, "IQ_LASTSALEPRICE", B1147), "")</f>
        <v/>
      </c>
      <c r="D1147" s="10">
        <f>IFERROR(_xll.ciqfunctions.udf.CIQ(mh_ticker, "IQ_SHARESOUTSTANDING_OUT", B1147), "")</f>
        <v/>
      </c>
      <c r="E1147" s="11">
        <f>IFERROR(_xll.ciqfunctions.udf.CIQ(mh_ticker, "IQ_CASH_EQUIV", , B1147), "")</f>
        <v/>
      </c>
      <c r="F1147" s="11">
        <f>IFERROR(_xll.ciqfunctions.udf.CIQ(mh_ticker, "IQ_ST_INVEST", , B1147), "")</f>
        <v/>
      </c>
      <c r="G1147" s="11">
        <f>IFERROR(_xll.ciqfunctions.udf.CIQ(mh_ticker, "IQ_TOTAL_DEBT_EXCL_OPER_LEASES", , B1147), "")</f>
        <v/>
      </c>
      <c r="H1147" s="11">
        <f>IFERROR(_xll.ciqfunctions.udf.CIQ(mh_ticker, "IQ_PREF_EQUITY", , B1147), "")</f>
        <v/>
      </c>
      <c r="I1147" s="11">
        <f>IFERROR(_xll.ciqfunctions.udf.CIQ(mh_ticker, "IQ_MINORITY_INTEREST", , B1147), "")</f>
        <v/>
      </c>
      <c r="J1147" s="11">
        <f>IFERROR(_xll.ciqfunctions.udf.CIQ(mh_ticker, "IQ_EQUITY_METHOD", , B1147), "")</f>
        <v/>
      </c>
      <c r="K1147" s="11">
        <f>IFERROR(_xll.ciqfunctions.udf.CIQ(mh_ticker, "IQ_LT_Mark_Securities", , B1147), "")</f>
        <v/>
      </c>
      <c r="L1147" s="12">
        <f>IFERROR(C1147*D1147, "")</f>
        <v/>
      </c>
      <c r="M1147" s="12">
        <f>IFERROR(L1147-E1147-F1147+G1147+H1147+I1147-J1147-K1147, "")</f>
        <v/>
      </c>
      <c r="N1147" s="11">
        <f>IFERROR(_xll.ciqfunctions.udf.CIQ(mh_ticker, "IQ_EBITDA_EST", IQ_NTM, B1147, , , "USD"), "")</f>
        <v/>
      </c>
      <c r="O1147" s="13">
        <f>IFERROR(M1147/N1147, "")</f>
        <v/>
      </c>
    </row>
    <row r="1148">
      <c r="B1148" s="8" t="n"/>
      <c r="C1148" s="9">
        <f>IFERROR(_xll.ciqfunctions.udf.CIQ(mh_ticker, "IQ_LASTSALEPRICE", B1148), "")</f>
        <v/>
      </c>
      <c r="D1148" s="10">
        <f>IFERROR(_xll.ciqfunctions.udf.CIQ(mh_ticker, "IQ_SHARESOUTSTANDING_OUT", B1148), "")</f>
        <v/>
      </c>
      <c r="E1148" s="11">
        <f>IFERROR(_xll.ciqfunctions.udf.CIQ(mh_ticker, "IQ_CASH_EQUIV", , B1148), "")</f>
        <v/>
      </c>
      <c r="F1148" s="11">
        <f>IFERROR(_xll.ciqfunctions.udf.CIQ(mh_ticker, "IQ_ST_INVEST", , B1148), "")</f>
        <v/>
      </c>
      <c r="G1148" s="11">
        <f>IFERROR(_xll.ciqfunctions.udf.CIQ(mh_ticker, "IQ_TOTAL_DEBT_EXCL_OPER_LEASES", , B1148), "")</f>
        <v/>
      </c>
      <c r="H1148" s="11">
        <f>IFERROR(_xll.ciqfunctions.udf.CIQ(mh_ticker, "IQ_PREF_EQUITY", , B1148), "")</f>
        <v/>
      </c>
      <c r="I1148" s="11">
        <f>IFERROR(_xll.ciqfunctions.udf.CIQ(mh_ticker, "IQ_MINORITY_INTEREST", , B1148), "")</f>
        <v/>
      </c>
      <c r="J1148" s="11">
        <f>IFERROR(_xll.ciqfunctions.udf.CIQ(mh_ticker, "IQ_EQUITY_METHOD", , B1148), "")</f>
        <v/>
      </c>
      <c r="K1148" s="11">
        <f>IFERROR(_xll.ciqfunctions.udf.CIQ(mh_ticker, "IQ_LT_Mark_Securities", , B1148), "")</f>
        <v/>
      </c>
      <c r="L1148" s="12">
        <f>IFERROR(C1148*D1148, "")</f>
        <v/>
      </c>
      <c r="M1148" s="12">
        <f>IFERROR(L1148-E1148-F1148+G1148+H1148+I1148-J1148-K1148, "")</f>
        <v/>
      </c>
      <c r="N1148" s="11">
        <f>IFERROR(_xll.ciqfunctions.udf.CIQ(mh_ticker, "IQ_EBITDA_EST", IQ_NTM, B1148, , , "USD"), "")</f>
        <v/>
      </c>
      <c r="O1148" s="13">
        <f>IFERROR(M1148/N1148, "")</f>
        <v/>
      </c>
    </row>
    <row r="1149">
      <c r="B1149" s="8" t="n"/>
      <c r="C1149" s="9">
        <f>IFERROR(_xll.ciqfunctions.udf.CIQ(mh_ticker, "IQ_LASTSALEPRICE", B1149), "")</f>
        <v/>
      </c>
      <c r="D1149" s="10">
        <f>IFERROR(_xll.ciqfunctions.udf.CIQ(mh_ticker, "IQ_SHARESOUTSTANDING_OUT", B1149), "")</f>
        <v/>
      </c>
      <c r="E1149" s="11">
        <f>IFERROR(_xll.ciqfunctions.udf.CIQ(mh_ticker, "IQ_CASH_EQUIV", , B1149), "")</f>
        <v/>
      </c>
      <c r="F1149" s="11">
        <f>IFERROR(_xll.ciqfunctions.udf.CIQ(mh_ticker, "IQ_ST_INVEST", , B1149), "")</f>
        <v/>
      </c>
      <c r="G1149" s="11">
        <f>IFERROR(_xll.ciqfunctions.udf.CIQ(mh_ticker, "IQ_TOTAL_DEBT_EXCL_OPER_LEASES", , B1149), "")</f>
        <v/>
      </c>
      <c r="H1149" s="11">
        <f>IFERROR(_xll.ciqfunctions.udf.CIQ(mh_ticker, "IQ_PREF_EQUITY", , B1149), "")</f>
        <v/>
      </c>
      <c r="I1149" s="11">
        <f>IFERROR(_xll.ciqfunctions.udf.CIQ(mh_ticker, "IQ_MINORITY_INTEREST", , B1149), "")</f>
        <v/>
      </c>
      <c r="J1149" s="11">
        <f>IFERROR(_xll.ciqfunctions.udf.CIQ(mh_ticker, "IQ_EQUITY_METHOD", , B1149), "")</f>
        <v/>
      </c>
      <c r="K1149" s="11">
        <f>IFERROR(_xll.ciqfunctions.udf.CIQ(mh_ticker, "IQ_LT_Mark_Securities", , B1149), "")</f>
        <v/>
      </c>
      <c r="L1149" s="12">
        <f>IFERROR(C1149*D1149, "")</f>
        <v/>
      </c>
      <c r="M1149" s="12">
        <f>IFERROR(L1149-E1149-F1149+G1149+H1149+I1149-J1149-K1149, "")</f>
        <v/>
      </c>
      <c r="N1149" s="11">
        <f>IFERROR(_xll.ciqfunctions.udf.CIQ(mh_ticker, "IQ_EBITDA_EST", IQ_NTM, B1149, , , "USD"), "")</f>
        <v/>
      </c>
      <c r="O1149" s="13">
        <f>IFERROR(M1149/N1149, "")</f>
        <v/>
      </c>
    </row>
    <row r="1150">
      <c r="B1150" s="8" t="n"/>
      <c r="C1150" s="9">
        <f>IFERROR(_xll.ciqfunctions.udf.CIQ(mh_ticker, "IQ_LASTSALEPRICE", B1150), "")</f>
        <v/>
      </c>
      <c r="D1150" s="10">
        <f>IFERROR(_xll.ciqfunctions.udf.CIQ(mh_ticker, "IQ_SHARESOUTSTANDING_OUT", B1150), "")</f>
        <v/>
      </c>
      <c r="E1150" s="11">
        <f>IFERROR(_xll.ciqfunctions.udf.CIQ(mh_ticker, "IQ_CASH_EQUIV", , B1150), "")</f>
        <v/>
      </c>
      <c r="F1150" s="11">
        <f>IFERROR(_xll.ciqfunctions.udf.CIQ(mh_ticker, "IQ_ST_INVEST", , B1150), "")</f>
        <v/>
      </c>
      <c r="G1150" s="11">
        <f>IFERROR(_xll.ciqfunctions.udf.CIQ(mh_ticker, "IQ_TOTAL_DEBT_EXCL_OPER_LEASES", , B1150), "")</f>
        <v/>
      </c>
      <c r="H1150" s="11">
        <f>IFERROR(_xll.ciqfunctions.udf.CIQ(mh_ticker, "IQ_PREF_EQUITY", , B1150), "")</f>
        <v/>
      </c>
      <c r="I1150" s="11">
        <f>IFERROR(_xll.ciqfunctions.udf.CIQ(mh_ticker, "IQ_MINORITY_INTEREST", , B1150), "")</f>
        <v/>
      </c>
      <c r="J1150" s="11">
        <f>IFERROR(_xll.ciqfunctions.udf.CIQ(mh_ticker, "IQ_EQUITY_METHOD", , B1150), "")</f>
        <v/>
      </c>
      <c r="K1150" s="11">
        <f>IFERROR(_xll.ciqfunctions.udf.CIQ(mh_ticker, "IQ_LT_Mark_Securities", , B1150), "")</f>
        <v/>
      </c>
      <c r="L1150" s="12">
        <f>IFERROR(C1150*D1150, "")</f>
        <v/>
      </c>
      <c r="M1150" s="12">
        <f>IFERROR(L1150-E1150-F1150+G1150+H1150+I1150-J1150-K1150, "")</f>
        <v/>
      </c>
      <c r="N1150" s="11">
        <f>IFERROR(_xll.ciqfunctions.udf.CIQ(mh_ticker, "IQ_EBITDA_EST", IQ_NTM, B1150, , , "USD"), "")</f>
        <v/>
      </c>
      <c r="O1150" s="13">
        <f>IFERROR(M1150/N1150, "")</f>
        <v/>
      </c>
    </row>
    <row r="1151">
      <c r="B1151" s="8" t="n"/>
      <c r="C1151" s="9">
        <f>IFERROR(_xll.ciqfunctions.udf.CIQ(mh_ticker, "IQ_LASTSALEPRICE", B1151), "")</f>
        <v/>
      </c>
      <c r="D1151" s="10">
        <f>IFERROR(_xll.ciqfunctions.udf.CIQ(mh_ticker, "IQ_SHARESOUTSTANDING_OUT", B1151), "")</f>
        <v/>
      </c>
      <c r="E1151" s="11">
        <f>IFERROR(_xll.ciqfunctions.udf.CIQ(mh_ticker, "IQ_CASH_EQUIV", , B1151), "")</f>
        <v/>
      </c>
      <c r="F1151" s="11">
        <f>IFERROR(_xll.ciqfunctions.udf.CIQ(mh_ticker, "IQ_ST_INVEST", , B1151), "")</f>
        <v/>
      </c>
      <c r="G1151" s="11">
        <f>IFERROR(_xll.ciqfunctions.udf.CIQ(mh_ticker, "IQ_TOTAL_DEBT_EXCL_OPER_LEASES", , B1151), "")</f>
        <v/>
      </c>
      <c r="H1151" s="11">
        <f>IFERROR(_xll.ciqfunctions.udf.CIQ(mh_ticker, "IQ_PREF_EQUITY", , B1151), "")</f>
        <v/>
      </c>
      <c r="I1151" s="11">
        <f>IFERROR(_xll.ciqfunctions.udf.CIQ(mh_ticker, "IQ_MINORITY_INTEREST", , B1151), "")</f>
        <v/>
      </c>
      <c r="J1151" s="11">
        <f>IFERROR(_xll.ciqfunctions.udf.CIQ(mh_ticker, "IQ_EQUITY_METHOD", , B1151), "")</f>
        <v/>
      </c>
      <c r="K1151" s="11">
        <f>IFERROR(_xll.ciqfunctions.udf.CIQ(mh_ticker, "IQ_LT_Mark_Securities", , B1151), "")</f>
        <v/>
      </c>
      <c r="L1151" s="12">
        <f>IFERROR(C1151*D1151, "")</f>
        <v/>
      </c>
      <c r="M1151" s="12">
        <f>IFERROR(L1151-E1151-F1151+G1151+H1151+I1151-J1151-K1151, "")</f>
        <v/>
      </c>
      <c r="N1151" s="11">
        <f>IFERROR(_xll.ciqfunctions.udf.CIQ(mh_ticker, "IQ_EBITDA_EST", IQ_NTM, B1151, , , "USD"), "")</f>
        <v/>
      </c>
      <c r="O1151" s="13">
        <f>IFERROR(M1151/N1151, "")</f>
        <v/>
      </c>
    </row>
    <row r="1152">
      <c r="B1152" s="8" t="n"/>
      <c r="C1152" s="9">
        <f>IFERROR(_xll.ciqfunctions.udf.CIQ(mh_ticker, "IQ_LASTSALEPRICE", B1152), "")</f>
        <v/>
      </c>
      <c r="D1152" s="10">
        <f>IFERROR(_xll.ciqfunctions.udf.CIQ(mh_ticker, "IQ_SHARESOUTSTANDING_OUT", B1152), "")</f>
        <v/>
      </c>
      <c r="E1152" s="11">
        <f>IFERROR(_xll.ciqfunctions.udf.CIQ(mh_ticker, "IQ_CASH_EQUIV", , B1152), "")</f>
        <v/>
      </c>
      <c r="F1152" s="11">
        <f>IFERROR(_xll.ciqfunctions.udf.CIQ(mh_ticker, "IQ_ST_INVEST", , B1152), "")</f>
        <v/>
      </c>
      <c r="G1152" s="11">
        <f>IFERROR(_xll.ciqfunctions.udf.CIQ(mh_ticker, "IQ_TOTAL_DEBT_EXCL_OPER_LEASES", , B1152), "")</f>
        <v/>
      </c>
      <c r="H1152" s="11">
        <f>IFERROR(_xll.ciqfunctions.udf.CIQ(mh_ticker, "IQ_PREF_EQUITY", , B1152), "")</f>
        <v/>
      </c>
      <c r="I1152" s="11">
        <f>IFERROR(_xll.ciqfunctions.udf.CIQ(mh_ticker, "IQ_MINORITY_INTEREST", , B1152), "")</f>
        <v/>
      </c>
      <c r="J1152" s="11">
        <f>IFERROR(_xll.ciqfunctions.udf.CIQ(mh_ticker, "IQ_EQUITY_METHOD", , B1152), "")</f>
        <v/>
      </c>
      <c r="K1152" s="11">
        <f>IFERROR(_xll.ciqfunctions.udf.CIQ(mh_ticker, "IQ_LT_Mark_Securities", , B1152), "")</f>
        <v/>
      </c>
      <c r="L1152" s="12">
        <f>IFERROR(C1152*D1152, "")</f>
        <v/>
      </c>
      <c r="M1152" s="12">
        <f>IFERROR(L1152-E1152-F1152+G1152+H1152+I1152-J1152-K1152, "")</f>
        <v/>
      </c>
      <c r="N1152" s="11">
        <f>IFERROR(_xll.ciqfunctions.udf.CIQ(mh_ticker, "IQ_EBITDA_EST", IQ_NTM, B1152, , , "USD"), "")</f>
        <v/>
      </c>
      <c r="O1152" s="13">
        <f>IFERROR(M1152/N1152, "")</f>
        <v/>
      </c>
    </row>
    <row r="1153">
      <c r="B1153" s="8" t="n"/>
      <c r="C1153" s="9">
        <f>IFERROR(_xll.ciqfunctions.udf.CIQ(mh_ticker, "IQ_LASTSALEPRICE", B1153), "")</f>
        <v/>
      </c>
      <c r="D1153" s="10">
        <f>IFERROR(_xll.ciqfunctions.udf.CIQ(mh_ticker, "IQ_SHARESOUTSTANDING_OUT", B1153), "")</f>
        <v/>
      </c>
      <c r="E1153" s="11">
        <f>IFERROR(_xll.ciqfunctions.udf.CIQ(mh_ticker, "IQ_CASH_EQUIV", , B1153), "")</f>
        <v/>
      </c>
      <c r="F1153" s="11">
        <f>IFERROR(_xll.ciqfunctions.udf.CIQ(mh_ticker, "IQ_ST_INVEST", , B1153), "")</f>
        <v/>
      </c>
      <c r="G1153" s="11">
        <f>IFERROR(_xll.ciqfunctions.udf.CIQ(mh_ticker, "IQ_TOTAL_DEBT_EXCL_OPER_LEASES", , B1153), "")</f>
        <v/>
      </c>
      <c r="H1153" s="11">
        <f>IFERROR(_xll.ciqfunctions.udf.CIQ(mh_ticker, "IQ_PREF_EQUITY", , B1153), "")</f>
        <v/>
      </c>
      <c r="I1153" s="11">
        <f>IFERROR(_xll.ciqfunctions.udf.CIQ(mh_ticker, "IQ_MINORITY_INTEREST", , B1153), "")</f>
        <v/>
      </c>
      <c r="J1153" s="11">
        <f>IFERROR(_xll.ciqfunctions.udf.CIQ(mh_ticker, "IQ_EQUITY_METHOD", , B1153), "")</f>
        <v/>
      </c>
      <c r="K1153" s="11">
        <f>IFERROR(_xll.ciqfunctions.udf.CIQ(mh_ticker, "IQ_LT_Mark_Securities", , B1153), "")</f>
        <v/>
      </c>
      <c r="L1153" s="12">
        <f>IFERROR(C1153*D1153, "")</f>
        <v/>
      </c>
      <c r="M1153" s="12">
        <f>IFERROR(L1153-E1153-F1153+G1153+H1153+I1153-J1153-K1153, "")</f>
        <v/>
      </c>
      <c r="N1153" s="11">
        <f>IFERROR(_xll.ciqfunctions.udf.CIQ(mh_ticker, "IQ_EBITDA_EST", IQ_NTM, B1153, , , "USD"), "")</f>
        <v/>
      </c>
      <c r="O1153" s="13">
        <f>IFERROR(M1153/N1153, "")</f>
        <v/>
      </c>
    </row>
    <row r="1154">
      <c r="B1154" s="8" t="n"/>
      <c r="C1154" s="9">
        <f>IFERROR(_xll.ciqfunctions.udf.CIQ(mh_ticker, "IQ_LASTSALEPRICE", B1154), "")</f>
        <v/>
      </c>
      <c r="D1154" s="10">
        <f>IFERROR(_xll.ciqfunctions.udf.CIQ(mh_ticker, "IQ_SHARESOUTSTANDING_OUT", B1154), "")</f>
        <v/>
      </c>
      <c r="E1154" s="11">
        <f>IFERROR(_xll.ciqfunctions.udf.CIQ(mh_ticker, "IQ_CASH_EQUIV", , B1154), "")</f>
        <v/>
      </c>
      <c r="F1154" s="11">
        <f>IFERROR(_xll.ciqfunctions.udf.CIQ(mh_ticker, "IQ_ST_INVEST", , B1154), "")</f>
        <v/>
      </c>
      <c r="G1154" s="11">
        <f>IFERROR(_xll.ciqfunctions.udf.CIQ(mh_ticker, "IQ_TOTAL_DEBT_EXCL_OPER_LEASES", , B1154), "")</f>
        <v/>
      </c>
      <c r="H1154" s="11">
        <f>IFERROR(_xll.ciqfunctions.udf.CIQ(mh_ticker, "IQ_PREF_EQUITY", , B1154), "")</f>
        <v/>
      </c>
      <c r="I1154" s="11">
        <f>IFERROR(_xll.ciqfunctions.udf.CIQ(mh_ticker, "IQ_MINORITY_INTEREST", , B1154), "")</f>
        <v/>
      </c>
      <c r="J1154" s="11">
        <f>IFERROR(_xll.ciqfunctions.udf.CIQ(mh_ticker, "IQ_EQUITY_METHOD", , B1154), "")</f>
        <v/>
      </c>
      <c r="K1154" s="11">
        <f>IFERROR(_xll.ciqfunctions.udf.CIQ(mh_ticker, "IQ_LT_Mark_Securities", , B1154), "")</f>
        <v/>
      </c>
      <c r="L1154" s="12">
        <f>IFERROR(C1154*D1154, "")</f>
        <v/>
      </c>
      <c r="M1154" s="12">
        <f>IFERROR(L1154-E1154-F1154+G1154+H1154+I1154-J1154-K1154, "")</f>
        <v/>
      </c>
      <c r="N1154" s="11">
        <f>IFERROR(_xll.ciqfunctions.udf.CIQ(mh_ticker, "IQ_EBITDA_EST", IQ_NTM, B1154, , , "USD"), "")</f>
        <v/>
      </c>
      <c r="O1154" s="13">
        <f>IFERROR(M1154/N1154, "")</f>
        <v/>
      </c>
    </row>
    <row r="1155">
      <c r="B1155" s="8" t="n"/>
      <c r="C1155" s="9">
        <f>IFERROR(_xll.ciqfunctions.udf.CIQ(mh_ticker, "IQ_LASTSALEPRICE", B1155), "")</f>
        <v/>
      </c>
      <c r="D1155" s="10">
        <f>IFERROR(_xll.ciqfunctions.udf.CIQ(mh_ticker, "IQ_SHARESOUTSTANDING_OUT", B1155), "")</f>
        <v/>
      </c>
      <c r="E1155" s="11">
        <f>IFERROR(_xll.ciqfunctions.udf.CIQ(mh_ticker, "IQ_CASH_EQUIV", , B1155), "")</f>
        <v/>
      </c>
      <c r="F1155" s="11">
        <f>IFERROR(_xll.ciqfunctions.udf.CIQ(mh_ticker, "IQ_ST_INVEST", , B1155), "")</f>
        <v/>
      </c>
      <c r="G1155" s="11">
        <f>IFERROR(_xll.ciqfunctions.udf.CIQ(mh_ticker, "IQ_TOTAL_DEBT_EXCL_OPER_LEASES", , B1155), "")</f>
        <v/>
      </c>
      <c r="H1155" s="11">
        <f>IFERROR(_xll.ciqfunctions.udf.CIQ(mh_ticker, "IQ_PREF_EQUITY", , B1155), "")</f>
        <v/>
      </c>
      <c r="I1155" s="11">
        <f>IFERROR(_xll.ciqfunctions.udf.CIQ(mh_ticker, "IQ_MINORITY_INTEREST", , B1155), "")</f>
        <v/>
      </c>
      <c r="J1155" s="11">
        <f>IFERROR(_xll.ciqfunctions.udf.CIQ(mh_ticker, "IQ_EQUITY_METHOD", , B1155), "")</f>
        <v/>
      </c>
      <c r="K1155" s="11">
        <f>IFERROR(_xll.ciqfunctions.udf.CIQ(mh_ticker, "IQ_LT_Mark_Securities", , B1155), "")</f>
        <v/>
      </c>
      <c r="L1155" s="12">
        <f>IFERROR(C1155*D1155, "")</f>
        <v/>
      </c>
      <c r="M1155" s="12">
        <f>IFERROR(L1155-E1155-F1155+G1155+H1155+I1155-J1155-K1155, "")</f>
        <v/>
      </c>
      <c r="N1155" s="11">
        <f>IFERROR(_xll.ciqfunctions.udf.CIQ(mh_ticker, "IQ_EBITDA_EST", IQ_NTM, B1155, , , "USD"), "")</f>
        <v/>
      </c>
      <c r="O1155" s="13">
        <f>IFERROR(M1155/N1155, "")</f>
        <v/>
      </c>
    </row>
    <row r="1156">
      <c r="B1156" s="8" t="n"/>
      <c r="C1156" s="9">
        <f>IFERROR(_xll.ciqfunctions.udf.CIQ(mh_ticker, "IQ_LASTSALEPRICE", B1156), "")</f>
        <v/>
      </c>
      <c r="D1156" s="10">
        <f>IFERROR(_xll.ciqfunctions.udf.CIQ(mh_ticker, "IQ_SHARESOUTSTANDING_OUT", B1156), "")</f>
        <v/>
      </c>
      <c r="E1156" s="11">
        <f>IFERROR(_xll.ciqfunctions.udf.CIQ(mh_ticker, "IQ_CASH_EQUIV", , B1156), "")</f>
        <v/>
      </c>
      <c r="F1156" s="11">
        <f>IFERROR(_xll.ciqfunctions.udf.CIQ(mh_ticker, "IQ_ST_INVEST", , B1156), "")</f>
        <v/>
      </c>
      <c r="G1156" s="11">
        <f>IFERROR(_xll.ciqfunctions.udf.CIQ(mh_ticker, "IQ_TOTAL_DEBT_EXCL_OPER_LEASES", , B1156), "")</f>
        <v/>
      </c>
      <c r="H1156" s="11">
        <f>IFERROR(_xll.ciqfunctions.udf.CIQ(mh_ticker, "IQ_PREF_EQUITY", , B1156), "")</f>
        <v/>
      </c>
      <c r="I1156" s="11">
        <f>IFERROR(_xll.ciqfunctions.udf.CIQ(mh_ticker, "IQ_MINORITY_INTEREST", , B1156), "")</f>
        <v/>
      </c>
      <c r="J1156" s="11">
        <f>IFERROR(_xll.ciqfunctions.udf.CIQ(mh_ticker, "IQ_EQUITY_METHOD", , B1156), "")</f>
        <v/>
      </c>
      <c r="K1156" s="11">
        <f>IFERROR(_xll.ciqfunctions.udf.CIQ(mh_ticker, "IQ_LT_Mark_Securities", , B1156), "")</f>
        <v/>
      </c>
      <c r="L1156" s="12">
        <f>IFERROR(C1156*D1156, "")</f>
        <v/>
      </c>
      <c r="M1156" s="12">
        <f>IFERROR(L1156-E1156-F1156+G1156+H1156+I1156-J1156-K1156, "")</f>
        <v/>
      </c>
      <c r="N1156" s="11">
        <f>IFERROR(_xll.ciqfunctions.udf.CIQ(mh_ticker, "IQ_EBITDA_EST", IQ_NTM, B1156, , , "USD"), "")</f>
        <v/>
      </c>
      <c r="O1156" s="13">
        <f>IFERROR(M1156/N1156, "")</f>
        <v/>
      </c>
    </row>
    <row r="1157">
      <c r="B1157" s="8" t="n"/>
      <c r="C1157" s="9">
        <f>IFERROR(_xll.ciqfunctions.udf.CIQ(mh_ticker, "IQ_LASTSALEPRICE", B1157), "")</f>
        <v/>
      </c>
      <c r="D1157" s="10">
        <f>IFERROR(_xll.ciqfunctions.udf.CIQ(mh_ticker, "IQ_SHARESOUTSTANDING_OUT", B1157), "")</f>
        <v/>
      </c>
      <c r="E1157" s="11">
        <f>IFERROR(_xll.ciqfunctions.udf.CIQ(mh_ticker, "IQ_CASH_EQUIV", , B1157), "")</f>
        <v/>
      </c>
      <c r="F1157" s="11">
        <f>IFERROR(_xll.ciqfunctions.udf.CIQ(mh_ticker, "IQ_ST_INVEST", , B1157), "")</f>
        <v/>
      </c>
      <c r="G1157" s="11">
        <f>IFERROR(_xll.ciqfunctions.udf.CIQ(mh_ticker, "IQ_TOTAL_DEBT_EXCL_OPER_LEASES", , B1157), "")</f>
        <v/>
      </c>
      <c r="H1157" s="11">
        <f>IFERROR(_xll.ciqfunctions.udf.CIQ(mh_ticker, "IQ_PREF_EQUITY", , B1157), "")</f>
        <v/>
      </c>
      <c r="I1157" s="11">
        <f>IFERROR(_xll.ciqfunctions.udf.CIQ(mh_ticker, "IQ_MINORITY_INTEREST", , B1157), "")</f>
        <v/>
      </c>
      <c r="J1157" s="11">
        <f>IFERROR(_xll.ciqfunctions.udf.CIQ(mh_ticker, "IQ_EQUITY_METHOD", , B1157), "")</f>
        <v/>
      </c>
      <c r="K1157" s="11">
        <f>IFERROR(_xll.ciqfunctions.udf.CIQ(mh_ticker, "IQ_LT_Mark_Securities", , B1157), "")</f>
        <v/>
      </c>
      <c r="L1157" s="12">
        <f>IFERROR(C1157*D1157, "")</f>
        <v/>
      </c>
      <c r="M1157" s="12">
        <f>IFERROR(L1157-E1157-F1157+G1157+H1157+I1157-J1157-K1157, "")</f>
        <v/>
      </c>
      <c r="N1157" s="11">
        <f>IFERROR(_xll.ciqfunctions.udf.CIQ(mh_ticker, "IQ_EBITDA_EST", IQ_NTM, B1157, , , "USD"), "")</f>
        <v/>
      </c>
      <c r="O1157" s="13">
        <f>IFERROR(M1157/N1157, "")</f>
        <v/>
      </c>
    </row>
    <row r="1158">
      <c r="B1158" s="8" t="n"/>
      <c r="C1158" s="9">
        <f>IFERROR(_xll.ciqfunctions.udf.CIQ(mh_ticker, "IQ_LASTSALEPRICE", B1158), "")</f>
        <v/>
      </c>
      <c r="D1158" s="10">
        <f>IFERROR(_xll.ciqfunctions.udf.CIQ(mh_ticker, "IQ_SHARESOUTSTANDING_OUT", B1158), "")</f>
        <v/>
      </c>
      <c r="E1158" s="11">
        <f>IFERROR(_xll.ciqfunctions.udf.CIQ(mh_ticker, "IQ_CASH_EQUIV", , B1158), "")</f>
        <v/>
      </c>
      <c r="F1158" s="11">
        <f>IFERROR(_xll.ciqfunctions.udf.CIQ(mh_ticker, "IQ_ST_INVEST", , B1158), "")</f>
        <v/>
      </c>
      <c r="G1158" s="11">
        <f>IFERROR(_xll.ciqfunctions.udf.CIQ(mh_ticker, "IQ_TOTAL_DEBT_EXCL_OPER_LEASES", , B1158), "")</f>
        <v/>
      </c>
      <c r="H1158" s="11">
        <f>IFERROR(_xll.ciqfunctions.udf.CIQ(mh_ticker, "IQ_PREF_EQUITY", , B1158), "")</f>
        <v/>
      </c>
      <c r="I1158" s="11">
        <f>IFERROR(_xll.ciqfunctions.udf.CIQ(mh_ticker, "IQ_MINORITY_INTEREST", , B1158), "")</f>
        <v/>
      </c>
      <c r="J1158" s="11">
        <f>IFERROR(_xll.ciqfunctions.udf.CIQ(mh_ticker, "IQ_EQUITY_METHOD", , B1158), "")</f>
        <v/>
      </c>
      <c r="K1158" s="11">
        <f>IFERROR(_xll.ciqfunctions.udf.CIQ(mh_ticker, "IQ_LT_Mark_Securities", , B1158), "")</f>
        <v/>
      </c>
      <c r="L1158" s="12">
        <f>IFERROR(C1158*D1158, "")</f>
        <v/>
      </c>
      <c r="M1158" s="12">
        <f>IFERROR(L1158-E1158-F1158+G1158+H1158+I1158-J1158-K1158, "")</f>
        <v/>
      </c>
      <c r="N1158" s="11">
        <f>IFERROR(_xll.ciqfunctions.udf.CIQ(mh_ticker, "IQ_EBITDA_EST", IQ_NTM, B1158, , , "USD"), "")</f>
        <v/>
      </c>
      <c r="O1158" s="13">
        <f>IFERROR(M1158/N1158, "")</f>
        <v/>
      </c>
    </row>
    <row r="1159">
      <c r="B1159" s="8" t="n"/>
      <c r="C1159" s="9">
        <f>IFERROR(_xll.ciqfunctions.udf.CIQ(mh_ticker, "IQ_LASTSALEPRICE", B1159), "")</f>
        <v/>
      </c>
      <c r="D1159" s="10">
        <f>IFERROR(_xll.ciqfunctions.udf.CIQ(mh_ticker, "IQ_SHARESOUTSTANDING_OUT", B1159), "")</f>
        <v/>
      </c>
      <c r="E1159" s="11">
        <f>IFERROR(_xll.ciqfunctions.udf.CIQ(mh_ticker, "IQ_CASH_EQUIV", , B1159), "")</f>
        <v/>
      </c>
      <c r="F1159" s="11">
        <f>IFERROR(_xll.ciqfunctions.udf.CIQ(mh_ticker, "IQ_ST_INVEST", , B1159), "")</f>
        <v/>
      </c>
      <c r="G1159" s="11">
        <f>IFERROR(_xll.ciqfunctions.udf.CIQ(mh_ticker, "IQ_TOTAL_DEBT_EXCL_OPER_LEASES", , B1159), "")</f>
        <v/>
      </c>
      <c r="H1159" s="11">
        <f>IFERROR(_xll.ciqfunctions.udf.CIQ(mh_ticker, "IQ_PREF_EQUITY", , B1159), "")</f>
        <v/>
      </c>
      <c r="I1159" s="11">
        <f>IFERROR(_xll.ciqfunctions.udf.CIQ(mh_ticker, "IQ_MINORITY_INTEREST", , B1159), "")</f>
        <v/>
      </c>
      <c r="J1159" s="11">
        <f>IFERROR(_xll.ciqfunctions.udf.CIQ(mh_ticker, "IQ_EQUITY_METHOD", , B1159), "")</f>
        <v/>
      </c>
      <c r="K1159" s="11">
        <f>IFERROR(_xll.ciqfunctions.udf.CIQ(mh_ticker, "IQ_LT_Mark_Securities", , B1159), "")</f>
        <v/>
      </c>
      <c r="L1159" s="12">
        <f>IFERROR(C1159*D1159, "")</f>
        <v/>
      </c>
      <c r="M1159" s="12">
        <f>IFERROR(L1159-E1159-F1159+G1159+H1159+I1159-J1159-K1159, "")</f>
        <v/>
      </c>
      <c r="N1159" s="11">
        <f>IFERROR(_xll.ciqfunctions.udf.CIQ(mh_ticker, "IQ_EBITDA_EST", IQ_NTM, B1159, , , "USD"), "")</f>
        <v/>
      </c>
      <c r="O1159" s="13">
        <f>IFERROR(M1159/N1159, "")</f>
        <v/>
      </c>
    </row>
    <row r="1160">
      <c r="B1160" s="8" t="n"/>
      <c r="C1160" s="9">
        <f>IFERROR(_xll.ciqfunctions.udf.CIQ(mh_ticker, "IQ_LASTSALEPRICE", B1160), "")</f>
        <v/>
      </c>
      <c r="D1160" s="10">
        <f>IFERROR(_xll.ciqfunctions.udf.CIQ(mh_ticker, "IQ_SHARESOUTSTANDING_OUT", B1160), "")</f>
        <v/>
      </c>
      <c r="E1160" s="11">
        <f>IFERROR(_xll.ciqfunctions.udf.CIQ(mh_ticker, "IQ_CASH_EQUIV", , B1160), "")</f>
        <v/>
      </c>
      <c r="F1160" s="11">
        <f>IFERROR(_xll.ciqfunctions.udf.CIQ(mh_ticker, "IQ_ST_INVEST", , B1160), "")</f>
        <v/>
      </c>
      <c r="G1160" s="11">
        <f>IFERROR(_xll.ciqfunctions.udf.CIQ(mh_ticker, "IQ_TOTAL_DEBT_EXCL_OPER_LEASES", , B1160), "")</f>
        <v/>
      </c>
      <c r="H1160" s="11">
        <f>IFERROR(_xll.ciqfunctions.udf.CIQ(mh_ticker, "IQ_PREF_EQUITY", , B1160), "")</f>
        <v/>
      </c>
      <c r="I1160" s="11">
        <f>IFERROR(_xll.ciqfunctions.udf.CIQ(mh_ticker, "IQ_MINORITY_INTEREST", , B1160), "")</f>
        <v/>
      </c>
      <c r="J1160" s="11">
        <f>IFERROR(_xll.ciqfunctions.udf.CIQ(mh_ticker, "IQ_EQUITY_METHOD", , B1160), "")</f>
        <v/>
      </c>
      <c r="K1160" s="11">
        <f>IFERROR(_xll.ciqfunctions.udf.CIQ(mh_ticker, "IQ_LT_Mark_Securities", , B1160), "")</f>
        <v/>
      </c>
      <c r="L1160" s="12">
        <f>IFERROR(C1160*D1160, "")</f>
        <v/>
      </c>
      <c r="M1160" s="12">
        <f>IFERROR(L1160-E1160-F1160+G1160+H1160+I1160-J1160-K1160, "")</f>
        <v/>
      </c>
      <c r="N1160" s="11">
        <f>IFERROR(_xll.ciqfunctions.udf.CIQ(mh_ticker, "IQ_EBITDA_EST", IQ_NTM, B1160, , , "USD"), "")</f>
        <v/>
      </c>
      <c r="O1160" s="13">
        <f>IFERROR(M1160/N1160, "")</f>
        <v/>
      </c>
    </row>
    <row r="1161">
      <c r="B1161" s="8" t="n"/>
      <c r="C1161" s="9">
        <f>IFERROR(_xll.ciqfunctions.udf.CIQ(mh_ticker, "IQ_LASTSALEPRICE", B1161), "")</f>
        <v/>
      </c>
      <c r="D1161" s="10">
        <f>IFERROR(_xll.ciqfunctions.udf.CIQ(mh_ticker, "IQ_SHARESOUTSTANDING_OUT", B1161), "")</f>
        <v/>
      </c>
      <c r="E1161" s="11">
        <f>IFERROR(_xll.ciqfunctions.udf.CIQ(mh_ticker, "IQ_CASH_EQUIV", , B1161), "")</f>
        <v/>
      </c>
      <c r="F1161" s="11">
        <f>IFERROR(_xll.ciqfunctions.udf.CIQ(mh_ticker, "IQ_ST_INVEST", , B1161), "")</f>
        <v/>
      </c>
      <c r="G1161" s="11">
        <f>IFERROR(_xll.ciqfunctions.udf.CIQ(mh_ticker, "IQ_TOTAL_DEBT_EXCL_OPER_LEASES", , B1161), "")</f>
        <v/>
      </c>
      <c r="H1161" s="11">
        <f>IFERROR(_xll.ciqfunctions.udf.CIQ(mh_ticker, "IQ_PREF_EQUITY", , B1161), "")</f>
        <v/>
      </c>
      <c r="I1161" s="11">
        <f>IFERROR(_xll.ciqfunctions.udf.CIQ(mh_ticker, "IQ_MINORITY_INTEREST", , B1161), "")</f>
        <v/>
      </c>
      <c r="J1161" s="11">
        <f>IFERROR(_xll.ciqfunctions.udf.CIQ(mh_ticker, "IQ_EQUITY_METHOD", , B1161), "")</f>
        <v/>
      </c>
      <c r="K1161" s="11">
        <f>IFERROR(_xll.ciqfunctions.udf.CIQ(mh_ticker, "IQ_LT_Mark_Securities", , B1161), "")</f>
        <v/>
      </c>
      <c r="L1161" s="12">
        <f>IFERROR(C1161*D1161, "")</f>
        <v/>
      </c>
      <c r="M1161" s="12">
        <f>IFERROR(L1161-E1161-F1161+G1161+H1161+I1161-J1161-K1161, "")</f>
        <v/>
      </c>
      <c r="N1161" s="11">
        <f>IFERROR(_xll.ciqfunctions.udf.CIQ(mh_ticker, "IQ_EBITDA_EST", IQ_NTM, B1161, , , "USD"), "")</f>
        <v/>
      </c>
      <c r="O1161" s="13">
        <f>IFERROR(M1161/N1161, "")</f>
        <v/>
      </c>
    </row>
    <row r="1162">
      <c r="B1162" s="8" t="n"/>
      <c r="C1162" s="9">
        <f>IFERROR(_xll.ciqfunctions.udf.CIQ(mh_ticker, "IQ_LASTSALEPRICE", B1162), "")</f>
        <v/>
      </c>
      <c r="D1162" s="10">
        <f>IFERROR(_xll.ciqfunctions.udf.CIQ(mh_ticker, "IQ_SHARESOUTSTANDING_OUT", B1162), "")</f>
        <v/>
      </c>
      <c r="E1162" s="11">
        <f>IFERROR(_xll.ciqfunctions.udf.CIQ(mh_ticker, "IQ_CASH_EQUIV", , B1162), "")</f>
        <v/>
      </c>
      <c r="F1162" s="11">
        <f>IFERROR(_xll.ciqfunctions.udf.CIQ(mh_ticker, "IQ_ST_INVEST", , B1162), "")</f>
        <v/>
      </c>
      <c r="G1162" s="11">
        <f>IFERROR(_xll.ciqfunctions.udf.CIQ(mh_ticker, "IQ_TOTAL_DEBT_EXCL_OPER_LEASES", , B1162), "")</f>
        <v/>
      </c>
      <c r="H1162" s="11">
        <f>IFERROR(_xll.ciqfunctions.udf.CIQ(mh_ticker, "IQ_PREF_EQUITY", , B1162), "")</f>
        <v/>
      </c>
      <c r="I1162" s="11">
        <f>IFERROR(_xll.ciqfunctions.udf.CIQ(mh_ticker, "IQ_MINORITY_INTEREST", , B1162), "")</f>
        <v/>
      </c>
      <c r="J1162" s="11">
        <f>IFERROR(_xll.ciqfunctions.udf.CIQ(mh_ticker, "IQ_EQUITY_METHOD", , B1162), "")</f>
        <v/>
      </c>
      <c r="K1162" s="11">
        <f>IFERROR(_xll.ciqfunctions.udf.CIQ(mh_ticker, "IQ_LT_Mark_Securities", , B1162), "")</f>
        <v/>
      </c>
      <c r="L1162" s="12">
        <f>IFERROR(C1162*D1162, "")</f>
        <v/>
      </c>
      <c r="M1162" s="12">
        <f>IFERROR(L1162-E1162-F1162+G1162+H1162+I1162-J1162-K1162, "")</f>
        <v/>
      </c>
      <c r="N1162" s="11">
        <f>IFERROR(_xll.ciqfunctions.udf.CIQ(mh_ticker, "IQ_EBITDA_EST", IQ_NTM, B1162, , , "USD"), "")</f>
        <v/>
      </c>
      <c r="O1162" s="13">
        <f>IFERROR(M1162/N1162, "")</f>
        <v/>
      </c>
    </row>
    <row r="1163">
      <c r="B1163" s="8" t="n"/>
      <c r="C1163" s="9">
        <f>IFERROR(_xll.ciqfunctions.udf.CIQ(mh_ticker, "IQ_LASTSALEPRICE", B1163), "")</f>
        <v/>
      </c>
      <c r="D1163" s="10">
        <f>IFERROR(_xll.ciqfunctions.udf.CIQ(mh_ticker, "IQ_SHARESOUTSTANDING_OUT", B1163), "")</f>
        <v/>
      </c>
      <c r="E1163" s="11">
        <f>IFERROR(_xll.ciqfunctions.udf.CIQ(mh_ticker, "IQ_CASH_EQUIV", , B1163), "")</f>
        <v/>
      </c>
      <c r="F1163" s="11">
        <f>IFERROR(_xll.ciqfunctions.udf.CIQ(mh_ticker, "IQ_ST_INVEST", , B1163), "")</f>
        <v/>
      </c>
      <c r="G1163" s="11">
        <f>IFERROR(_xll.ciqfunctions.udf.CIQ(mh_ticker, "IQ_TOTAL_DEBT_EXCL_OPER_LEASES", , B1163), "")</f>
        <v/>
      </c>
      <c r="H1163" s="11">
        <f>IFERROR(_xll.ciqfunctions.udf.CIQ(mh_ticker, "IQ_PREF_EQUITY", , B1163), "")</f>
        <v/>
      </c>
      <c r="I1163" s="11">
        <f>IFERROR(_xll.ciqfunctions.udf.CIQ(mh_ticker, "IQ_MINORITY_INTEREST", , B1163), "")</f>
        <v/>
      </c>
      <c r="J1163" s="11">
        <f>IFERROR(_xll.ciqfunctions.udf.CIQ(mh_ticker, "IQ_EQUITY_METHOD", , B1163), "")</f>
        <v/>
      </c>
      <c r="K1163" s="11">
        <f>IFERROR(_xll.ciqfunctions.udf.CIQ(mh_ticker, "IQ_LT_Mark_Securities", , B1163), "")</f>
        <v/>
      </c>
      <c r="L1163" s="12">
        <f>IFERROR(C1163*D1163, "")</f>
        <v/>
      </c>
      <c r="M1163" s="12">
        <f>IFERROR(L1163-E1163-F1163+G1163+H1163+I1163-J1163-K1163, "")</f>
        <v/>
      </c>
      <c r="N1163" s="11">
        <f>IFERROR(_xll.ciqfunctions.udf.CIQ(mh_ticker, "IQ_EBITDA_EST", IQ_NTM, B1163, , , "USD"), "")</f>
        <v/>
      </c>
      <c r="O1163" s="13">
        <f>IFERROR(M1163/N1163, "")</f>
        <v/>
      </c>
    </row>
    <row r="1164">
      <c r="B1164" s="8" t="n"/>
      <c r="C1164" s="9">
        <f>IFERROR(_xll.ciqfunctions.udf.CIQ(mh_ticker, "IQ_LASTSALEPRICE", B1164), "")</f>
        <v/>
      </c>
      <c r="D1164" s="10">
        <f>IFERROR(_xll.ciqfunctions.udf.CIQ(mh_ticker, "IQ_SHARESOUTSTANDING_OUT", B1164), "")</f>
        <v/>
      </c>
      <c r="E1164" s="11">
        <f>IFERROR(_xll.ciqfunctions.udf.CIQ(mh_ticker, "IQ_CASH_EQUIV", , B1164), "")</f>
        <v/>
      </c>
      <c r="F1164" s="11">
        <f>IFERROR(_xll.ciqfunctions.udf.CIQ(mh_ticker, "IQ_ST_INVEST", , B1164), "")</f>
        <v/>
      </c>
      <c r="G1164" s="11">
        <f>IFERROR(_xll.ciqfunctions.udf.CIQ(mh_ticker, "IQ_TOTAL_DEBT_EXCL_OPER_LEASES", , B1164), "")</f>
        <v/>
      </c>
      <c r="H1164" s="11">
        <f>IFERROR(_xll.ciqfunctions.udf.CIQ(mh_ticker, "IQ_PREF_EQUITY", , B1164), "")</f>
        <v/>
      </c>
      <c r="I1164" s="11">
        <f>IFERROR(_xll.ciqfunctions.udf.CIQ(mh_ticker, "IQ_MINORITY_INTEREST", , B1164), "")</f>
        <v/>
      </c>
      <c r="J1164" s="11">
        <f>IFERROR(_xll.ciqfunctions.udf.CIQ(mh_ticker, "IQ_EQUITY_METHOD", , B1164), "")</f>
        <v/>
      </c>
      <c r="K1164" s="11">
        <f>IFERROR(_xll.ciqfunctions.udf.CIQ(mh_ticker, "IQ_LT_Mark_Securities", , B1164), "")</f>
        <v/>
      </c>
      <c r="L1164" s="12">
        <f>IFERROR(C1164*D1164, "")</f>
        <v/>
      </c>
      <c r="M1164" s="12">
        <f>IFERROR(L1164-E1164-F1164+G1164+H1164+I1164-J1164-K1164, "")</f>
        <v/>
      </c>
      <c r="N1164" s="11">
        <f>IFERROR(_xll.ciqfunctions.udf.CIQ(mh_ticker, "IQ_EBITDA_EST", IQ_NTM, B1164, , , "USD"), "")</f>
        <v/>
      </c>
      <c r="O1164" s="13">
        <f>IFERROR(M1164/N1164, "")</f>
        <v/>
      </c>
    </row>
    <row r="1165">
      <c r="B1165" s="8" t="n"/>
      <c r="C1165" s="9">
        <f>IFERROR(_xll.ciqfunctions.udf.CIQ(mh_ticker, "IQ_LASTSALEPRICE", B1165), "")</f>
        <v/>
      </c>
      <c r="D1165" s="10">
        <f>IFERROR(_xll.ciqfunctions.udf.CIQ(mh_ticker, "IQ_SHARESOUTSTANDING_OUT", B1165), "")</f>
        <v/>
      </c>
      <c r="E1165" s="11">
        <f>IFERROR(_xll.ciqfunctions.udf.CIQ(mh_ticker, "IQ_CASH_EQUIV", , B1165), "")</f>
        <v/>
      </c>
      <c r="F1165" s="11">
        <f>IFERROR(_xll.ciqfunctions.udf.CIQ(mh_ticker, "IQ_ST_INVEST", , B1165), "")</f>
        <v/>
      </c>
      <c r="G1165" s="11">
        <f>IFERROR(_xll.ciqfunctions.udf.CIQ(mh_ticker, "IQ_TOTAL_DEBT_EXCL_OPER_LEASES", , B1165), "")</f>
        <v/>
      </c>
      <c r="H1165" s="11">
        <f>IFERROR(_xll.ciqfunctions.udf.CIQ(mh_ticker, "IQ_PREF_EQUITY", , B1165), "")</f>
        <v/>
      </c>
      <c r="I1165" s="11">
        <f>IFERROR(_xll.ciqfunctions.udf.CIQ(mh_ticker, "IQ_MINORITY_INTEREST", , B1165), "")</f>
        <v/>
      </c>
      <c r="J1165" s="11">
        <f>IFERROR(_xll.ciqfunctions.udf.CIQ(mh_ticker, "IQ_EQUITY_METHOD", , B1165), "")</f>
        <v/>
      </c>
      <c r="K1165" s="11">
        <f>IFERROR(_xll.ciqfunctions.udf.CIQ(mh_ticker, "IQ_LT_Mark_Securities", , B1165), "")</f>
        <v/>
      </c>
      <c r="L1165" s="12">
        <f>IFERROR(C1165*D1165, "")</f>
        <v/>
      </c>
      <c r="M1165" s="12">
        <f>IFERROR(L1165-E1165-F1165+G1165+H1165+I1165-J1165-K1165, "")</f>
        <v/>
      </c>
      <c r="N1165" s="11">
        <f>IFERROR(_xll.ciqfunctions.udf.CIQ(mh_ticker, "IQ_EBITDA_EST", IQ_NTM, B1165, , , "USD"), "")</f>
        <v/>
      </c>
      <c r="O1165" s="13">
        <f>IFERROR(M1165/N1165, "")</f>
        <v/>
      </c>
    </row>
    <row r="1166">
      <c r="B1166" s="8" t="n"/>
      <c r="C1166" s="9">
        <f>IFERROR(_xll.ciqfunctions.udf.CIQ(mh_ticker, "IQ_LASTSALEPRICE", B1166), "")</f>
        <v/>
      </c>
      <c r="D1166" s="10">
        <f>IFERROR(_xll.ciqfunctions.udf.CIQ(mh_ticker, "IQ_SHARESOUTSTANDING_OUT", B1166), "")</f>
        <v/>
      </c>
      <c r="E1166" s="11">
        <f>IFERROR(_xll.ciqfunctions.udf.CIQ(mh_ticker, "IQ_CASH_EQUIV", , B1166), "")</f>
        <v/>
      </c>
      <c r="F1166" s="11">
        <f>IFERROR(_xll.ciqfunctions.udf.CIQ(mh_ticker, "IQ_ST_INVEST", , B1166), "")</f>
        <v/>
      </c>
      <c r="G1166" s="11">
        <f>IFERROR(_xll.ciqfunctions.udf.CIQ(mh_ticker, "IQ_TOTAL_DEBT_EXCL_OPER_LEASES", , B1166), "")</f>
        <v/>
      </c>
      <c r="H1166" s="11">
        <f>IFERROR(_xll.ciqfunctions.udf.CIQ(mh_ticker, "IQ_PREF_EQUITY", , B1166), "")</f>
        <v/>
      </c>
      <c r="I1166" s="11">
        <f>IFERROR(_xll.ciqfunctions.udf.CIQ(mh_ticker, "IQ_MINORITY_INTEREST", , B1166), "")</f>
        <v/>
      </c>
      <c r="J1166" s="11">
        <f>IFERROR(_xll.ciqfunctions.udf.CIQ(mh_ticker, "IQ_EQUITY_METHOD", , B1166), "")</f>
        <v/>
      </c>
      <c r="K1166" s="11">
        <f>IFERROR(_xll.ciqfunctions.udf.CIQ(mh_ticker, "IQ_LT_Mark_Securities", , B1166), "")</f>
        <v/>
      </c>
      <c r="L1166" s="12">
        <f>IFERROR(C1166*D1166, "")</f>
        <v/>
      </c>
      <c r="M1166" s="12">
        <f>IFERROR(L1166-E1166-F1166+G1166+H1166+I1166-J1166-K1166, "")</f>
        <v/>
      </c>
      <c r="N1166" s="11">
        <f>IFERROR(_xll.ciqfunctions.udf.CIQ(mh_ticker, "IQ_EBITDA_EST", IQ_NTM, B1166, , , "USD"), "")</f>
        <v/>
      </c>
      <c r="O1166" s="13">
        <f>IFERROR(M1166/N1166, "")</f>
        <v/>
      </c>
    </row>
    <row r="1167">
      <c r="B1167" s="8" t="n"/>
      <c r="C1167" s="9">
        <f>IFERROR(_xll.ciqfunctions.udf.CIQ(mh_ticker, "IQ_LASTSALEPRICE", B1167), "")</f>
        <v/>
      </c>
      <c r="D1167" s="10">
        <f>IFERROR(_xll.ciqfunctions.udf.CIQ(mh_ticker, "IQ_SHARESOUTSTANDING_OUT", B1167), "")</f>
        <v/>
      </c>
      <c r="E1167" s="11">
        <f>IFERROR(_xll.ciqfunctions.udf.CIQ(mh_ticker, "IQ_CASH_EQUIV", , B1167), "")</f>
        <v/>
      </c>
      <c r="F1167" s="11">
        <f>IFERROR(_xll.ciqfunctions.udf.CIQ(mh_ticker, "IQ_ST_INVEST", , B1167), "")</f>
        <v/>
      </c>
      <c r="G1167" s="11">
        <f>IFERROR(_xll.ciqfunctions.udf.CIQ(mh_ticker, "IQ_TOTAL_DEBT_EXCL_OPER_LEASES", , B1167), "")</f>
        <v/>
      </c>
      <c r="H1167" s="11">
        <f>IFERROR(_xll.ciqfunctions.udf.CIQ(mh_ticker, "IQ_PREF_EQUITY", , B1167), "")</f>
        <v/>
      </c>
      <c r="I1167" s="11">
        <f>IFERROR(_xll.ciqfunctions.udf.CIQ(mh_ticker, "IQ_MINORITY_INTEREST", , B1167), "")</f>
        <v/>
      </c>
      <c r="J1167" s="11">
        <f>IFERROR(_xll.ciqfunctions.udf.CIQ(mh_ticker, "IQ_EQUITY_METHOD", , B1167), "")</f>
        <v/>
      </c>
      <c r="K1167" s="11">
        <f>IFERROR(_xll.ciqfunctions.udf.CIQ(mh_ticker, "IQ_LT_Mark_Securities", , B1167), "")</f>
        <v/>
      </c>
      <c r="L1167" s="12">
        <f>IFERROR(C1167*D1167, "")</f>
        <v/>
      </c>
      <c r="M1167" s="12">
        <f>IFERROR(L1167-E1167-F1167+G1167+H1167+I1167-J1167-K1167, "")</f>
        <v/>
      </c>
      <c r="N1167" s="11">
        <f>IFERROR(_xll.ciqfunctions.udf.CIQ(mh_ticker, "IQ_EBITDA_EST", IQ_NTM, B1167, , , "USD"), "")</f>
        <v/>
      </c>
      <c r="O1167" s="13">
        <f>IFERROR(M1167/N1167, "")</f>
        <v/>
      </c>
    </row>
    <row r="1168">
      <c r="B1168" s="8" t="n"/>
      <c r="C1168" s="9">
        <f>IFERROR(_xll.ciqfunctions.udf.CIQ(mh_ticker, "IQ_LASTSALEPRICE", B1168), "")</f>
        <v/>
      </c>
      <c r="D1168" s="10">
        <f>IFERROR(_xll.ciqfunctions.udf.CIQ(mh_ticker, "IQ_SHARESOUTSTANDING_OUT", B1168), "")</f>
        <v/>
      </c>
      <c r="E1168" s="11">
        <f>IFERROR(_xll.ciqfunctions.udf.CIQ(mh_ticker, "IQ_CASH_EQUIV", , B1168), "")</f>
        <v/>
      </c>
      <c r="F1168" s="11">
        <f>IFERROR(_xll.ciqfunctions.udf.CIQ(mh_ticker, "IQ_ST_INVEST", , B1168), "")</f>
        <v/>
      </c>
      <c r="G1168" s="11">
        <f>IFERROR(_xll.ciqfunctions.udf.CIQ(mh_ticker, "IQ_TOTAL_DEBT_EXCL_OPER_LEASES", , B1168), "")</f>
        <v/>
      </c>
      <c r="H1168" s="11">
        <f>IFERROR(_xll.ciqfunctions.udf.CIQ(mh_ticker, "IQ_PREF_EQUITY", , B1168), "")</f>
        <v/>
      </c>
      <c r="I1168" s="11">
        <f>IFERROR(_xll.ciqfunctions.udf.CIQ(mh_ticker, "IQ_MINORITY_INTEREST", , B1168), "")</f>
        <v/>
      </c>
      <c r="J1168" s="11">
        <f>IFERROR(_xll.ciqfunctions.udf.CIQ(mh_ticker, "IQ_EQUITY_METHOD", , B1168), "")</f>
        <v/>
      </c>
      <c r="K1168" s="11">
        <f>IFERROR(_xll.ciqfunctions.udf.CIQ(mh_ticker, "IQ_LT_Mark_Securities", , B1168), "")</f>
        <v/>
      </c>
      <c r="L1168" s="12">
        <f>IFERROR(C1168*D1168, "")</f>
        <v/>
      </c>
      <c r="M1168" s="12">
        <f>IFERROR(L1168-E1168-F1168+G1168+H1168+I1168-J1168-K1168, "")</f>
        <v/>
      </c>
      <c r="N1168" s="11">
        <f>IFERROR(_xll.ciqfunctions.udf.CIQ(mh_ticker, "IQ_EBITDA_EST", IQ_NTM, B1168, , , "USD"), "")</f>
        <v/>
      </c>
      <c r="O1168" s="13">
        <f>IFERROR(M1168/N1168, "")</f>
        <v/>
      </c>
    </row>
    <row r="1169">
      <c r="B1169" s="8" t="n"/>
      <c r="C1169" s="9">
        <f>IFERROR(_xll.ciqfunctions.udf.CIQ(mh_ticker, "IQ_LASTSALEPRICE", B1169), "")</f>
        <v/>
      </c>
      <c r="D1169" s="10">
        <f>IFERROR(_xll.ciqfunctions.udf.CIQ(mh_ticker, "IQ_SHARESOUTSTANDING_OUT", B1169), "")</f>
        <v/>
      </c>
      <c r="E1169" s="11">
        <f>IFERROR(_xll.ciqfunctions.udf.CIQ(mh_ticker, "IQ_CASH_EQUIV", , B1169), "")</f>
        <v/>
      </c>
      <c r="F1169" s="11">
        <f>IFERROR(_xll.ciqfunctions.udf.CIQ(mh_ticker, "IQ_ST_INVEST", , B1169), "")</f>
        <v/>
      </c>
      <c r="G1169" s="11">
        <f>IFERROR(_xll.ciqfunctions.udf.CIQ(mh_ticker, "IQ_TOTAL_DEBT_EXCL_OPER_LEASES", , B1169), "")</f>
        <v/>
      </c>
      <c r="H1169" s="11">
        <f>IFERROR(_xll.ciqfunctions.udf.CIQ(mh_ticker, "IQ_PREF_EQUITY", , B1169), "")</f>
        <v/>
      </c>
      <c r="I1169" s="11">
        <f>IFERROR(_xll.ciqfunctions.udf.CIQ(mh_ticker, "IQ_MINORITY_INTEREST", , B1169), "")</f>
        <v/>
      </c>
      <c r="J1169" s="11">
        <f>IFERROR(_xll.ciqfunctions.udf.CIQ(mh_ticker, "IQ_EQUITY_METHOD", , B1169), "")</f>
        <v/>
      </c>
      <c r="K1169" s="11">
        <f>IFERROR(_xll.ciqfunctions.udf.CIQ(mh_ticker, "IQ_LT_Mark_Securities", , B1169), "")</f>
        <v/>
      </c>
      <c r="L1169" s="12">
        <f>IFERROR(C1169*D1169, "")</f>
        <v/>
      </c>
      <c r="M1169" s="12">
        <f>IFERROR(L1169-E1169-F1169+G1169+H1169+I1169-J1169-K1169, "")</f>
        <v/>
      </c>
      <c r="N1169" s="11">
        <f>IFERROR(_xll.ciqfunctions.udf.CIQ(mh_ticker, "IQ_EBITDA_EST", IQ_NTM, B1169, , , "USD"), "")</f>
        <v/>
      </c>
      <c r="O1169" s="13">
        <f>IFERROR(M1169/N1169, "")</f>
        <v/>
      </c>
    </row>
    <row r="1170">
      <c r="B1170" s="8" t="n"/>
      <c r="C1170" s="9">
        <f>IFERROR(_xll.ciqfunctions.udf.CIQ(mh_ticker, "IQ_LASTSALEPRICE", B1170), "")</f>
        <v/>
      </c>
      <c r="D1170" s="10">
        <f>IFERROR(_xll.ciqfunctions.udf.CIQ(mh_ticker, "IQ_SHARESOUTSTANDING_OUT", B1170), "")</f>
        <v/>
      </c>
      <c r="E1170" s="11">
        <f>IFERROR(_xll.ciqfunctions.udf.CIQ(mh_ticker, "IQ_CASH_EQUIV", , B1170), "")</f>
        <v/>
      </c>
      <c r="F1170" s="11">
        <f>IFERROR(_xll.ciqfunctions.udf.CIQ(mh_ticker, "IQ_ST_INVEST", , B1170), "")</f>
        <v/>
      </c>
      <c r="G1170" s="11">
        <f>IFERROR(_xll.ciqfunctions.udf.CIQ(mh_ticker, "IQ_TOTAL_DEBT_EXCL_OPER_LEASES", , B1170), "")</f>
        <v/>
      </c>
      <c r="H1170" s="11">
        <f>IFERROR(_xll.ciqfunctions.udf.CIQ(mh_ticker, "IQ_PREF_EQUITY", , B1170), "")</f>
        <v/>
      </c>
      <c r="I1170" s="11">
        <f>IFERROR(_xll.ciqfunctions.udf.CIQ(mh_ticker, "IQ_MINORITY_INTEREST", , B1170), "")</f>
        <v/>
      </c>
      <c r="J1170" s="11">
        <f>IFERROR(_xll.ciqfunctions.udf.CIQ(mh_ticker, "IQ_EQUITY_METHOD", , B1170), "")</f>
        <v/>
      </c>
      <c r="K1170" s="11">
        <f>IFERROR(_xll.ciqfunctions.udf.CIQ(mh_ticker, "IQ_LT_Mark_Securities", , B1170), "")</f>
        <v/>
      </c>
      <c r="L1170" s="12">
        <f>IFERROR(C1170*D1170, "")</f>
        <v/>
      </c>
      <c r="M1170" s="12">
        <f>IFERROR(L1170-E1170-F1170+G1170+H1170+I1170-J1170-K1170, "")</f>
        <v/>
      </c>
      <c r="N1170" s="11">
        <f>IFERROR(_xll.ciqfunctions.udf.CIQ(mh_ticker, "IQ_EBITDA_EST", IQ_NTM, B1170, , , "USD"), "")</f>
        <v/>
      </c>
      <c r="O1170" s="13">
        <f>IFERROR(M1170/N1170, "")</f>
        <v/>
      </c>
    </row>
    <row r="1171">
      <c r="B1171" s="8" t="n"/>
      <c r="C1171" s="9">
        <f>IFERROR(_xll.ciqfunctions.udf.CIQ(mh_ticker, "IQ_LASTSALEPRICE", B1171), "")</f>
        <v/>
      </c>
      <c r="D1171" s="10">
        <f>IFERROR(_xll.ciqfunctions.udf.CIQ(mh_ticker, "IQ_SHARESOUTSTANDING_OUT", B1171), "")</f>
        <v/>
      </c>
      <c r="E1171" s="11">
        <f>IFERROR(_xll.ciqfunctions.udf.CIQ(mh_ticker, "IQ_CASH_EQUIV", , B1171), "")</f>
        <v/>
      </c>
      <c r="F1171" s="11">
        <f>IFERROR(_xll.ciqfunctions.udf.CIQ(mh_ticker, "IQ_ST_INVEST", , B1171), "")</f>
        <v/>
      </c>
      <c r="G1171" s="11">
        <f>IFERROR(_xll.ciqfunctions.udf.CIQ(mh_ticker, "IQ_TOTAL_DEBT_EXCL_OPER_LEASES", , B1171), "")</f>
        <v/>
      </c>
      <c r="H1171" s="11">
        <f>IFERROR(_xll.ciqfunctions.udf.CIQ(mh_ticker, "IQ_PREF_EQUITY", , B1171), "")</f>
        <v/>
      </c>
      <c r="I1171" s="11">
        <f>IFERROR(_xll.ciqfunctions.udf.CIQ(mh_ticker, "IQ_MINORITY_INTEREST", , B1171), "")</f>
        <v/>
      </c>
      <c r="J1171" s="11">
        <f>IFERROR(_xll.ciqfunctions.udf.CIQ(mh_ticker, "IQ_EQUITY_METHOD", , B1171), "")</f>
        <v/>
      </c>
      <c r="K1171" s="11">
        <f>IFERROR(_xll.ciqfunctions.udf.CIQ(mh_ticker, "IQ_LT_Mark_Securities", , B1171), "")</f>
        <v/>
      </c>
      <c r="L1171" s="12">
        <f>IFERROR(C1171*D1171, "")</f>
        <v/>
      </c>
      <c r="M1171" s="12">
        <f>IFERROR(L1171-E1171-F1171+G1171+H1171+I1171-J1171-K1171, "")</f>
        <v/>
      </c>
      <c r="N1171" s="11">
        <f>IFERROR(_xll.ciqfunctions.udf.CIQ(mh_ticker, "IQ_EBITDA_EST", IQ_NTM, B1171, , , "USD"), "")</f>
        <v/>
      </c>
      <c r="O1171" s="13">
        <f>IFERROR(M1171/N1171, "")</f>
        <v/>
      </c>
    </row>
    <row r="1172">
      <c r="B1172" s="8" t="n"/>
      <c r="C1172" s="9">
        <f>IFERROR(_xll.ciqfunctions.udf.CIQ(mh_ticker, "IQ_LASTSALEPRICE", B1172), "")</f>
        <v/>
      </c>
      <c r="D1172" s="10">
        <f>IFERROR(_xll.ciqfunctions.udf.CIQ(mh_ticker, "IQ_SHARESOUTSTANDING_OUT", B1172), "")</f>
        <v/>
      </c>
      <c r="E1172" s="11">
        <f>IFERROR(_xll.ciqfunctions.udf.CIQ(mh_ticker, "IQ_CASH_EQUIV", , B1172), "")</f>
        <v/>
      </c>
      <c r="F1172" s="11">
        <f>IFERROR(_xll.ciqfunctions.udf.CIQ(mh_ticker, "IQ_ST_INVEST", , B1172), "")</f>
        <v/>
      </c>
      <c r="G1172" s="11">
        <f>IFERROR(_xll.ciqfunctions.udf.CIQ(mh_ticker, "IQ_TOTAL_DEBT_EXCL_OPER_LEASES", , B1172), "")</f>
        <v/>
      </c>
      <c r="H1172" s="11">
        <f>IFERROR(_xll.ciqfunctions.udf.CIQ(mh_ticker, "IQ_PREF_EQUITY", , B1172), "")</f>
        <v/>
      </c>
      <c r="I1172" s="11">
        <f>IFERROR(_xll.ciqfunctions.udf.CIQ(mh_ticker, "IQ_MINORITY_INTEREST", , B1172), "")</f>
        <v/>
      </c>
      <c r="J1172" s="11">
        <f>IFERROR(_xll.ciqfunctions.udf.CIQ(mh_ticker, "IQ_EQUITY_METHOD", , B1172), "")</f>
        <v/>
      </c>
      <c r="K1172" s="11">
        <f>IFERROR(_xll.ciqfunctions.udf.CIQ(mh_ticker, "IQ_LT_Mark_Securities", , B1172), "")</f>
        <v/>
      </c>
      <c r="L1172" s="12">
        <f>IFERROR(C1172*D1172, "")</f>
        <v/>
      </c>
      <c r="M1172" s="12">
        <f>IFERROR(L1172-E1172-F1172+G1172+H1172+I1172-J1172-K1172, "")</f>
        <v/>
      </c>
      <c r="N1172" s="11">
        <f>IFERROR(_xll.ciqfunctions.udf.CIQ(mh_ticker, "IQ_EBITDA_EST", IQ_NTM, B1172, , , "USD"), "")</f>
        <v/>
      </c>
      <c r="O1172" s="13">
        <f>IFERROR(M1172/N1172, "")</f>
        <v/>
      </c>
    </row>
    <row r="1173">
      <c r="B1173" s="8" t="n"/>
      <c r="C1173" s="9">
        <f>IFERROR(_xll.ciqfunctions.udf.CIQ(mh_ticker, "IQ_LASTSALEPRICE", B1173), "")</f>
        <v/>
      </c>
      <c r="D1173" s="10">
        <f>IFERROR(_xll.ciqfunctions.udf.CIQ(mh_ticker, "IQ_SHARESOUTSTANDING_OUT", B1173), "")</f>
        <v/>
      </c>
      <c r="E1173" s="11">
        <f>IFERROR(_xll.ciqfunctions.udf.CIQ(mh_ticker, "IQ_CASH_EQUIV", , B1173), "")</f>
        <v/>
      </c>
      <c r="F1173" s="11">
        <f>IFERROR(_xll.ciqfunctions.udf.CIQ(mh_ticker, "IQ_ST_INVEST", , B1173), "")</f>
        <v/>
      </c>
      <c r="G1173" s="11">
        <f>IFERROR(_xll.ciqfunctions.udf.CIQ(mh_ticker, "IQ_TOTAL_DEBT_EXCL_OPER_LEASES", , B1173), "")</f>
        <v/>
      </c>
      <c r="H1173" s="11">
        <f>IFERROR(_xll.ciqfunctions.udf.CIQ(mh_ticker, "IQ_PREF_EQUITY", , B1173), "")</f>
        <v/>
      </c>
      <c r="I1173" s="11">
        <f>IFERROR(_xll.ciqfunctions.udf.CIQ(mh_ticker, "IQ_MINORITY_INTEREST", , B1173), "")</f>
        <v/>
      </c>
      <c r="J1173" s="11">
        <f>IFERROR(_xll.ciqfunctions.udf.CIQ(mh_ticker, "IQ_EQUITY_METHOD", , B1173), "")</f>
        <v/>
      </c>
      <c r="K1173" s="11">
        <f>IFERROR(_xll.ciqfunctions.udf.CIQ(mh_ticker, "IQ_LT_Mark_Securities", , B1173), "")</f>
        <v/>
      </c>
      <c r="L1173" s="12">
        <f>IFERROR(C1173*D1173, "")</f>
        <v/>
      </c>
      <c r="M1173" s="12">
        <f>IFERROR(L1173-E1173-F1173+G1173+H1173+I1173-J1173-K1173, "")</f>
        <v/>
      </c>
      <c r="N1173" s="11">
        <f>IFERROR(_xll.ciqfunctions.udf.CIQ(mh_ticker, "IQ_EBITDA_EST", IQ_NTM, B1173, , , "USD"), "")</f>
        <v/>
      </c>
      <c r="O1173" s="13">
        <f>IFERROR(M1173/N1173, "")</f>
        <v/>
      </c>
    </row>
    <row r="1174">
      <c r="B1174" s="8" t="n"/>
      <c r="C1174" s="9">
        <f>IFERROR(_xll.ciqfunctions.udf.CIQ(mh_ticker, "IQ_LASTSALEPRICE", B1174), "")</f>
        <v/>
      </c>
      <c r="D1174" s="10">
        <f>IFERROR(_xll.ciqfunctions.udf.CIQ(mh_ticker, "IQ_SHARESOUTSTANDING_OUT", B1174), "")</f>
        <v/>
      </c>
      <c r="E1174" s="11">
        <f>IFERROR(_xll.ciqfunctions.udf.CIQ(mh_ticker, "IQ_CASH_EQUIV", , B1174), "")</f>
        <v/>
      </c>
      <c r="F1174" s="11">
        <f>IFERROR(_xll.ciqfunctions.udf.CIQ(mh_ticker, "IQ_ST_INVEST", , B1174), "")</f>
        <v/>
      </c>
      <c r="G1174" s="11">
        <f>IFERROR(_xll.ciqfunctions.udf.CIQ(mh_ticker, "IQ_TOTAL_DEBT_EXCL_OPER_LEASES", , B1174), "")</f>
        <v/>
      </c>
      <c r="H1174" s="11">
        <f>IFERROR(_xll.ciqfunctions.udf.CIQ(mh_ticker, "IQ_PREF_EQUITY", , B1174), "")</f>
        <v/>
      </c>
      <c r="I1174" s="11">
        <f>IFERROR(_xll.ciqfunctions.udf.CIQ(mh_ticker, "IQ_MINORITY_INTEREST", , B1174), "")</f>
        <v/>
      </c>
      <c r="J1174" s="11">
        <f>IFERROR(_xll.ciqfunctions.udf.CIQ(mh_ticker, "IQ_EQUITY_METHOD", , B1174), "")</f>
        <v/>
      </c>
      <c r="K1174" s="11">
        <f>IFERROR(_xll.ciqfunctions.udf.CIQ(mh_ticker, "IQ_LT_Mark_Securities", , B1174), "")</f>
        <v/>
      </c>
      <c r="L1174" s="12">
        <f>IFERROR(C1174*D1174, "")</f>
        <v/>
      </c>
      <c r="M1174" s="12">
        <f>IFERROR(L1174-E1174-F1174+G1174+H1174+I1174-J1174-K1174, "")</f>
        <v/>
      </c>
      <c r="N1174" s="11">
        <f>IFERROR(_xll.ciqfunctions.udf.CIQ(mh_ticker, "IQ_EBITDA_EST", IQ_NTM, B1174, , , "USD"), "")</f>
        <v/>
      </c>
      <c r="O1174" s="13">
        <f>IFERROR(M1174/N1174, "")</f>
        <v/>
      </c>
    </row>
    <row r="1175">
      <c r="B1175" s="8" t="n"/>
      <c r="C1175" s="9">
        <f>IFERROR(_xll.ciqfunctions.udf.CIQ(mh_ticker, "IQ_LASTSALEPRICE", B1175), "")</f>
        <v/>
      </c>
      <c r="D1175" s="10">
        <f>IFERROR(_xll.ciqfunctions.udf.CIQ(mh_ticker, "IQ_SHARESOUTSTANDING_OUT", B1175), "")</f>
        <v/>
      </c>
      <c r="E1175" s="11">
        <f>IFERROR(_xll.ciqfunctions.udf.CIQ(mh_ticker, "IQ_CASH_EQUIV", , B1175), "")</f>
        <v/>
      </c>
      <c r="F1175" s="11">
        <f>IFERROR(_xll.ciqfunctions.udf.CIQ(mh_ticker, "IQ_ST_INVEST", , B1175), "")</f>
        <v/>
      </c>
      <c r="G1175" s="11">
        <f>IFERROR(_xll.ciqfunctions.udf.CIQ(mh_ticker, "IQ_TOTAL_DEBT_EXCL_OPER_LEASES", , B1175), "")</f>
        <v/>
      </c>
      <c r="H1175" s="11">
        <f>IFERROR(_xll.ciqfunctions.udf.CIQ(mh_ticker, "IQ_PREF_EQUITY", , B1175), "")</f>
        <v/>
      </c>
      <c r="I1175" s="11">
        <f>IFERROR(_xll.ciqfunctions.udf.CIQ(mh_ticker, "IQ_MINORITY_INTEREST", , B1175), "")</f>
        <v/>
      </c>
      <c r="J1175" s="11">
        <f>IFERROR(_xll.ciqfunctions.udf.CIQ(mh_ticker, "IQ_EQUITY_METHOD", , B1175), "")</f>
        <v/>
      </c>
      <c r="K1175" s="11">
        <f>IFERROR(_xll.ciqfunctions.udf.CIQ(mh_ticker, "IQ_LT_Mark_Securities", , B1175), "")</f>
        <v/>
      </c>
      <c r="L1175" s="12">
        <f>IFERROR(C1175*D1175, "")</f>
        <v/>
      </c>
      <c r="M1175" s="12">
        <f>IFERROR(L1175-E1175-F1175+G1175+H1175+I1175-J1175-K1175, "")</f>
        <v/>
      </c>
      <c r="N1175" s="11">
        <f>IFERROR(_xll.ciqfunctions.udf.CIQ(mh_ticker, "IQ_EBITDA_EST", IQ_NTM, B1175, , , "USD"), "")</f>
        <v/>
      </c>
      <c r="O1175" s="13">
        <f>IFERROR(M1175/N1175, "")</f>
        <v/>
      </c>
    </row>
    <row r="1176">
      <c r="B1176" s="8" t="n"/>
      <c r="C1176" s="9">
        <f>IFERROR(_xll.ciqfunctions.udf.CIQ(mh_ticker, "IQ_LASTSALEPRICE", B1176), "")</f>
        <v/>
      </c>
      <c r="D1176" s="10">
        <f>IFERROR(_xll.ciqfunctions.udf.CIQ(mh_ticker, "IQ_SHARESOUTSTANDING_OUT", B1176), "")</f>
        <v/>
      </c>
      <c r="E1176" s="11">
        <f>IFERROR(_xll.ciqfunctions.udf.CIQ(mh_ticker, "IQ_CASH_EQUIV", , B1176), "")</f>
        <v/>
      </c>
      <c r="F1176" s="11">
        <f>IFERROR(_xll.ciqfunctions.udf.CIQ(mh_ticker, "IQ_ST_INVEST", , B1176), "")</f>
        <v/>
      </c>
      <c r="G1176" s="11">
        <f>IFERROR(_xll.ciqfunctions.udf.CIQ(mh_ticker, "IQ_TOTAL_DEBT_EXCL_OPER_LEASES", , B1176), "")</f>
        <v/>
      </c>
      <c r="H1176" s="11">
        <f>IFERROR(_xll.ciqfunctions.udf.CIQ(mh_ticker, "IQ_PREF_EQUITY", , B1176), "")</f>
        <v/>
      </c>
      <c r="I1176" s="11">
        <f>IFERROR(_xll.ciqfunctions.udf.CIQ(mh_ticker, "IQ_MINORITY_INTEREST", , B1176), "")</f>
        <v/>
      </c>
      <c r="J1176" s="11">
        <f>IFERROR(_xll.ciqfunctions.udf.CIQ(mh_ticker, "IQ_EQUITY_METHOD", , B1176), "")</f>
        <v/>
      </c>
      <c r="K1176" s="11">
        <f>IFERROR(_xll.ciqfunctions.udf.CIQ(mh_ticker, "IQ_LT_Mark_Securities", , B1176), "")</f>
        <v/>
      </c>
      <c r="L1176" s="12">
        <f>IFERROR(C1176*D1176, "")</f>
        <v/>
      </c>
      <c r="M1176" s="12">
        <f>IFERROR(L1176-E1176-F1176+G1176+H1176+I1176-J1176-K1176, "")</f>
        <v/>
      </c>
      <c r="N1176" s="11">
        <f>IFERROR(_xll.ciqfunctions.udf.CIQ(mh_ticker, "IQ_EBITDA_EST", IQ_NTM, B1176, , , "USD"), "")</f>
        <v/>
      </c>
      <c r="O1176" s="13">
        <f>IFERROR(M1176/N1176, "")</f>
        <v/>
      </c>
    </row>
    <row r="1177">
      <c r="B1177" s="8" t="n"/>
      <c r="C1177" s="9">
        <f>IFERROR(_xll.ciqfunctions.udf.CIQ(mh_ticker, "IQ_LASTSALEPRICE", B1177), "")</f>
        <v/>
      </c>
      <c r="D1177" s="10">
        <f>IFERROR(_xll.ciqfunctions.udf.CIQ(mh_ticker, "IQ_SHARESOUTSTANDING_OUT", B1177), "")</f>
        <v/>
      </c>
      <c r="E1177" s="11">
        <f>IFERROR(_xll.ciqfunctions.udf.CIQ(mh_ticker, "IQ_CASH_EQUIV", , B1177), "")</f>
        <v/>
      </c>
      <c r="F1177" s="11">
        <f>IFERROR(_xll.ciqfunctions.udf.CIQ(mh_ticker, "IQ_ST_INVEST", , B1177), "")</f>
        <v/>
      </c>
      <c r="G1177" s="11">
        <f>IFERROR(_xll.ciqfunctions.udf.CIQ(mh_ticker, "IQ_TOTAL_DEBT_EXCL_OPER_LEASES", , B1177), "")</f>
        <v/>
      </c>
      <c r="H1177" s="11">
        <f>IFERROR(_xll.ciqfunctions.udf.CIQ(mh_ticker, "IQ_PREF_EQUITY", , B1177), "")</f>
        <v/>
      </c>
      <c r="I1177" s="11">
        <f>IFERROR(_xll.ciqfunctions.udf.CIQ(mh_ticker, "IQ_MINORITY_INTEREST", , B1177), "")</f>
        <v/>
      </c>
      <c r="J1177" s="11">
        <f>IFERROR(_xll.ciqfunctions.udf.CIQ(mh_ticker, "IQ_EQUITY_METHOD", , B1177), "")</f>
        <v/>
      </c>
      <c r="K1177" s="11">
        <f>IFERROR(_xll.ciqfunctions.udf.CIQ(mh_ticker, "IQ_LT_Mark_Securities", , B1177), "")</f>
        <v/>
      </c>
      <c r="L1177" s="12">
        <f>IFERROR(C1177*D1177, "")</f>
        <v/>
      </c>
      <c r="M1177" s="12">
        <f>IFERROR(L1177-E1177-F1177+G1177+H1177+I1177-J1177-K1177, "")</f>
        <v/>
      </c>
      <c r="N1177" s="11">
        <f>IFERROR(_xll.ciqfunctions.udf.CIQ(mh_ticker, "IQ_EBITDA_EST", IQ_NTM, B1177, , , "USD"), "")</f>
        <v/>
      </c>
      <c r="O1177" s="13">
        <f>IFERROR(M1177/N1177, "")</f>
        <v/>
      </c>
    </row>
    <row r="1178">
      <c r="B1178" s="8" t="n"/>
      <c r="C1178" s="9">
        <f>IFERROR(_xll.ciqfunctions.udf.CIQ(mh_ticker, "IQ_LASTSALEPRICE", B1178), "")</f>
        <v/>
      </c>
      <c r="D1178" s="10">
        <f>IFERROR(_xll.ciqfunctions.udf.CIQ(mh_ticker, "IQ_SHARESOUTSTANDING_OUT", B1178), "")</f>
        <v/>
      </c>
      <c r="E1178" s="11">
        <f>IFERROR(_xll.ciqfunctions.udf.CIQ(mh_ticker, "IQ_CASH_EQUIV", , B1178), "")</f>
        <v/>
      </c>
      <c r="F1178" s="11">
        <f>IFERROR(_xll.ciqfunctions.udf.CIQ(mh_ticker, "IQ_ST_INVEST", , B1178), "")</f>
        <v/>
      </c>
      <c r="G1178" s="11">
        <f>IFERROR(_xll.ciqfunctions.udf.CIQ(mh_ticker, "IQ_TOTAL_DEBT_EXCL_OPER_LEASES", , B1178), "")</f>
        <v/>
      </c>
      <c r="H1178" s="11">
        <f>IFERROR(_xll.ciqfunctions.udf.CIQ(mh_ticker, "IQ_PREF_EQUITY", , B1178), "")</f>
        <v/>
      </c>
      <c r="I1178" s="11">
        <f>IFERROR(_xll.ciqfunctions.udf.CIQ(mh_ticker, "IQ_MINORITY_INTEREST", , B1178), "")</f>
        <v/>
      </c>
      <c r="J1178" s="11">
        <f>IFERROR(_xll.ciqfunctions.udf.CIQ(mh_ticker, "IQ_EQUITY_METHOD", , B1178), "")</f>
        <v/>
      </c>
      <c r="K1178" s="11">
        <f>IFERROR(_xll.ciqfunctions.udf.CIQ(mh_ticker, "IQ_LT_Mark_Securities", , B1178), "")</f>
        <v/>
      </c>
      <c r="L1178" s="12">
        <f>IFERROR(C1178*D1178, "")</f>
        <v/>
      </c>
      <c r="M1178" s="12">
        <f>IFERROR(L1178-E1178-F1178+G1178+H1178+I1178-J1178-K1178, "")</f>
        <v/>
      </c>
      <c r="N1178" s="11">
        <f>IFERROR(_xll.ciqfunctions.udf.CIQ(mh_ticker, "IQ_EBITDA_EST", IQ_NTM, B1178, , , "USD"), "")</f>
        <v/>
      </c>
      <c r="O1178" s="13">
        <f>IFERROR(M1178/N1178, "")</f>
        <v/>
      </c>
    </row>
    <row r="1179">
      <c r="B1179" s="8" t="n"/>
      <c r="C1179" s="9">
        <f>IFERROR(_xll.ciqfunctions.udf.CIQ(mh_ticker, "IQ_LASTSALEPRICE", B1179), "")</f>
        <v/>
      </c>
      <c r="D1179" s="10">
        <f>IFERROR(_xll.ciqfunctions.udf.CIQ(mh_ticker, "IQ_SHARESOUTSTANDING_OUT", B1179), "")</f>
        <v/>
      </c>
      <c r="E1179" s="11">
        <f>IFERROR(_xll.ciqfunctions.udf.CIQ(mh_ticker, "IQ_CASH_EQUIV", , B1179), "")</f>
        <v/>
      </c>
      <c r="F1179" s="11">
        <f>IFERROR(_xll.ciqfunctions.udf.CIQ(mh_ticker, "IQ_ST_INVEST", , B1179), "")</f>
        <v/>
      </c>
      <c r="G1179" s="11">
        <f>IFERROR(_xll.ciqfunctions.udf.CIQ(mh_ticker, "IQ_TOTAL_DEBT_EXCL_OPER_LEASES", , B1179), "")</f>
        <v/>
      </c>
      <c r="H1179" s="11">
        <f>IFERROR(_xll.ciqfunctions.udf.CIQ(mh_ticker, "IQ_PREF_EQUITY", , B1179), "")</f>
        <v/>
      </c>
      <c r="I1179" s="11">
        <f>IFERROR(_xll.ciqfunctions.udf.CIQ(mh_ticker, "IQ_MINORITY_INTEREST", , B1179), "")</f>
        <v/>
      </c>
      <c r="J1179" s="11">
        <f>IFERROR(_xll.ciqfunctions.udf.CIQ(mh_ticker, "IQ_EQUITY_METHOD", , B1179), "")</f>
        <v/>
      </c>
      <c r="K1179" s="11">
        <f>IFERROR(_xll.ciqfunctions.udf.CIQ(mh_ticker, "IQ_LT_Mark_Securities", , B1179), "")</f>
        <v/>
      </c>
      <c r="L1179" s="12">
        <f>IFERROR(C1179*D1179, "")</f>
        <v/>
      </c>
      <c r="M1179" s="12">
        <f>IFERROR(L1179-E1179-F1179+G1179+H1179+I1179-J1179-K1179, "")</f>
        <v/>
      </c>
      <c r="N1179" s="11">
        <f>IFERROR(_xll.ciqfunctions.udf.CIQ(mh_ticker, "IQ_EBITDA_EST", IQ_NTM, B1179, , , "USD"), "")</f>
        <v/>
      </c>
      <c r="O1179" s="13">
        <f>IFERROR(M1179/N1179, "")</f>
        <v/>
      </c>
    </row>
    <row r="1180">
      <c r="B1180" s="8" t="n"/>
      <c r="C1180" s="9">
        <f>IFERROR(_xll.ciqfunctions.udf.CIQ(mh_ticker, "IQ_LASTSALEPRICE", B1180), "")</f>
        <v/>
      </c>
      <c r="D1180" s="10">
        <f>IFERROR(_xll.ciqfunctions.udf.CIQ(mh_ticker, "IQ_SHARESOUTSTANDING_OUT", B1180), "")</f>
        <v/>
      </c>
      <c r="E1180" s="11">
        <f>IFERROR(_xll.ciqfunctions.udf.CIQ(mh_ticker, "IQ_CASH_EQUIV", , B1180), "")</f>
        <v/>
      </c>
      <c r="F1180" s="11">
        <f>IFERROR(_xll.ciqfunctions.udf.CIQ(mh_ticker, "IQ_ST_INVEST", , B1180), "")</f>
        <v/>
      </c>
      <c r="G1180" s="11">
        <f>IFERROR(_xll.ciqfunctions.udf.CIQ(mh_ticker, "IQ_TOTAL_DEBT_EXCL_OPER_LEASES", , B1180), "")</f>
        <v/>
      </c>
      <c r="H1180" s="11">
        <f>IFERROR(_xll.ciqfunctions.udf.CIQ(mh_ticker, "IQ_PREF_EQUITY", , B1180), "")</f>
        <v/>
      </c>
      <c r="I1180" s="11">
        <f>IFERROR(_xll.ciqfunctions.udf.CIQ(mh_ticker, "IQ_MINORITY_INTEREST", , B1180), "")</f>
        <v/>
      </c>
      <c r="J1180" s="11">
        <f>IFERROR(_xll.ciqfunctions.udf.CIQ(mh_ticker, "IQ_EQUITY_METHOD", , B1180), "")</f>
        <v/>
      </c>
      <c r="K1180" s="11">
        <f>IFERROR(_xll.ciqfunctions.udf.CIQ(mh_ticker, "IQ_LT_Mark_Securities", , B1180), "")</f>
        <v/>
      </c>
      <c r="L1180" s="12">
        <f>IFERROR(C1180*D1180, "")</f>
        <v/>
      </c>
      <c r="M1180" s="12">
        <f>IFERROR(L1180-E1180-F1180+G1180+H1180+I1180-J1180-K1180, "")</f>
        <v/>
      </c>
      <c r="N1180" s="11">
        <f>IFERROR(_xll.ciqfunctions.udf.CIQ(mh_ticker, "IQ_EBITDA_EST", IQ_NTM, B1180, , , "USD"), "")</f>
        <v/>
      </c>
      <c r="O1180" s="13">
        <f>IFERROR(M1180/N1180, "")</f>
        <v/>
      </c>
    </row>
    <row r="1181">
      <c r="B1181" s="8" t="n"/>
      <c r="C1181" s="9">
        <f>IFERROR(_xll.ciqfunctions.udf.CIQ(mh_ticker, "IQ_LASTSALEPRICE", B1181), "")</f>
        <v/>
      </c>
      <c r="D1181" s="10">
        <f>IFERROR(_xll.ciqfunctions.udf.CIQ(mh_ticker, "IQ_SHARESOUTSTANDING_OUT", B1181), "")</f>
        <v/>
      </c>
      <c r="E1181" s="11">
        <f>IFERROR(_xll.ciqfunctions.udf.CIQ(mh_ticker, "IQ_CASH_EQUIV", , B1181), "")</f>
        <v/>
      </c>
      <c r="F1181" s="11">
        <f>IFERROR(_xll.ciqfunctions.udf.CIQ(mh_ticker, "IQ_ST_INVEST", , B1181), "")</f>
        <v/>
      </c>
      <c r="G1181" s="11">
        <f>IFERROR(_xll.ciqfunctions.udf.CIQ(mh_ticker, "IQ_TOTAL_DEBT_EXCL_OPER_LEASES", , B1181), "")</f>
        <v/>
      </c>
      <c r="H1181" s="11">
        <f>IFERROR(_xll.ciqfunctions.udf.CIQ(mh_ticker, "IQ_PREF_EQUITY", , B1181), "")</f>
        <v/>
      </c>
      <c r="I1181" s="11">
        <f>IFERROR(_xll.ciqfunctions.udf.CIQ(mh_ticker, "IQ_MINORITY_INTEREST", , B1181), "")</f>
        <v/>
      </c>
      <c r="J1181" s="11">
        <f>IFERROR(_xll.ciqfunctions.udf.CIQ(mh_ticker, "IQ_EQUITY_METHOD", , B1181), "")</f>
        <v/>
      </c>
      <c r="K1181" s="11">
        <f>IFERROR(_xll.ciqfunctions.udf.CIQ(mh_ticker, "IQ_LT_Mark_Securities", , B1181), "")</f>
        <v/>
      </c>
      <c r="L1181" s="12">
        <f>IFERROR(C1181*D1181, "")</f>
        <v/>
      </c>
      <c r="M1181" s="12">
        <f>IFERROR(L1181-E1181-F1181+G1181+H1181+I1181-J1181-K1181, "")</f>
        <v/>
      </c>
      <c r="N1181" s="11">
        <f>IFERROR(_xll.ciqfunctions.udf.CIQ(mh_ticker, "IQ_EBITDA_EST", IQ_NTM, B1181, , , "USD"), "")</f>
        <v/>
      </c>
      <c r="O1181" s="13">
        <f>IFERROR(M1181/N1181, "")</f>
        <v/>
      </c>
    </row>
    <row r="1182">
      <c r="B1182" s="8" t="n"/>
      <c r="C1182" s="9">
        <f>IFERROR(_xll.ciqfunctions.udf.CIQ(mh_ticker, "IQ_LASTSALEPRICE", B1182), "")</f>
        <v/>
      </c>
      <c r="D1182" s="10">
        <f>IFERROR(_xll.ciqfunctions.udf.CIQ(mh_ticker, "IQ_SHARESOUTSTANDING_OUT", B1182), "")</f>
        <v/>
      </c>
      <c r="E1182" s="11">
        <f>IFERROR(_xll.ciqfunctions.udf.CIQ(mh_ticker, "IQ_CASH_EQUIV", , B1182), "")</f>
        <v/>
      </c>
      <c r="F1182" s="11">
        <f>IFERROR(_xll.ciqfunctions.udf.CIQ(mh_ticker, "IQ_ST_INVEST", , B1182), "")</f>
        <v/>
      </c>
      <c r="G1182" s="11">
        <f>IFERROR(_xll.ciqfunctions.udf.CIQ(mh_ticker, "IQ_TOTAL_DEBT_EXCL_OPER_LEASES", , B1182), "")</f>
        <v/>
      </c>
      <c r="H1182" s="11">
        <f>IFERROR(_xll.ciqfunctions.udf.CIQ(mh_ticker, "IQ_PREF_EQUITY", , B1182), "")</f>
        <v/>
      </c>
      <c r="I1182" s="11">
        <f>IFERROR(_xll.ciqfunctions.udf.CIQ(mh_ticker, "IQ_MINORITY_INTEREST", , B1182), "")</f>
        <v/>
      </c>
      <c r="J1182" s="11">
        <f>IFERROR(_xll.ciqfunctions.udf.CIQ(mh_ticker, "IQ_EQUITY_METHOD", , B1182), "")</f>
        <v/>
      </c>
      <c r="K1182" s="11">
        <f>IFERROR(_xll.ciqfunctions.udf.CIQ(mh_ticker, "IQ_LT_Mark_Securities", , B1182), "")</f>
        <v/>
      </c>
      <c r="L1182" s="12">
        <f>IFERROR(C1182*D1182, "")</f>
        <v/>
      </c>
      <c r="M1182" s="12">
        <f>IFERROR(L1182-E1182-F1182+G1182+H1182+I1182-J1182-K1182, "")</f>
        <v/>
      </c>
      <c r="N1182" s="11">
        <f>IFERROR(_xll.ciqfunctions.udf.CIQ(mh_ticker, "IQ_EBITDA_EST", IQ_NTM, B1182, , , "USD"), "")</f>
        <v/>
      </c>
      <c r="O1182" s="13">
        <f>IFERROR(M1182/N1182, "")</f>
        <v/>
      </c>
    </row>
    <row r="1183">
      <c r="B1183" s="8" t="n"/>
      <c r="C1183" s="9">
        <f>IFERROR(_xll.ciqfunctions.udf.CIQ(mh_ticker, "IQ_LASTSALEPRICE", B1183), "")</f>
        <v/>
      </c>
      <c r="D1183" s="10">
        <f>IFERROR(_xll.ciqfunctions.udf.CIQ(mh_ticker, "IQ_SHARESOUTSTANDING_OUT", B1183), "")</f>
        <v/>
      </c>
      <c r="E1183" s="11">
        <f>IFERROR(_xll.ciqfunctions.udf.CIQ(mh_ticker, "IQ_CASH_EQUIV", , B1183), "")</f>
        <v/>
      </c>
      <c r="F1183" s="11">
        <f>IFERROR(_xll.ciqfunctions.udf.CIQ(mh_ticker, "IQ_ST_INVEST", , B1183), "")</f>
        <v/>
      </c>
      <c r="G1183" s="11">
        <f>IFERROR(_xll.ciqfunctions.udf.CIQ(mh_ticker, "IQ_TOTAL_DEBT_EXCL_OPER_LEASES", , B1183), "")</f>
        <v/>
      </c>
      <c r="H1183" s="11">
        <f>IFERROR(_xll.ciqfunctions.udf.CIQ(mh_ticker, "IQ_PREF_EQUITY", , B1183), "")</f>
        <v/>
      </c>
      <c r="I1183" s="11">
        <f>IFERROR(_xll.ciqfunctions.udf.CIQ(mh_ticker, "IQ_MINORITY_INTEREST", , B1183), "")</f>
        <v/>
      </c>
      <c r="J1183" s="11">
        <f>IFERROR(_xll.ciqfunctions.udf.CIQ(mh_ticker, "IQ_EQUITY_METHOD", , B1183), "")</f>
        <v/>
      </c>
      <c r="K1183" s="11">
        <f>IFERROR(_xll.ciqfunctions.udf.CIQ(mh_ticker, "IQ_LT_Mark_Securities", , B1183), "")</f>
        <v/>
      </c>
      <c r="L1183" s="12">
        <f>IFERROR(C1183*D1183, "")</f>
        <v/>
      </c>
      <c r="M1183" s="12">
        <f>IFERROR(L1183-E1183-F1183+G1183+H1183+I1183-J1183-K1183, "")</f>
        <v/>
      </c>
      <c r="N1183" s="11">
        <f>IFERROR(_xll.ciqfunctions.udf.CIQ(mh_ticker, "IQ_EBITDA_EST", IQ_NTM, B1183, , , "USD"), "")</f>
        <v/>
      </c>
      <c r="O1183" s="13">
        <f>IFERROR(M1183/N1183, "")</f>
        <v/>
      </c>
    </row>
    <row r="1184">
      <c r="B1184" s="8" t="n"/>
      <c r="C1184" s="9">
        <f>IFERROR(_xll.ciqfunctions.udf.CIQ(mh_ticker, "IQ_LASTSALEPRICE", B1184), "")</f>
        <v/>
      </c>
      <c r="D1184" s="10">
        <f>IFERROR(_xll.ciqfunctions.udf.CIQ(mh_ticker, "IQ_SHARESOUTSTANDING_OUT", B1184), "")</f>
        <v/>
      </c>
      <c r="E1184" s="11">
        <f>IFERROR(_xll.ciqfunctions.udf.CIQ(mh_ticker, "IQ_CASH_EQUIV", , B1184), "")</f>
        <v/>
      </c>
      <c r="F1184" s="11">
        <f>IFERROR(_xll.ciqfunctions.udf.CIQ(mh_ticker, "IQ_ST_INVEST", , B1184), "")</f>
        <v/>
      </c>
      <c r="G1184" s="11">
        <f>IFERROR(_xll.ciqfunctions.udf.CIQ(mh_ticker, "IQ_TOTAL_DEBT_EXCL_OPER_LEASES", , B1184), "")</f>
        <v/>
      </c>
      <c r="H1184" s="11">
        <f>IFERROR(_xll.ciqfunctions.udf.CIQ(mh_ticker, "IQ_PREF_EQUITY", , B1184), "")</f>
        <v/>
      </c>
      <c r="I1184" s="11">
        <f>IFERROR(_xll.ciqfunctions.udf.CIQ(mh_ticker, "IQ_MINORITY_INTEREST", , B1184), "")</f>
        <v/>
      </c>
      <c r="J1184" s="11">
        <f>IFERROR(_xll.ciqfunctions.udf.CIQ(mh_ticker, "IQ_EQUITY_METHOD", , B1184), "")</f>
        <v/>
      </c>
      <c r="K1184" s="11">
        <f>IFERROR(_xll.ciqfunctions.udf.CIQ(mh_ticker, "IQ_LT_Mark_Securities", , B1184), "")</f>
        <v/>
      </c>
      <c r="L1184" s="12">
        <f>IFERROR(C1184*D1184, "")</f>
        <v/>
      </c>
      <c r="M1184" s="12">
        <f>IFERROR(L1184-E1184-F1184+G1184+H1184+I1184-J1184-K1184, "")</f>
        <v/>
      </c>
      <c r="N1184" s="11">
        <f>IFERROR(_xll.ciqfunctions.udf.CIQ(mh_ticker, "IQ_EBITDA_EST", IQ_NTM, B1184, , , "USD"), "")</f>
        <v/>
      </c>
      <c r="O1184" s="13">
        <f>IFERROR(M1184/N1184, "")</f>
        <v/>
      </c>
    </row>
    <row r="1185">
      <c r="B1185" s="8" t="n"/>
      <c r="C1185" s="9">
        <f>IFERROR(_xll.ciqfunctions.udf.CIQ(mh_ticker, "IQ_LASTSALEPRICE", B1185), "")</f>
        <v/>
      </c>
      <c r="D1185" s="10">
        <f>IFERROR(_xll.ciqfunctions.udf.CIQ(mh_ticker, "IQ_SHARESOUTSTANDING_OUT", B1185), "")</f>
        <v/>
      </c>
      <c r="E1185" s="11">
        <f>IFERROR(_xll.ciqfunctions.udf.CIQ(mh_ticker, "IQ_CASH_EQUIV", , B1185), "")</f>
        <v/>
      </c>
      <c r="F1185" s="11">
        <f>IFERROR(_xll.ciqfunctions.udf.CIQ(mh_ticker, "IQ_ST_INVEST", , B1185), "")</f>
        <v/>
      </c>
      <c r="G1185" s="11">
        <f>IFERROR(_xll.ciqfunctions.udf.CIQ(mh_ticker, "IQ_TOTAL_DEBT_EXCL_OPER_LEASES", , B1185), "")</f>
        <v/>
      </c>
      <c r="H1185" s="11">
        <f>IFERROR(_xll.ciqfunctions.udf.CIQ(mh_ticker, "IQ_PREF_EQUITY", , B1185), "")</f>
        <v/>
      </c>
      <c r="I1185" s="11">
        <f>IFERROR(_xll.ciqfunctions.udf.CIQ(mh_ticker, "IQ_MINORITY_INTEREST", , B1185), "")</f>
        <v/>
      </c>
      <c r="J1185" s="11">
        <f>IFERROR(_xll.ciqfunctions.udf.CIQ(mh_ticker, "IQ_EQUITY_METHOD", , B1185), "")</f>
        <v/>
      </c>
      <c r="K1185" s="11">
        <f>IFERROR(_xll.ciqfunctions.udf.CIQ(mh_ticker, "IQ_LT_Mark_Securities", , B1185), "")</f>
        <v/>
      </c>
      <c r="L1185" s="12">
        <f>IFERROR(C1185*D1185, "")</f>
        <v/>
      </c>
      <c r="M1185" s="12">
        <f>IFERROR(L1185-E1185-F1185+G1185+H1185+I1185-J1185-K1185, "")</f>
        <v/>
      </c>
      <c r="N1185" s="11">
        <f>IFERROR(_xll.ciqfunctions.udf.CIQ(mh_ticker, "IQ_EBITDA_EST", IQ_NTM, B1185, , , "USD"), "")</f>
        <v/>
      </c>
      <c r="O1185" s="13">
        <f>IFERROR(M1185/N1185, "")</f>
        <v/>
      </c>
    </row>
    <row r="1186">
      <c r="B1186" s="8" t="n"/>
      <c r="C1186" s="9">
        <f>IFERROR(_xll.ciqfunctions.udf.CIQ(mh_ticker, "IQ_LASTSALEPRICE", B1186), "")</f>
        <v/>
      </c>
      <c r="D1186" s="10">
        <f>IFERROR(_xll.ciqfunctions.udf.CIQ(mh_ticker, "IQ_SHARESOUTSTANDING_OUT", B1186), "")</f>
        <v/>
      </c>
      <c r="E1186" s="11">
        <f>IFERROR(_xll.ciqfunctions.udf.CIQ(mh_ticker, "IQ_CASH_EQUIV", , B1186), "")</f>
        <v/>
      </c>
      <c r="F1186" s="11">
        <f>IFERROR(_xll.ciqfunctions.udf.CIQ(mh_ticker, "IQ_ST_INVEST", , B1186), "")</f>
        <v/>
      </c>
      <c r="G1186" s="11">
        <f>IFERROR(_xll.ciqfunctions.udf.CIQ(mh_ticker, "IQ_TOTAL_DEBT_EXCL_OPER_LEASES", , B1186), "")</f>
        <v/>
      </c>
      <c r="H1186" s="11">
        <f>IFERROR(_xll.ciqfunctions.udf.CIQ(mh_ticker, "IQ_PREF_EQUITY", , B1186), "")</f>
        <v/>
      </c>
      <c r="I1186" s="11">
        <f>IFERROR(_xll.ciqfunctions.udf.CIQ(mh_ticker, "IQ_MINORITY_INTEREST", , B1186), "")</f>
        <v/>
      </c>
      <c r="J1186" s="11">
        <f>IFERROR(_xll.ciqfunctions.udf.CIQ(mh_ticker, "IQ_EQUITY_METHOD", , B1186), "")</f>
        <v/>
      </c>
      <c r="K1186" s="11">
        <f>IFERROR(_xll.ciqfunctions.udf.CIQ(mh_ticker, "IQ_LT_Mark_Securities", , B1186), "")</f>
        <v/>
      </c>
      <c r="L1186" s="12">
        <f>IFERROR(C1186*D1186, "")</f>
        <v/>
      </c>
      <c r="M1186" s="12">
        <f>IFERROR(L1186-E1186-F1186+G1186+H1186+I1186-J1186-K1186, "")</f>
        <v/>
      </c>
      <c r="N1186" s="11">
        <f>IFERROR(_xll.ciqfunctions.udf.CIQ(mh_ticker, "IQ_EBITDA_EST", IQ_NTM, B1186, , , "USD"), "")</f>
        <v/>
      </c>
      <c r="O1186" s="13">
        <f>IFERROR(M1186/N1186, "")</f>
        <v/>
      </c>
    </row>
    <row r="1187">
      <c r="B1187" s="8" t="n"/>
      <c r="C1187" s="9">
        <f>IFERROR(_xll.ciqfunctions.udf.CIQ(mh_ticker, "IQ_LASTSALEPRICE", B1187), "")</f>
        <v/>
      </c>
      <c r="D1187" s="10">
        <f>IFERROR(_xll.ciqfunctions.udf.CIQ(mh_ticker, "IQ_SHARESOUTSTANDING_OUT", B1187), "")</f>
        <v/>
      </c>
      <c r="E1187" s="11">
        <f>IFERROR(_xll.ciqfunctions.udf.CIQ(mh_ticker, "IQ_CASH_EQUIV", , B1187), "")</f>
        <v/>
      </c>
      <c r="F1187" s="11">
        <f>IFERROR(_xll.ciqfunctions.udf.CIQ(mh_ticker, "IQ_ST_INVEST", , B1187), "")</f>
        <v/>
      </c>
      <c r="G1187" s="11">
        <f>IFERROR(_xll.ciqfunctions.udf.CIQ(mh_ticker, "IQ_TOTAL_DEBT_EXCL_OPER_LEASES", , B1187), "")</f>
        <v/>
      </c>
      <c r="H1187" s="11">
        <f>IFERROR(_xll.ciqfunctions.udf.CIQ(mh_ticker, "IQ_PREF_EQUITY", , B1187), "")</f>
        <v/>
      </c>
      <c r="I1187" s="11">
        <f>IFERROR(_xll.ciqfunctions.udf.CIQ(mh_ticker, "IQ_MINORITY_INTEREST", , B1187), "")</f>
        <v/>
      </c>
      <c r="J1187" s="11">
        <f>IFERROR(_xll.ciqfunctions.udf.CIQ(mh_ticker, "IQ_EQUITY_METHOD", , B1187), "")</f>
        <v/>
      </c>
      <c r="K1187" s="11">
        <f>IFERROR(_xll.ciqfunctions.udf.CIQ(mh_ticker, "IQ_LT_Mark_Securities", , B1187), "")</f>
        <v/>
      </c>
      <c r="L1187" s="12">
        <f>IFERROR(C1187*D1187, "")</f>
        <v/>
      </c>
      <c r="M1187" s="12">
        <f>IFERROR(L1187-E1187-F1187+G1187+H1187+I1187-J1187-K1187, "")</f>
        <v/>
      </c>
      <c r="N1187" s="11">
        <f>IFERROR(_xll.ciqfunctions.udf.CIQ(mh_ticker, "IQ_EBITDA_EST", IQ_NTM, B1187, , , "USD"), "")</f>
        <v/>
      </c>
      <c r="O1187" s="13">
        <f>IFERROR(M1187/N1187, "")</f>
        <v/>
      </c>
    </row>
    <row r="1188">
      <c r="B1188" s="8" t="n"/>
      <c r="C1188" s="9">
        <f>IFERROR(_xll.ciqfunctions.udf.CIQ(mh_ticker, "IQ_LASTSALEPRICE", B1188), "")</f>
        <v/>
      </c>
      <c r="D1188" s="10">
        <f>IFERROR(_xll.ciqfunctions.udf.CIQ(mh_ticker, "IQ_SHARESOUTSTANDING_OUT", B1188), "")</f>
        <v/>
      </c>
      <c r="E1188" s="11">
        <f>IFERROR(_xll.ciqfunctions.udf.CIQ(mh_ticker, "IQ_CASH_EQUIV", , B1188), "")</f>
        <v/>
      </c>
      <c r="F1188" s="11">
        <f>IFERROR(_xll.ciqfunctions.udf.CIQ(mh_ticker, "IQ_ST_INVEST", , B1188), "")</f>
        <v/>
      </c>
      <c r="G1188" s="11">
        <f>IFERROR(_xll.ciqfunctions.udf.CIQ(mh_ticker, "IQ_TOTAL_DEBT_EXCL_OPER_LEASES", , B1188), "")</f>
        <v/>
      </c>
      <c r="H1188" s="11">
        <f>IFERROR(_xll.ciqfunctions.udf.CIQ(mh_ticker, "IQ_PREF_EQUITY", , B1188), "")</f>
        <v/>
      </c>
      <c r="I1188" s="11">
        <f>IFERROR(_xll.ciqfunctions.udf.CIQ(mh_ticker, "IQ_MINORITY_INTEREST", , B1188), "")</f>
        <v/>
      </c>
      <c r="J1188" s="11">
        <f>IFERROR(_xll.ciqfunctions.udf.CIQ(mh_ticker, "IQ_EQUITY_METHOD", , B1188), "")</f>
        <v/>
      </c>
      <c r="K1188" s="11">
        <f>IFERROR(_xll.ciqfunctions.udf.CIQ(mh_ticker, "IQ_LT_Mark_Securities", , B1188), "")</f>
        <v/>
      </c>
      <c r="L1188" s="12">
        <f>IFERROR(C1188*D1188, "")</f>
        <v/>
      </c>
      <c r="M1188" s="12">
        <f>IFERROR(L1188-E1188-F1188+G1188+H1188+I1188-J1188-K1188, "")</f>
        <v/>
      </c>
      <c r="N1188" s="11">
        <f>IFERROR(_xll.ciqfunctions.udf.CIQ(mh_ticker, "IQ_EBITDA_EST", IQ_NTM, B1188, , , "USD"), "")</f>
        <v/>
      </c>
      <c r="O1188" s="13">
        <f>IFERROR(M1188/N1188, "")</f>
        <v/>
      </c>
    </row>
    <row r="1189">
      <c r="B1189" s="8" t="n"/>
      <c r="C1189" s="9">
        <f>IFERROR(_xll.ciqfunctions.udf.CIQ(mh_ticker, "IQ_LASTSALEPRICE", B1189), "")</f>
        <v/>
      </c>
      <c r="D1189" s="10">
        <f>IFERROR(_xll.ciqfunctions.udf.CIQ(mh_ticker, "IQ_SHARESOUTSTANDING_OUT", B1189), "")</f>
        <v/>
      </c>
      <c r="E1189" s="11">
        <f>IFERROR(_xll.ciqfunctions.udf.CIQ(mh_ticker, "IQ_CASH_EQUIV", , B1189), "")</f>
        <v/>
      </c>
      <c r="F1189" s="11">
        <f>IFERROR(_xll.ciqfunctions.udf.CIQ(mh_ticker, "IQ_ST_INVEST", , B1189), "")</f>
        <v/>
      </c>
      <c r="G1189" s="11">
        <f>IFERROR(_xll.ciqfunctions.udf.CIQ(mh_ticker, "IQ_TOTAL_DEBT_EXCL_OPER_LEASES", , B1189), "")</f>
        <v/>
      </c>
      <c r="H1189" s="11">
        <f>IFERROR(_xll.ciqfunctions.udf.CIQ(mh_ticker, "IQ_PREF_EQUITY", , B1189), "")</f>
        <v/>
      </c>
      <c r="I1189" s="11">
        <f>IFERROR(_xll.ciqfunctions.udf.CIQ(mh_ticker, "IQ_MINORITY_INTEREST", , B1189), "")</f>
        <v/>
      </c>
      <c r="J1189" s="11">
        <f>IFERROR(_xll.ciqfunctions.udf.CIQ(mh_ticker, "IQ_EQUITY_METHOD", , B1189), "")</f>
        <v/>
      </c>
      <c r="K1189" s="11">
        <f>IFERROR(_xll.ciqfunctions.udf.CIQ(mh_ticker, "IQ_LT_Mark_Securities", , B1189), "")</f>
        <v/>
      </c>
      <c r="L1189" s="12">
        <f>IFERROR(C1189*D1189, "")</f>
        <v/>
      </c>
      <c r="M1189" s="12">
        <f>IFERROR(L1189-E1189-F1189+G1189+H1189+I1189-J1189-K1189, "")</f>
        <v/>
      </c>
      <c r="N1189" s="11">
        <f>IFERROR(_xll.ciqfunctions.udf.CIQ(mh_ticker, "IQ_EBITDA_EST", IQ_NTM, B1189, , , "USD"), "")</f>
        <v/>
      </c>
      <c r="O1189" s="13">
        <f>IFERROR(M1189/N1189, "")</f>
        <v/>
      </c>
    </row>
    <row r="1190">
      <c r="B1190" s="8" t="n"/>
      <c r="C1190" s="9">
        <f>IFERROR(_xll.ciqfunctions.udf.CIQ(mh_ticker, "IQ_LASTSALEPRICE", B1190), "")</f>
        <v/>
      </c>
      <c r="D1190" s="10">
        <f>IFERROR(_xll.ciqfunctions.udf.CIQ(mh_ticker, "IQ_SHARESOUTSTANDING_OUT", B1190), "")</f>
        <v/>
      </c>
      <c r="E1190" s="11">
        <f>IFERROR(_xll.ciqfunctions.udf.CIQ(mh_ticker, "IQ_CASH_EQUIV", , B1190), "")</f>
        <v/>
      </c>
      <c r="F1190" s="11">
        <f>IFERROR(_xll.ciqfunctions.udf.CIQ(mh_ticker, "IQ_ST_INVEST", , B1190), "")</f>
        <v/>
      </c>
      <c r="G1190" s="11">
        <f>IFERROR(_xll.ciqfunctions.udf.CIQ(mh_ticker, "IQ_TOTAL_DEBT_EXCL_OPER_LEASES", , B1190), "")</f>
        <v/>
      </c>
      <c r="H1190" s="11">
        <f>IFERROR(_xll.ciqfunctions.udf.CIQ(mh_ticker, "IQ_PREF_EQUITY", , B1190), "")</f>
        <v/>
      </c>
      <c r="I1190" s="11">
        <f>IFERROR(_xll.ciqfunctions.udf.CIQ(mh_ticker, "IQ_MINORITY_INTEREST", , B1190), "")</f>
        <v/>
      </c>
      <c r="J1190" s="11">
        <f>IFERROR(_xll.ciqfunctions.udf.CIQ(mh_ticker, "IQ_EQUITY_METHOD", , B1190), "")</f>
        <v/>
      </c>
      <c r="K1190" s="11">
        <f>IFERROR(_xll.ciqfunctions.udf.CIQ(mh_ticker, "IQ_LT_Mark_Securities", , B1190), "")</f>
        <v/>
      </c>
      <c r="L1190" s="12">
        <f>IFERROR(C1190*D1190, "")</f>
        <v/>
      </c>
      <c r="M1190" s="12">
        <f>IFERROR(L1190-E1190-F1190+G1190+H1190+I1190-J1190-K1190, "")</f>
        <v/>
      </c>
      <c r="N1190" s="11">
        <f>IFERROR(_xll.ciqfunctions.udf.CIQ(mh_ticker, "IQ_EBITDA_EST", IQ_NTM, B1190, , , "USD"), "")</f>
        <v/>
      </c>
      <c r="O1190" s="13">
        <f>IFERROR(M1190/N1190, "")</f>
        <v/>
      </c>
    </row>
    <row r="1191">
      <c r="B1191" s="8" t="n"/>
      <c r="C1191" s="9">
        <f>IFERROR(_xll.ciqfunctions.udf.CIQ(mh_ticker, "IQ_LASTSALEPRICE", B1191), "")</f>
        <v/>
      </c>
      <c r="D1191" s="10">
        <f>IFERROR(_xll.ciqfunctions.udf.CIQ(mh_ticker, "IQ_SHARESOUTSTANDING_OUT", B1191), "")</f>
        <v/>
      </c>
      <c r="E1191" s="11">
        <f>IFERROR(_xll.ciqfunctions.udf.CIQ(mh_ticker, "IQ_CASH_EQUIV", , B1191), "")</f>
        <v/>
      </c>
      <c r="F1191" s="11">
        <f>IFERROR(_xll.ciqfunctions.udf.CIQ(mh_ticker, "IQ_ST_INVEST", , B1191), "")</f>
        <v/>
      </c>
      <c r="G1191" s="11">
        <f>IFERROR(_xll.ciqfunctions.udf.CIQ(mh_ticker, "IQ_TOTAL_DEBT_EXCL_OPER_LEASES", , B1191), "")</f>
        <v/>
      </c>
      <c r="H1191" s="11">
        <f>IFERROR(_xll.ciqfunctions.udf.CIQ(mh_ticker, "IQ_PREF_EQUITY", , B1191), "")</f>
        <v/>
      </c>
      <c r="I1191" s="11">
        <f>IFERROR(_xll.ciqfunctions.udf.CIQ(mh_ticker, "IQ_MINORITY_INTEREST", , B1191), "")</f>
        <v/>
      </c>
      <c r="J1191" s="11">
        <f>IFERROR(_xll.ciqfunctions.udf.CIQ(mh_ticker, "IQ_EQUITY_METHOD", , B1191), "")</f>
        <v/>
      </c>
      <c r="K1191" s="11">
        <f>IFERROR(_xll.ciqfunctions.udf.CIQ(mh_ticker, "IQ_LT_Mark_Securities", , B1191), "")</f>
        <v/>
      </c>
      <c r="L1191" s="12">
        <f>IFERROR(C1191*D1191, "")</f>
        <v/>
      </c>
      <c r="M1191" s="12">
        <f>IFERROR(L1191-E1191-F1191+G1191+H1191+I1191-J1191-K1191, "")</f>
        <v/>
      </c>
      <c r="N1191" s="11">
        <f>IFERROR(_xll.ciqfunctions.udf.CIQ(mh_ticker, "IQ_EBITDA_EST", IQ_NTM, B1191, , , "USD"), "")</f>
        <v/>
      </c>
      <c r="O1191" s="13">
        <f>IFERROR(M1191/N1191, "")</f>
        <v/>
      </c>
    </row>
    <row r="1192">
      <c r="B1192" s="8" t="n"/>
      <c r="C1192" s="9">
        <f>IFERROR(_xll.ciqfunctions.udf.CIQ(mh_ticker, "IQ_LASTSALEPRICE", B1192), "")</f>
        <v/>
      </c>
      <c r="D1192" s="10">
        <f>IFERROR(_xll.ciqfunctions.udf.CIQ(mh_ticker, "IQ_SHARESOUTSTANDING_OUT", B1192), "")</f>
        <v/>
      </c>
      <c r="E1192" s="11">
        <f>IFERROR(_xll.ciqfunctions.udf.CIQ(mh_ticker, "IQ_CASH_EQUIV", , B1192), "")</f>
        <v/>
      </c>
      <c r="F1192" s="11">
        <f>IFERROR(_xll.ciqfunctions.udf.CIQ(mh_ticker, "IQ_ST_INVEST", , B1192), "")</f>
        <v/>
      </c>
      <c r="G1192" s="11">
        <f>IFERROR(_xll.ciqfunctions.udf.CIQ(mh_ticker, "IQ_TOTAL_DEBT_EXCL_OPER_LEASES", , B1192), "")</f>
        <v/>
      </c>
      <c r="H1192" s="11">
        <f>IFERROR(_xll.ciqfunctions.udf.CIQ(mh_ticker, "IQ_PREF_EQUITY", , B1192), "")</f>
        <v/>
      </c>
      <c r="I1192" s="11">
        <f>IFERROR(_xll.ciqfunctions.udf.CIQ(mh_ticker, "IQ_MINORITY_INTEREST", , B1192), "")</f>
        <v/>
      </c>
      <c r="J1192" s="11">
        <f>IFERROR(_xll.ciqfunctions.udf.CIQ(mh_ticker, "IQ_EQUITY_METHOD", , B1192), "")</f>
        <v/>
      </c>
      <c r="K1192" s="11">
        <f>IFERROR(_xll.ciqfunctions.udf.CIQ(mh_ticker, "IQ_LT_Mark_Securities", , B1192), "")</f>
        <v/>
      </c>
      <c r="L1192" s="12">
        <f>IFERROR(C1192*D1192, "")</f>
        <v/>
      </c>
      <c r="M1192" s="12">
        <f>IFERROR(L1192-E1192-F1192+G1192+H1192+I1192-J1192-K1192, "")</f>
        <v/>
      </c>
      <c r="N1192" s="11">
        <f>IFERROR(_xll.ciqfunctions.udf.CIQ(mh_ticker, "IQ_EBITDA_EST", IQ_NTM, B1192, , , "USD"), "")</f>
        <v/>
      </c>
      <c r="O1192" s="13">
        <f>IFERROR(M1192/N1192, "")</f>
        <v/>
      </c>
    </row>
    <row r="1193">
      <c r="B1193" s="8" t="n"/>
      <c r="C1193" s="9">
        <f>IFERROR(_xll.ciqfunctions.udf.CIQ(mh_ticker, "IQ_LASTSALEPRICE", B1193), "")</f>
        <v/>
      </c>
      <c r="D1193" s="10">
        <f>IFERROR(_xll.ciqfunctions.udf.CIQ(mh_ticker, "IQ_SHARESOUTSTANDING_OUT", B1193), "")</f>
        <v/>
      </c>
      <c r="E1193" s="11">
        <f>IFERROR(_xll.ciqfunctions.udf.CIQ(mh_ticker, "IQ_CASH_EQUIV", , B1193), "")</f>
        <v/>
      </c>
      <c r="F1193" s="11">
        <f>IFERROR(_xll.ciqfunctions.udf.CIQ(mh_ticker, "IQ_ST_INVEST", , B1193), "")</f>
        <v/>
      </c>
      <c r="G1193" s="11">
        <f>IFERROR(_xll.ciqfunctions.udf.CIQ(mh_ticker, "IQ_TOTAL_DEBT_EXCL_OPER_LEASES", , B1193), "")</f>
        <v/>
      </c>
      <c r="H1193" s="11">
        <f>IFERROR(_xll.ciqfunctions.udf.CIQ(mh_ticker, "IQ_PREF_EQUITY", , B1193), "")</f>
        <v/>
      </c>
      <c r="I1193" s="11">
        <f>IFERROR(_xll.ciqfunctions.udf.CIQ(mh_ticker, "IQ_MINORITY_INTEREST", , B1193), "")</f>
        <v/>
      </c>
      <c r="J1193" s="11">
        <f>IFERROR(_xll.ciqfunctions.udf.CIQ(mh_ticker, "IQ_EQUITY_METHOD", , B1193), "")</f>
        <v/>
      </c>
      <c r="K1193" s="11">
        <f>IFERROR(_xll.ciqfunctions.udf.CIQ(mh_ticker, "IQ_LT_Mark_Securities", , B1193), "")</f>
        <v/>
      </c>
      <c r="L1193" s="12">
        <f>IFERROR(C1193*D1193, "")</f>
        <v/>
      </c>
      <c r="M1193" s="12">
        <f>IFERROR(L1193-E1193-F1193+G1193+H1193+I1193-J1193-K1193, "")</f>
        <v/>
      </c>
      <c r="N1193" s="11">
        <f>IFERROR(_xll.ciqfunctions.udf.CIQ(mh_ticker, "IQ_EBITDA_EST", IQ_NTM, B1193, , , "USD"), "")</f>
        <v/>
      </c>
      <c r="O1193" s="13">
        <f>IFERROR(M1193/N1193, "")</f>
        <v/>
      </c>
    </row>
    <row r="1194">
      <c r="B1194" s="8" t="n"/>
      <c r="C1194" s="9">
        <f>IFERROR(_xll.ciqfunctions.udf.CIQ(mh_ticker, "IQ_LASTSALEPRICE", B1194), "")</f>
        <v/>
      </c>
      <c r="D1194" s="10">
        <f>IFERROR(_xll.ciqfunctions.udf.CIQ(mh_ticker, "IQ_SHARESOUTSTANDING_OUT", B1194), "")</f>
        <v/>
      </c>
      <c r="E1194" s="11">
        <f>IFERROR(_xll.ciqfunctions.udf.CIQ(mh_ticker, "IQ_CASH_EQUIV", , B1194), "")</f>
        <v/>
      </c>
      <c r="F1194" s="11">
        <f>IFERROR(_xll.ciqfunctions.udf.CIQ(mh_ticker, "IQ_ST_INVEST", , B1194), "")</f>
        <v/>
      </c>
      <c r="G1194" s="11">
        <f>IFERROR(_xll.ciqfunctions.udf.CIQ(mh_ticker, "IQ_TOTAL_DEBT_EXCL_OPER_LEASES", , B1194), "")</f>
        <v/>
      </c>
      <c r="H1194" s="11">
        <f>IFERROR(_xll.ciqfunctions.udf.CIQ(mh_ticker, "IQ_PREF_EQUITY", , B1194), "")</f>
        <v/>
      </c>
      <c r="I1194" s="11">
        <f>IFERROR(_xll.ciqfunctions.udf.CIQ(mh_ticker, "IQ_MINORITY_INTEREST", , B1194), "")</f>
        <v/>
      </c>
      <c r="J1194" s="11">
        <f>IFERROR(_xll.ciqfunctions.udf.CIQ(mh_ticker, "IQ_EQUITY_METHOD", , B1194), "")</f>
        <v/>
      </c>
      <c r="K1194" s="11">
        <f>IFERROR(_xll.ciqfunctions.udf.CIQ(mh_ticker, "IQ_LT_Mark_Securities", , B1194), "")</f>
        <v/>
      </c>
      <c r="L1194" s="12">
        <f>IFERROR(C1194*D1194, "")</f>
        <v/>
      </c>
      <c r="M1194" s="12">
        <f>IFERROR(L1194-E1194-F1194+G1194+H1194+I1194-J1194-K1194, "")</f>
        <v/>
      </c>
      <c r="N1194" s="11">
        <f>IFERROR(_xll.ciqfunctions.udf.CIQ(mh_ticker, "IQ_EBITDA_EST", IQ_NTM, B1194, , , "USD"), "")</f>
        <v/>
      </c>
      <c r="O1194" s="13">
        <f>IFERROR(M1194/N1194, "")</f>
        <v/>
      </c>
    </row>
    <row r="1195">
      <c r="B1195" s="8" t="n"/>
      <c r="C1195" s="9">
        <f>IFERROR(_xll.ciqfunctions.udf.CIQ(mh_ticker, "IQ_LASTSALEPRICE", B1195), "")</f>
        <v/>
      </c>
      <c r="D1195" s="10">
        <f>IFERROR(_xll.ciqfunctions.udf.CIQ(mh_ticker, "IQ_SHARESOUTSTANDING_OUT", B1195), "")</f>
        <v/>
      </c>
      <c r="E1195" s="11">
        <f>IFERROR(_xll.ciqfunctions.udf.CIQ(mh_ticker, "IQ_CASH_EQUIV", , B1195), "")</f>
        <v/>
      </c>
      <c r="F1195" s="11">
        <f>IFERROR(_xll.ciqfunctions.udf.CIQ(mh_ticker, "IQ_ST_INVEST", , B1195), "")</f>
        <v/>
      </c>
      <c r="G1195" s="11">
        <f>IFERROR(_xll.ciqfunctions.udf.CIQ(mh_ticker, "IQ_TOTAL_DEBT_EXCL_OPER_LEASES", , B1195), "")</f>
        <v/>
      </c>
      <c r="H1195" s="11">
        <f>IFERROR(_xll.ciqfunctions.udf.CIQ(mh_ticker, "IQ_PREF_EQUITY", , B1195), "")</f>
        <v/>
      </c>
      <c r="I1195" s="11">
        <f>IFERROR(_xll.ciqfunctions.udf.CIQ(mh_ticker, "IQ_MINORITY_INTEREST", , B1195), "")</f>
        <v/>
      </c>
      <c r="J1195" s="11">
        <f>IFERROR(_xll.ciqfunctions.udf.CIQ(mh_ticker, "IQ_EQUITY_METHOD", , B1195), "")</f>
        <v/>
      </c>
      <c r="K1195" s="11">
        <f>IFERROR(_xll.ciqfunctions.udf.CIQ(mh_ticker, "IQ_LT_Mark_Securities", , B1195), "")</f>
        <v/>
      </c>
      <c r="L1195" s="12">
        <f>IFERROR(C1195*D1195, "")</f>
        <v/>
      </c>
      <c r="M1195" s="12">
        <f>IFERROR(L1195-E1195-F1195+G1195+H1195+I1195-J1195-K1195, "")</f>
        <v/>
      </c>
      <c r="N1195" s="11">
        <f>IFERROR(_xll.ciqfunctions.udf.CIQ(mh_ticker, "IQ_EBITDA_EST", IQ_NTM, B1195, , , "USD"), "")</f>
        <v/>
      </c>
      <c r="O1195" s="13">
        <f>IFERROR(M1195/N1195, "")</f>
        <v/>
      </c>
    </row>
    <row r="1196">
      <c r="B1196" s="8" t="n"/>
      <c r="C1196" s="9">
        <f>IFERROR(_xll.ciqfunctions.udf.CIQ(mh_ticker, "IQ_LASTSALEPRICE", B1196), "")</f>
        <v/>
      </c>
      <c r="D1196" s="10">
        <f>IFERROR(_xll.ciqfunctions.udf.CIQ(mh_ticker, "IQ_SHARESOUTSTANDING_OUT", B1196), "")</f>
        <v/>
      </c>
      <c r="E1196" s="11">
        <f>IFERROR(_xll.ciqfunctions.udf.CIQ(mh_ticker, "IQ_CASH_EQUIV", , B1196), "")</f>
        <v/>
      </c>
      <c r="F1196" s="11">
        <f>IFERROR(_xll.ciqfunctions.udf.CIQ(mh_ticker, "IQ_ST_INVEST", , B1196), "")</f>
        <v/>
      </c>
      <c r="G1196" s="11">
        <f>IFERROR(_xll.ciqfunctions.udf.CIQ(mh_ticker, "IQ_TOTAL_DEBT_EXCL_OPER_LEASES", , B1196), "")</f>
        <v/>
      </c>
      <c r="H1196" s="11">
        <f>IFERROR(_xll.ciqfunctions.udf.CIQ(mh_ticker, "IQ_PREF_EQUITY", , B1196), "")</f>
        <v/>
      </c>
      <c r="I1196" s="11">
        <f>IFERROR(_xll.ciqfunctions.udf.CIQ(mh_ticker, "IQ_MINORITY_INTEREST", , B1196), "")</f>
        <v/>
      </c>
      <c r="J1196" s="11">
        <f>IFERROR(_xll.ciqfunctions.udf.CIQ(mh_ticker, "IQ_EQUITY_METHOD", , B1196), "")</f>
        <v/>
      </c>
      <c r="K1196" s="11">
        <f>IFERROR(_xll.ciqfunctions.udf.CIQ(mh_ticker, "IQ_LT_Mark_Securities", , B1196), "")</f>
        <v/>
      </c>
      <c r="L1196" s="12">
        <f>IFERROR(C1196*D1196, "")</f>
        <v/>
      </c>
      <c r="M1196" s="12">
        <f>IFERROR(L1196-E1196-F1196+G1196+H1196+I1196-J1196-K1196, "")</f>
        <v/>
      </c>
      <c r="N1196" s="11">
        <f>IFERROR(_xll.ciqfunctions.udf.CIQ(mh_ticker, "IQ_EBITDA_EST", IQ_NTM, B1196, , , "USD"), "")</f>
        <v/>
      </c>
      <c r="O1196" s="13">
        <f>IFERROR(M1196/N1196, "")</f>
        <v/>
      </c>
    </row>
    <row r="1197">
      <c r="B1197" s="8" t="n"/>
      <c r="C1197" s="9">
        <f>IFERROR(_xll.ciqfunctions.udf.CIQ(mh_ticker, "IQ_LASTSALEPRICE", B1197), "")</f>
        <v/>
      </c>
      <c r="D1197" s="10">
        <f>IFERROR(_xll.ciqfunctions.udf.CIQ(mh_ticker, "IQ_SHARESOUTSTANDING_OUT", B1197), "")</f>
        <v/>
      </c>
      <c r="E1197" s="11">
        <f>IFERROR(_xll.ciqfunctions.udf.CIQ(mh_ticker, "IQ_CASH_EQUIV", , B1197), "")</f>
        <v/>
      </c>
      <c r="F1197" s="11">
        <f>IFERROR(_xll.ciqfunctions.udf.CIQ(mh_ticker, "IQ_ST_INVEST", , B1197), "")</f>
        <v/>
      </c>
      <c r="G1197" s="11">
        <f>IFERROR(_xll.ciqfunctions.udf.CIQ(mh_ticker, "IQ_TOTAL_DEBT_EXCL_OPER_LEASES", , B1197), "")</f>
        <v/>
      </c>
      <c r="H1197" s="11">
        <f>IFERROR(_xll.ciqfunctions.udf.CIQ(mh_ticker, "IQ_PREF_EQUITY", , B1197), "")</f>
        <v/>
      </c>
      <c r="I1197" s="11">
        <f>IFERROR(_xll.ciqfunctions.udf.CIQ(mh_ticker, "IQ_MINORITY_INTEREST", , B1197), "")</f>
        <v/>
      </c>
      <c r="J1197" s="11">
        <f>IFERROR(_xll.ciqfunctions.udf.CIQ(mh_ticker, "IQ_EQUITY_METHOD", , B1197), "")</f>
        <v/>
      </c>
      <c r="K1197" s="11">
        <f>IFERROR(_xll.ciqfunctions.udf.CIQ(mh_ticker, "IQ_LT_Mark_Securities", , B1197), "")</f>
        <v/>
      </c>
      <c r="L1197" s="12">
        <f>IFERROR(C1197*D1197, "")</f>
        <v/>
      </c>
      <c r="M1197" s="12">
        <f>IFERROR(L1197-E1197-F1197+G1197+H1197+I1197-J1197-K1197, "")</f>
        <v/>
      </c>
      <c r="N1197" s="11">
        <f>IFERROR(_xll.ciqfunctions.udf.CIQ(mh_ticker, "IQ_EBITDA_EST", IQ_NTM, B1197, , , "USD"), "")</f>
        <v/>
      </c>
      <c r="O1197" s="13">
        <f>IFERROR(M1197/N1197, "")</f>
        <v/>
      </c>
    </row>
    <row r="1198">
      <c r="B1198" s="8" t="n"/>
      <c r="C1198" s="9">
        <f>IFERROR(_xll.ciqfunctions.udf.CIQ(mh_ticker, "IQ_LASTSALEPRICE", B1198), "")</f>
        <v/>
      </c>
      <c r="D1198" s="10">
        <f>IFERROR(_xll.ciqfunctions.udf.CIQ(mh_ticker, "IQ_SHARESOUTSTANDING_OUT", B1198), "")</f>
        <v/>
      </c>
      <c r="E1198" s="11">
        <f>IFERROR(_xll.ciqfunctions.udf.CIQ(mh_ticker, "IQ_CASH_EQUIV", , B1198), "")</f>
        <v/>
      </c>
      <c r="F1198" s="11">
        <f>IFERROR(_xll.ciqfunctions.udf.CIQ(mh_ticker, "IQ_ST_INVEST", , B1198), "")</f>
        <v/>
      </c>
      <c r="G1198" s="11">
        <f>IFERROR(_xll.ciqfunctions.udf.CIQ(mh_ticker, "IQ_TOTAL_DEBT_EXCL_OPER_LEASES", , B1198), "")</f>
        <v/>
      </c>
      <c r="H1198" s="11">
        <f>IFERROR(_xll.ciqfunctions.udf.CIQ(mh_ticker, "IQ_PREF_EQUITY", , B1198), "")</f>
        <v/>
      </c>
      <c r="I1198" s="11">
        <f>IFERROR(_xll.ciqfunctions.udf.CIQ(mh_ticker, "IQ_MINORITY_INTEREST", , B1198), "")</f>
        <v/>
      </c>
      <c r="J1198" s="11">
        <f>IFERROR(_xll.ciqfunctions.udf.CIQ(mh_ticker, "IQ_EQUITY_METHOD", , B1198), "")</f>
        <v/>
      </c>
      <c r="K1198" s="11">
        <f>IFERROR(_xll.ciqfunctions.udf.CIQ(mh_ticker, "IQ_LT_Mark_Securities", , B1198), "")</f>
        <v/>
      </c>
      <c r="L1198" s="12">
        <f>IFERROR(C1198*D1198, "")</f>
        <v/>
      </c>
      <c r="M1198" s="12">
        <f>IFERROR(L1198-E1198-F1198+G1198+H1198+I1198-J1198-K1198, "")</f>
        <v/>
      </c>
      <c r="N1198" s="11">
        <f>IFERROR(_xll.ciqfunctions.udf.CIQ(mh_ticker, "IQ_EBITDA_EST", IQ_NTM, B1198, , , "USD"), "")</f>
        <v/>
      </c>
      <c r="O1198" s="13">
        <f>IFERROR(M1198/N1198, "")</f>
        <v/>
      </c>
    </row>
    <row r="1199">
      <c r="B1199" s="8" t="n"/>
      <c r="C1199" s="9">
        <f>IFERROR(_xll.ciqfunctions.udf.CIQ(mh_ticker, "IQ_LASTSALEPRICE", B1199), "")</f>
        <v/>
      </c>
      <c r="D1199" s="10">
        <f>IFERROR(_xll.ciqfunctions.udf.CIQ(mh_ticker, "IQ_SHARESOUTSTANDING_OUT", B1199), "")</f>
        <v/>
      </c>
      <c r="E1199" s="11">
        <f>IFERROR(_xll.ciqfunctions.udf.CIQ(mh_ticker, "IQ_CASH_EQUIV", , B1199), "")</f>
        <v/>
      </c>
      <c r="F1199" s="11">
        <f>IFERROR(_xll.ciqfunctions.udf.CIQ(mh_ticker, "IQ_ST_INVEST", , B1199), "")</f>
        <v/>
      </c>
      <c r="G1199" s="11">
        <f>IFERROR(_xll.ciqfunctions.udf.CIQ(mh_ticker, "IQ_TOTAL_DEBT_EXCL_OPER_LEASES", , B1199), "")</f>
        <v/>
      </c>
      <c r="H1199" s="11">
        <f>IFERROR(_xll.ciqfunctions.udf.CIQ(mh_ticker, "IQ_PREF_EQUITY", , B1199), "")</f>
        <v/>
      </c>
      <c r="I1199" s="11">
        <f>IFERROR(_xll.ciqfunctions.udf.CIQ(mh_ticker, "IQ_MINORITY_INTEREST", , B1199), "")</f>
        <v/>
      </c>
      <c r="J1199" s="11">
        <f>IFERROR(_xll.ciqfunctions.udf.CIQ(mh_ticker, "IQ_EQUITY_METHOD", , B1199), "")</f>
        <v/>
      </c>
      <c r="K1199" s="11">
        <f>IFERROR(_xll.ciqfunctions.udf.CIQ(mh_ticker, "IQ_LT_Mark_Securities", , B1199), "")</f>
        <v/>
      </c>
      <c r="L1199" s="12">
        <f>IFERROR(C1199*D1199, "")</f>
        <v/>
      </c>
      <c r="M1199" s="12">
        <f>IFERROR(L1199-E1199-F1199+G1199+H1199+I1199-J1199-K1199, "")</f>
        <v/>
      </c>
      <c r="N1199" s="11">
        <f>IFERROR(_xll.ciqfunctions.udf.CIQ(mh_ticker, "IQ_EBITDA_EST", IQ_NTM, B1199, , , "USD"), "")</f>
        <v/>
      </c>
      <c r="O1199" s="13">
        <f>IFERROR(M1199/N1199, "")</f>
        <v/>
      </c>
    </row>
    <row r="1200">
      <c r="B1200" s="8" t="n"/>
      <c r="C1200" s="9">
        <f>IFERROR(_xll.ciqfunctions.udf.CIQ(mh_ticker, "IQ_LASTSALEPRICE", B1200), "")</f>
        <v/>
      </c>
      <c r="D1200" s="10">
        <f>IFERROR(_xll.ciqfunctions.udf.CIQ(mh_ticker, "IQ_SHARESOUTSTANDING_OUT", B1200), "")</f>
        <v/>
      </c>
      <c r="E1200" s="11">
        <f>IFERROR(_xll.ciqfunctions.udf.CIQ(mh_ticker, "IQ_CASH_EQUIV", , B1200), "")</f>
        <v/>
      </c>
      <c r="F1200" s="11">
        <f>IFERROR(_xll.ciqfunctions.udf.CIQ(mh_ticker, "IQ_ST_INVEST", , B1200), "")</f>
        <v/>
      </c>
      <c r="G1200" s="11">
        <f>IFERROR(_xll.ciqfunctions.udf.CIQ(mh_ticker, "IQ_TOTAL_DEBT_EXCL_OPER_LEASES", , B1200), "")</f>
        <v/>
      </c>
      <c r="H1200" s="11">
        <f>IFERROR(_xll.ciqfunctions.udf.CIQ(mh_ticker, "IQ_PREF_EQUITY", , B1200), "")</f>
        <v/>
      </c>
      <c r="I1200" s="11">
        <f>IFERROR(_xll.ciqfunctions.udf.CIQ(mh_ticker, "IQ_MINORITY_INTEREST", , B1200), "")</f>
        <v/>
      </c>
      <c r="J1200" s="11">
        <f>IFERROR(_xll.ciqfunctions.udf.CIQ(mh_ticker, "IQ_EQUITY_METHOD", , B1200), "")</f>
        <v/>
      </c>
      <c r="K1200" s="11">
        <f>IFERROR(_xll.ciqfunctions.udf.CIQ(mh_ticker, "IQ_LT_Mark_Securities", , B1200), "")</f>
        <v/>
      </c>
      <c r="L1200" s="12">
        <f>IFERROR(C1200*D1200, "")</f>
        <v/>
      </c>
      <c r="M1200" s="12">
        <f>IFERROR(L1200-E1200-F1200+G1200+H1200+I1200-J1200-K1200, "")</f>
        <v/>
      </c>
      <c r="N1200" s="11">
        <f>IFERROR(_xll.ciqfunctions.udf.CIQ(mh_ticker, "IQ_EBITDA_EST", IQ_NTM, B1200, , , "USD"), "")</f>
        <v/>
      </c>
      <c r="O1200" s="13">
        <f>IFERROR(M1200/N1200, "")</f>
        <v/>
      </c>
    </row>
    <row r="1201">
      <c r="B1201" s="8" t="n"/>
      <c r="C1201" s="9">
        <f>IFERROR(_xll.ciqfunctions.udf.CIQ(mh_ticker, "IQ_LASTSALEPRICE", B1201), "")</f>
        <v/>
      </c>
      <c r="D1201" s="10">
        <f>IFERROR(_xll.ciqfunctions.udf.CIQ(mh_ticker, "IQ_SHARESOUTSTANDING_OUT", B1201), "")</f>
        <v/>
      </c>
      <c r="E1201" s="11">
        <f>IFERROR(_xll.ciqfunctions.udf.CIQ(mh_ticker, "IQ_CASH_EQUIV", , B1201), "")</f>
        <v/>
      </c>
      <c r="F1201" s="11">
        <f>IFERROR(_xll.ciqfunctions.udf.CIQ(mh_ticker, "IQ_ST_INVEST", , B1201), "")</f>
        <v/>
      </c>
      <c r="G1201" s="11">
        <f>IFERROR(_xll.ciqfunctions.udf.CIQ(mh_ticker, "IQ_TOTAL_DEBT_EXCL_OPER_LEASES", , B1201), "")</f>
        <v/>
      </c>
      <c r="H1201" s="11">
        <f>IFERROR(_xll.ciqfunctions.udf.CIQ(mh_ticker, "IQ_PREF_EQUITY", , B1201), "")</f>
        <v/>
      </c>
      <c r="I1201" s="11">
        <f>IFERROR(_xll.ciqfunctions.udf.CIQ(mh_ticker, "IQ_MINORITY_INTEREST", , B1201), "")</f>
        <v/>
      </c>
      <c r="J1201" s="11">
        <f>IFERROR(_xll.ciqfunctions.udf.CIQ(mh_ticker, "IQ_EQUITY_METHOD", , B1201), "")</f>
        <v/>
      </c>
      <c r="K1201" s="11">
        <f>IFERROR(_xll.ciqfunctions.udf.CIQ(mh_ticker, "IQ_LT_Mark_Securities", , B1201), "")</f>
        <v/>
      </c>
      <c r="L1201" s="12">
        <f>IFERROR(C1201*D1201, "")</f>
        <v/>
      </c>
      <c r="M1201" s="12">
        <f>IFERROR(L1201-E1201-F1201+G1201+H1201+I1201-J1201-K1201, "")</f>
        <v/>
      </c>
      <c r="N1201" s="11">
        <f>IFERROR(_xll.ciqfunctions.udf.CIQ(mh_ticker, "IQ_EBITDA_EST", IQ_NTM, B1201, , , "USD"), "")</f>
        <v/>
      </c>
      <c r="O1201" s="13">
        <f>IFERROR(M1201/N1201, "")</f>
        <v/>
      </c>
    </row>
    <row r="1202">
      <c r="B1202" s="8" t="n"/>
      <c r="C1202" s="9">
        <f>IFERROR(_xll.ciqfunctions.udf.CIQ(mh_ticker, "IQ_LASTSALEPRICE", B1202), "")</f>
        <v/>
      </c>
      <c r="D1202" s="10">
        <f>IFERROR(_xll.ciqfunctions.udf.CIQ(mh_ticker, "IQ_SHARESOUTSTANDING_OUT", B1202), "")</f>
        <v/>
      </c>
      <c r="E1202" s="11">
        <f>IFERROR(_xll.ciqfunctions.udf.CIQ(mh_ticker, "IQ_CASH_EQUIV", , B1202), "")</f>
        <v/>
      </c>
      <c r="F1202" s="11">
        <f>IFERROR(_xll.ciqfunctions.udf.CIQ(mh_ticker, "IQ_ST_INVEST", , B1202), "")</f>
        <v/>
      </c>
      <c r="G1202" s="11">
        <f>IFERROR(_xll.ciqfunctions.udf.CIQ(mh_ticker, "IQ_TOTAL_DEBT_EXCL_OPER_LEASES", , B1202), "")</f>
        <v/>
      </c>
      <c r="H1202" s="11">
        <f>IFERROR(_xll.ciqfunctions.udf.CIQ(mh_ticker, "IQ_PREF_EQUITY", , B1202), "")</f>
        <v/>
      </c>
      <c r="I1202" s="11">
        <f>IFERROR(_xll.ciqfunctions.udf.CIQ(mh_ticker, "IQ_MINORITY_INTEREST", , B1202), "")</f>
        <v/>
      </c>
      <c r="J1202" s="11">
        <f>IFERROR(_xll.ciqfunctions.udf.CIQ(mh_ticker, "IQ_EQUITY_METHOD", , B1202), "")</f>
        <v/>
      </c>
      <c r="K1202" s="11">
        <f>IFERROR(_xll.ciqfunctions.udf.CIQ(mh_ticker, "IQ_LT_Mark_Securities", , B1202), "")</f>
        <v/>
      </c>
      <c r="L1202" s="12">
        <f>IFERROR(C1202*D1202, "")</f>
        <v/>
      </c>
      <c r="M1202" s="12">
        <f>IFERROR(L1202-E1202-F1202+G1202+H1202+I1202-J1202-K1202, "")</f>
        <v/>
      </c>
      <c r="N1202" s="11">
        <f>IFERROR(_xll.ciqfunctions.udf.CIQ(mh_ticker, "IQ_EBITDA_EST", IQ_NTM, B1202, , , "USD"), "")</f>
        <v/>
      </c>
      <c r="O1202" s="13">
        <f>IFERROR(M1202/N1202, "")</f>
        <v/>
      </c>
    </row>
    <row r="1203">
      <c r="B1203" s="8" t="n"/>
      <c r="C1203" s="9">
        <f>IFERROR(_xll.ciqfunctions.udf.CIQ(mh_ticker, "IQ_LASTSALEPRICE", B1203), "")</f>
        <v/>
      </c>
      <c r="D1203" s="10">
        <f>IFERROR(_xll.ciqfunctions.udf.CIQ(mh_ticker, "IQ_SHARESOUTSTANDING_OUT", B1203), "")</f>
        <v/>
      </c>
      <c r="E1203" s="11">
        <f>IFERROR(_xll.ciqfunctions.udf.CIQ(mh_ticker, "IQ_CASH_EQUIV", , B1203), "")</f>
        <v/>
      </c>
      <c r="F1203" s="11">
        <f>IFERROR(_xll.ciqfunctions.udf.CIQ(mh_ticker, "IQ_ST_INVEST", , B1203), "")</f>
        <v/>
      </c>
      <c r="G1203" s="11">
        <f>IFERROR(_xll.ciqfunctions.udf.CIQ(mh_ticker, "IQ_TOTAL_DEBT_EXCL_OPER_LEASES", , B1203), "")</f>
        <v/>
      </c>
      <c r="H1203" s="11">
        <f>IFERROR(_xll.ciqfunctions.udf.CIQ(mh_ticker, "IQ_PREF_EQUITY", , B1203), "")</f>
        <v/>
      </c>
      <c r="I1203" s="11">
        <f>IFERROR(_xll.ciqfunctions.udf.CIQ(mh_ticker, "IQ_MINORITY_INTEREST", , B1203), "")</f>
        <v/>
      </c>
      <c r="J1203" s="11">
        <f>IFERROR(_xll.ciqfunctions.udf.CIQ(mh_ticker, "IQ_EQUITY_METHOD", , B1203), "")</f>
        <v/>
      </c>
      <c r="K1203" s="11">
        <f>IFERROR(_xll.ciqfunctions.udf.CIQ(mh_ticker, "IQ_LT_Mark_Securities", , B1203), "")</f>
        <v/>
      </c>
      <c r="L1203" s="12">
        <f>IFERROR(C1203*D1203, "")</f>
        <v/>
      </c>
      <c r="M1203" s="12">
        <f>IFERROR(L1203-E1203-F1203+G1203+H1203+I1203-J1203-K1203, "")</f>
        <v/>
      </c>
      <c r="N1203" s="11">
        <f>IFERROR(_xll.ciqfunctions.udf.CIQ(mh_ticker, "IQ_EBITDA_EST", IQ_NTM, B1203, , , "USD"), "")</f>
        <v/>
      </c>
      <c r="O1203" s="13">
        <f>IFERROR(M1203/N1203, "")</f>
        <v/>
      </c>
    </row>
    <row r="1204">
      <c r="B1204" s="8" t="n"/>
      <c r="C1204" s="9">
        <f>IFERROR(_xll.ciqfunctions.udf.CIQ(mh_ticker, "IQ_LASTSALEPRICE", B1204), "")</f>
        <v/>
      </c>
      <c r="D1204" s="10">
        <f>IFERROR(_xll.ciqfunctions.udf.CIQ(mh_ticker, "IQ_SHARESOUTSTANDING_OUT", B1204), "")</f>
        <v/>
      </c>
      <c r="E1204" s="11">
        <f>IFERROR(_xll.ciqfunctions.udf.CIQ(mh_ticker, "IQ_CASH_EQUIV", , B1204), "")</f>
        <v/>
      </c>
      <c r="F1204" s="11">
        <f>IFERROR(_xll.ciqfunctions.udf.CIQ(mh_ticker, "IQ_ST_INVEST", , B1204), "")</f>
        <v/>
      </c>
      <c r="G1204" s="11">
        <f>IFERROR(_xll.ciqfunctions.udf.CIQ(mh_ticker, "IQ_TOTAL_DEBT_EXCL_OPER_LEASES", , B1204), "")</f>
        <v/>
      </c>
      <c r="H1204" s="11">
        <f>IFERROR(_xll.ciqfunctions.udf.CIQ(mh_ticker, "IQ_PREF_EQUITY", , B1204), "")</f>
        <v/>
      </c>
      <c r="I1204" s="11">
        <f>IFERROR(_xll.ciqfunctions.udf.CIQ(mh_ticker, "IQ_MINORITY_INTEREST", , B1204), "")</f>
        <v/>
      </c>
      <c r="J1204" s="11">
        <f>IFERROR(_xll.ciqfunctions.udf.CIQ(mh_ticker, "IQ_EQUITY_METHOD", , B1204), "")</f>
        <v/>
      </c>
      <c r="K1204" s="11">
        <f>IFERROR(_xll.ciqfunctions.udf.CIQ(mh_ticker, "IQ_LT_Mark_Securities", , B1204), "")</f>
        <v/>
      </c>
      <c r="L1204" s="12">
        <f>IFERROR(C1204*D1204, "")</f>
        <v/>
      </c>
      <c r="M1204" s="12">
        <f>IFERROR(L1204-E1204-F1204+G1204+H1204+I1204-J1204-K1204, "")</f>
        <v/>
      </c>
      <c r="N1204" s="11">
        <f>IFERROR(_xll.ciqfunctions.udf.CIQ(mh_ticker, "IQ_EBITDA_EST", IQ_NTM, B1204, , , "USD"), "")</f>
        <v/>
      </c>
      <c r="O1204" s="13">
        <f>IFERROR(M1204/N1204, "")</f>
        <v/>
      </c>
    </row>
    <row r="1205">
      <c r="B1205" s="8" t="n"/>
      <c r="C1205" s="9">
        <f>IFERROR(_xll.ciqfunctions.udf.CIQ(mh_ticker, "IQ_LASTSALEPRICE", B1205), "")</f>
        <v/>
      </c>
      <c r="D1205" s="10">
        <f>IFERROR(_xll.ciqfunctions.udf.CIQ(mh_ticker, "IQ_SHARESOUTSTANDING_OUT", B1205), "")</f>
        <v/>
      </c>
      <c r="E1205" s="11">
        <f>IFERROR(_xll.ciqfunctions.udf.CIQ(mh_ticker, "IQ_CASH_EQUIV", , B1205), "")</f>
        <v/>
      </c>
      <c r="F1205" s="11">
        <f>IFERROR(_xll.ciqfunctions.udf.CIQ(mh_ticker, "IQ_ST_INVEST", , B1205), "")</f>
        <v/>
      </c>
      <c r="G1205" s="11">
        <f>IFERROR(_xll.ciqfunctions.udf.CIQ(mh_ticker, "IQ_TOTAL_DEBT_EXCL_OPER_LEASES", , B1205), "")</f>
        <v/>
      </c>
      <c r="H1205" s="11">
        <f>IFERROR(_xll.ciqfunctions.udf.CIQ(mh_ticker, "IQ_PREF_EQUITY", , B1205), "")</f>
        <v/>
      </c>
      <c r="I1205" s="11">
        <f>IFERROR(_xll.ciqfunctions.udf.CIQ(mh_ticker, "IQ_MINORITY_INTEREST", , B1205), "")</f>
        <v/>
      </c>
      <c r="J1205" s="11">
        <f>IFERROR(_xll.ciqfunctions.udf.CIQ(mh_ticker, "IQ_EQUITY_METHOD", , B1205), "")</f>
        <v/>
      </c>
      <c r="K1205" s="11">
        <f>IFERROR(_xll.ciqfunctions.udf.CIQ(mh_ticker, "IQ_LT_Mark_Securities", , B1205), "")</f>
        <v/>
      </c>
      <c r="L1205" s="12">
        <f>IFERROR(C1205*D1205, "")</f>
        <v/>
      </c>
      <c r="M1205" s="12">
        <f>IFERROR(L1205-E1205-F1205+G1205+H1205+I1205-J1205-K1205, "")</f>
        <v/>
      </c>
      <c r="N1205" s="11">
        <f>IFERROR(_xll.ciqfunctions.udf.CIQ(mh_ticker, "IQ_EBITDA_EST", IQ_NTM, B1205, , , "USD"), "")</f>
        <v/>
      </c>
      <c r="O1205" s="13">
        <f>IFERROR(M1205/N1205, "")</f>
        <v/>
      </c>
    </row>
    <row r="1206">
      <c r="B1206" s="8" t="n"/>
      <c r="C1206" s="9">
        <f>IFERROR(_xll.ciqfunctions.udf.CIQ(mh_ticker, "IQ_LASTSALEPRICE", B1206), "")</f>
        <v/>
      </c>
      <c r="D1206" s="10">
        <f>IFERROR(_xll.ciqfunctions.udf.CIQ(mh_ticker, "IQ_SHARESOUTSTANDING_OUT", B1206), "")</f>
        <v/>
      </c>
      <c r="E1206" s="11">
        <f>IFERROR(_xll.ciqfunctions.udf.CIQ(mh_ticker, "IQ_CASH_EQUIV", , B1206), "")</f>
        <v/>
      </c>
      <c r="F1206" s="11">
        <f>IFERROR(_xll.ciqfunctions.udf.CIQ(mh_ticker, "IQ_ST_INVEST", , B1206), "")</f>
        <v/>
      </c>
      <c r="G1206" s="11">
        <f>IFERROR(_xll.ciqfunctions.udf.CIQ(mh_ticker, "IQ_TOTAL_DEBT_EXCL_OPER_LEASES", , B1206), "")</f>
        <v/>
      </c>
      <c r="H1206" s="11">
        <f>IFERROR(_xll.ciqfunctions.udf.CIQ(mh_ticker, "IQ_PREF_EQUITY", , B1206), "")</f>
        <v/>
      </c>
      <c r="I1206" s="11">
        <f>IFERROR(_xll.ciqfunctions.udf.CIQ(mh_ticker, "IQ_MINORITY_INTEREST", , B1206), "")</f>
        <v/>
      </c>
      <c r="J1206" s="11">
        <f>IFERROR(_xll.ciqfunctions.udf.CIQ(mh_ticker, "IQ_EQUITY_METHOD", , B1206), "")</f>
        <v/>
      </c>
      <c r="K1206" s="11">
        <f>IFERROR(_xll.ciqfunctions.udf.CIQ(mh_ticker, "IQ_LT_Mark_Securities", , B1206), "")</f>
        <v/>
      </c>
      <c r="L1206" s="12">
        <f>IFERROR(C1206*D1206, "")</f>
        <v/>
      </c>
      <c r="M1206" s="12">
        <f>IFERROR(L1206-E1206-F1206+G1206+H1206+I1206-J1206-K1206, "")</f>
        <v/>
      </c>
      <c r="N1206" s="11">
        <f>IFERROR(_xll.ciqfunctions.udf.CIQ(mh_ticker, "IQ_EBITDA_EST", IQ_NTM, B1206, , , "USD"), "")</f>
        <v/>
      </c>
      <c r="O1206" s="13">
        <f>IFERROR(M1206/N1206, "")</f>
        <v/>
      </c>
    </row>
    <row r="1207">
      <c r="B1207" s="8" t="n"/>
      <c r="C1207" s="9">
        <f>IFERROR(_xll.ciqfunctions.udf.CIQ(mh_ticker, "IQ_LASTSALEPRICE", B1207), "")</f>
        <v/>
      </c>
      <c r="D1207" s="10">
        <f>IFERROR(_xll.ciqfunctions.udf.CIQ(mh_ticker, "IQ_SHARESOUTSTANDING_OUT", B1207), "")</f>
        <v/>
      </c>
      <c r="E1207" s="11">
        <f>IFERROR(_xll.ciqfunctions.udf.CIQ(mh_ticker, "IQ_CASH_EQUIV", , B1207), "")</f>
        <v/>
      </c>
      <c r="F1207" s="11">
        <f>IFERROR(_xll.ciqfunctions.udf.CIQ(mh_ticker, "IQ_ST_INVEST", , B1207), "")</f>
        <v/>
      </c>
      <c r="G1207" s="11">
        <f>IFERROR(_xll.ciqfunctions.udf.CIQ(mh_ticker, "IQ_TOTAL_DEBT_EXCL_OPER_LEASES", , B1207), "")</f>
        <v/>
      </c>
      <c r="H1207" s="11">
        <f>IFERROR(_xll.ciqfunctions.udf.CIQ(mh_ticker, "IQ_PREF_EQUITY", , B1207), "")</f>
        <v/>
      </c>
      <c r="I1207" s="11">
        <f>IFERROR(_xll.ciqfunctions.udf.CIQ(mh_ticker, "IQ_MINORITY_INTEREST", , B1207), "")</f>
        <v/>
      </c>
      <c r="J1207" s="11">
        <f>IFERROR(_xll.ciqfunctions.udf.CIQ(mh_ticker, "IQ_EQUITY_METHOD", , B1207), "")</f>
        <v/>
      </c>
      <c r="K1207" s="11">
        <f>IFERROR(_xll.ciqfunctions.udf.CIQ(mh_ticker, "IQ_LT_Mark_Securities", , B1207), "")</f>
        <v/>
      </c>
      <c r="L1207" s="12">
        <f>IFERROR(C1207*D1207, "")</f>
        <v/>
      </c>
      <c r="M1207" s="12">
        <f>IFERROR(L1207-E1207-F1207+G1207+H1207+I1207-J1207-K1207, "")</f>
        <v/>
      </c>
      <c r="N1207" s="11">
        <f>IFERROR(_xll.ciqfunctions.udf.CIQ(mh_ticker, "IQ_EBITDA_EST", IQ_NTM, B1207, , , "USD"), "")</f>
        <v/>
      </c>
      <c r="O1207" s="13">
        <f>IFERROR(M1207/N1207, "")</f>
        <v/>
      </c>
    </row>
    <row r="1208">
      <c r="B1208" s="8" t="n"/>
      <c r="C1208" s="9">
        <f>IFERROR(_xll.ciqfunctions.udf.CIQ(mh_ticker, "IQ_LASTSALEPRICE", B1208), "")</f>
        <v/>
      </c>
      <c r="D1208" s="10">
        <f>IFERROR(_xll.ciqfunctions.udf.CIQ(mh_ticker, "IQ_SHARESOUTSTANDING_OUT", B1208), "")</f>
        <v/>
      </c>
      <c r="E1208" s="11">
        <f>IFERROR(_xll.ciqfunctions.udf.CIQ(mh_ticker, "IQ_CASH_EQUIV", , B1208), "")</f>
        <v/>
      </c>
      <c r="F1208" s="11">
        <f>IFERROR(_xll.ciqfunctions.udf.CIQ(mh_ticker, "IQ_ST_INVEST", , B1208), "")</f>
        <v/>
      </c>
      <c r="G1208" s="11">
        <f>IFERROR(_xll.ciqfunctions.udf.CIQ(mh_ticker, "IQ_TOTAL_DEBT_EXCL_OPER_LEASES", , B1208), "")</f>
        <v/>
      </c>
      <c r="H1208" s="11">
        <f>IFERROR(_xll.ciqfunctions.udf.CIQ(mh_ticker, "IQ_PREF_EQUITY", , B1208), "")</f>
        <v/>
      </c>
      <c r="I1208" s="11">
        <f>IFERROR(_xll.ciqfunctions.udf.CIQ(mh_ticker, "IQ_MINORITY_INTEREST", , B1208), "")</f>
        <v/>
      </c>
      <c r="J1208" s="11">
        <f>IFERROR(_xll.ciqfunctions.udf.CIQ(mh_ticker, "IQ_EQUITY_METHOD", , B1208), "")</f>
        <v/>
      </c>
      <c r="K1208" s="11">
        <f>IFERROR(_xll.ciqfunctions.udf.CIQ(mh_ticker, "IQ_LT_Mark_Securities", , B1208), "")</f>
        <v/>
      </c>
      <c r="L1208" s="12">
        <f>IFERROR(C1208*D1208, "")</f>
        <v/>
      </c>
      <c r="M1208" s="12">
        <f>IFERROR(L1208-E1208-F1208+G1208+H1208+I1208-J1208-K1208, "")</f>
        <v/>
      </c>
      <c r="N1208" s="11">
        <f>IFERROR(_xll.ciqfunctions.udf.CIQ(mh_ticker, "IQ_EBITDA_EST", IQ_NTM, B1208, , , "USD"), "")</f>
        <v/>
      </c>
      <c r="O1208" s="13">
        <f>IFERROR(M1208/N1208, "")</f>
        <v/>
      </c>
    </row>
    <row r="1209">
      <c r="B1209" s="8" t="n"/>
      <c r="C1209" s="9">
        <f>IFERROR(_xll.ciqfunctions.udf.CIQ(mh_ticker, "IQ_LASTSALEPRICE", B1209), "")</f>
        <v/>
      </c>
      <c r="D1209" s="10">
        <f>IFERROR(_xll.ciqfunctions.udf.CIQ(mh_ticker, "IQ_SHARESOUTSTANDING_OUT", B1209), "")</f>
        <v/>
      </c>
      <c r="E1209" s="11">
        <f>IFERROR(_xll.ciqfunctions.udf.CIQ(mh_ticker, "IQ_CASH_EQUIV", , B1209), "")</f>
        <v/>
      </c>
      <c r="F1209" s="11">
        <f>IFERROR(_xll.ciqfunctions.udf.CIQ(mh_ticker, "IQ_ST_INVEST", , B1209), "")</f>
        <v/>
      </c>
      <c r="G1209" s="11">
        <f>IFERROR(_xll.ciqfunctions.udf.CIQ(mh_ticker, "IQ_TOTAL_DEBT_EXCL_OPER_LEASES", , B1209), "")</f>
        <v/>
      </c>
      <c r="H1209" s="11">
        <f>IFERROR(_xll.ciqfunctions.udf.CIQ(mh_ticker, "IQ_PREF_EQUITY", , B1209), "")</f>
        <v/>
      </c>
      <c r="I1209" s="11">
        <f>IFERROR(_xll.ciqfunctions.udf.CIQ(mh_ticker, "IQ_MINORITY_INTEREST", , B1209), "")</f>
        <v/>
      </c>
      <c r="J1209" s="11">
        <f>IFERROR(_xll.ciqfunctions.udf.CIQ(mh_ticker, "IQ_EQUITY_METHOD", , B1209), "")</f>
        <v/>
      </c>
      <c r="K1209" s="11">
        <f>IFERROR(_xll.ciqfunctions.udf.CIQ(mh_ticker, "IQ_LT_Mark_Securities", , B1209), "")</f>
        <v/>
      </c>
      <c r="L1209" s="12">
        <f>IFERROR(C1209*D1209, "")</f>
        <v/>
      </c>
      <c r="M1209" s="12">
        <f>IFERROR(L1209-E1209-F1209+G1209+H1209+I1209-J1209-K1209, "")</f>
        <v/>
      </c>
      <c r="N1209" s="11">
        <f>IFERROR(_xll.ciqfunctions.udf.CIQ(mh_ticker, "IQ_EBITDA_EST", IQ_NTM, B1209, , , "USD"), "")</f>
        <v/>
      </c>
      <c r="O1209" s="13">
        <f>IFERROR(M1209/N1209, "")</f>
        <v/>
      </c>
    </row>
    <row r="1210">
      <c r="B1210" s="8" t="n"/>
      <c r="C1210" s="9">
        <f>IFERROR(_xll.ciqfunctions.udf.CIQ(mh_ticker, "IQ_LASTSALEPRICE", B1210), "")</f>
        <v/>
      </c>
      <c r="D1210" s="10">
        <f>IFERROR(_xll.ciqfunctions.udf.CIQ(mh_ticker, "IQ_SHARESOUTSTANDING_OUT", B1210), "")</f>
        <v/>
      </c>
      <c r="E1210" s="11">
        <f>IFERROR(_xll.ciqfunctions.udf.CIQ(mh_ticker, "IQ_CASH_EQUIV", , B1210), "")</f>
        <v/>
      </c>
      <c r="F1210" s="11">
        <f>IFERROR(_xll.ciqfunctions.udf.CIQ(mh_ticker, "IQ_ST_INVEST", , B1210), "")</f>
        <v/>
      </c>
      <c r="G1210" s="11">
        <f>IFERROR(_xll.ciqfunctions.udf.CIQ(mh_ticker, "IQ_TOTAL_DEBT_EXCL_OPER_LEASES", , B1210), "")</f>
        <v/>
      </c>
      <c r="H1210" s="11">
        <f>IFERROR(_xll.ciqfunctions.udf.CIQ(mh_ticker, "IQ_PREF_EQUITY", , B1210), "")</f>
        <v/>
      </c>
      <c r="I1210" s="11">
        <f>IFERROR(_xll.ciqfunctions.udf.CIQ(mh_ticker, "IQ_MINORITY_INTEREST", , B1210), "")</f>
        <v/>
      </c>
      <c r="J1210" s="11">
        <f>IFERROR(_xll.ciqfunctions.udf.CIQ(mh_ticker, "IQ_EQUITY_METHOD", , B1210), "")</f>
        <v/>
      </c>
      <c r="K1210" s="11">
        <f>IFERROR(_xll.ciqfunctions.udf.CIQ(mh_ticker, "IQ_LT_Mark_Securities", , B1210), "")</f>
        <v/>
      </c>
      <c r="L1210" s="12">
        <f>IFERROR(C1210*D1210, "")</f>
        <v/>
      </c>
      <c r="M1210" s="12">
        <f>IFERROR(L1210-E1210-F1210+G1210+H1210+I1210-J1210-K1210, "")</f>
        <v/>
      </c>
      <c r="N1210" s="11">
        <f>IFERROR(_xll.ciqfunctions.udf.CIQ(mh_ticker, "IQ_EBITDA_EST", IQ_NTM, B1210, , , "USD"), "")</f>
        <v/>
      </c>
      <c r="O1210" s="13">
        <f>IFERROR(M1210/N1210, "")</f>
        <v/>
      </c>
    </row>
    <row r="1211">
      <c r="B1211" s="8" t="n"/>
      <c r="C1211" s="9">
        <f>IFERROR(_xll.ciqfunctions.udf.CIQ(mh_ticker, "IQ_LASTSALEPRICE", B1211), "")</f>
        <v/>
      </c>
      <c r="D1211" s="10">
        <f>IFERROR(_xll.ciqfunctions.udf.CIQ(mh_ticker, "IQ_SHARESOUTSTANDING_OUT", B1211), "")</f>
        <v/>
      </c>
      <c r="E1211" s="11">
        <f>IFERROR(_xll.ciqfunctions.udf.CIQ(mh_ticker, "IQ_CASH_EQUIV", , B1211), "")</f>
        <v/>
      </c>
      <c r="F1211" s="11">
        <f>IFERROR(_xll.ciqfunctions.udf.CIQ(mh_ticker, "IQ_ST_INVEST", , B1211), "")</f>
        <v/>
      </c>
      <c r="G1211" s="11">
        <f>IFERROR(_xll.ciqfunctions.udf.CIQ(mh_ticker, "IQ_TOTAL_DEBT_EXCL_OPER_LEASES", , B1211), "")</f>
        <v/>
      </c>
      <c r="H1211" s="11">
        <f>IFERROR(_xll.ciqfunctions.udf.CIQ(mh_ticker, "IQ_PREF_EQUITY", , B1211), "")</f>
        <v/>
      </c>
      <c r="I1211" s="11">
        <f>IFERROR(_xll.ciqfunctions.udf.CIQ(mh_ticker, "IQ_MINORITY_INTEREST", , B1211), "")</f>
        <v/>
      </c>
      <c r="J1211" s="11">
        <f>IFERROR(_xll.ciqfunctions.udf.CIQ(mh_ticker, "IQ_EQUITY_METHOD", , B1211), "")</f>
        <v/>
      </c>
      <c r="K1211" s="11">
        <f>IFERROR(_xll.ciqfunctions.udf.CIQ(mh_ticker, "IQ_LT_Mark_Securities", , B1211), "")</f>
        <v/>
      </c>
      <c r="L1211" s="12">
        <f>IFERROR(C1211*D1211, "")</f>
        <v/>
      </c>
      <c r="M1211" s="12">
        <f>IFERROR(L1211-E1211-F1211+G1211+H1211+I1211-J1211-K1211, "")</f>
        <v/>
      </c>
      <c r="N1211" s="11">
        <f>IFERROR(_xll.ciqfunctions.udf.CIQ(mh_ticker, "IQ_EBITDA_EST", IQ_NTM, B1211, , , "USD"), "")</f>
        <v/>
      </c>
      <c r="O1211" s="13">
        <f>IFERROR(M1211/N1211, "")</f>
        <v/>
      </c>
    </row>
    <row r="1212">
      <c r="B1212" s="8" t="n"/>
      <c r="C1212" s="9">
        <f>IFERROR(_xll.ciqfunctions.udf.CIQ(mh_ticker, "IQ_LASTSALEPRICE", B1212), "")</f>
        <v/>
      </c>
      <c r="D1212" s="10">
        <f>IFERROR(_xll.ciqfunctions.udf.CIQ(mh_ticker, "IQ_SHARESOUTSTANDING_OUT", B1212), "")</f>
        <v/>
      </c>
      <c r="E1212" s="11">
        <f>IFERROR(_xll.ciqfunctions.udf.CIQ(mh_ticker, "IQ_CASH_EQUIV", , B1212), "")</f>
        <v/>
      </c>
      <c r="F1212" s="11">
        <f>IFERROR(_xll.ciqfunctions.udf.CIQ(mh_ticker, "IQ_ST_INVEST", , B1212), "")</f>
        <v/>
      </c>
      <c r="G1212" s="11">
        <f>IFERROR(_xll.ciqfunctions.udf.CIQ(mh_ticker, "IQ_TOTAL_DEBT_EXCL_OPER_LEASES", , B1212), "")</f>
        <v/>
      </c>
      <c r="H1212" s="11">
        <f>IFERROR(_xll.ciqfunctions.udf.CIQ(mh_ticker, "IQ_PREF_EQUITY", , B1212), "")</f>
        <v/>
      </c>
      <c r="I1212" s="11">
        <f>IFERROR(_xll.ciqfunctions.udf.CIQ(mh_ticker, "IQ_MINORITY_INTEREST", , B1212), "")</f>
        <v/>
      </c>
      <c r="J1212" s="11">
        <f>IFERROR(_xll.ciqfunctions.udf.CIQ(mh_ticker, "IQ_EQUITY_METHOD", , B1212), "")</f>
        <v/>
      </c>
      <c r="K1212" s="11">
        <f>IFERROR(_xll.ciqfunctions.udf.CIQ(mh_ticker, "IQ_LT_Mark_Securities", , B1212), "")</f>
        <v/>
      </c>
      <c r="L1212" s="12">
        <f>IFERROR(C1212*D1212, "")</f>
        <v/>
      </c>
      <c r="M1212" s="12">
        <f>IFERROR(L1212-E1212-F1212+G1212+H1212+I1212-J1212-K1212, "")</f>
        <v/>
      </c>
      <c r="N1212" s="11">
        <f>IFERROR(_xll.ciqfunctions.udf.CIQ(mh_ticker, "IQ_EBITDA_EST", IQ_NTM, B1212, , , "USD"), "")</f>
        <v/>
      </c>
      <c r="O1212" s="13">
        <f>IFERROR(M1212/N1212, "")</f>
        <v/>
      </c>
    </row>
    <row r="1213">
      <c r="B1213" s="8" t="n"/>
      <c r="C1213" s="9">
        <f>IFERROR(_xll.ciqfunctions.udf.CIQ(mh_ticker, "IQ_LASTSALEPRICE", B1213), "")</f>
        <v/>
      </c>
      <c r="D1213" s="10">
        <f>IFERROR(_xll.ciqfunctions.udf.CIQ(mh_ticker, "IQ_SHARESOUTSTANDING_OUT", B1213), "")</f>
        <v/>
      </c>
      <c r="E1213" s="11">
        <f>IFERROR(_xll.ciqfunctions.udf.CIQ(mh_ticker, "IQ_CASH_EQUIV", , B1213), "")</f>
        <v/>
      </c>
      <c r="F1213" s="11">
        <f>IFERROR(_xll.ciqfunctions.udf.CIQ(mh_ticker, "IQ_ST_INVEST", , B1213), "")</f>
        <v/>
      </c>
      <c r="G1213" s="11">
        <f>IFERROR(_xll.ciqfunctions.udf.CIQ(mh_ticker, "IQ_TOTAL_DEBT_EXCL_OPER_LEASES", , B1213), "")</f>
        <v/>
      </c>
      <c r="H1213" s="11">
        <f>IFERROR(_xll.ciqfunctions.udf.CIQ(mh_ticker, "IQ_PREF_EQUITY", , B1213), "")</f>
        <v/>
      </c>
      <c r="I1213" s="11">
        <f>IFERROR(_xll.ciqfunctions.udf.CIQ(mh_ticker, "IQ_MINORITY_INTEREST", , B1213), "")</f>
        <v/>
      </c>
      <c r="J1213" s="11">
        <f>IFERROR(_xll.ciqfunctions.udf.CIQ(mh_ticker, "IQ_EQUITY_METHOD", , B1213), "")</f>
        <v/>
      </c>
      <c r="K1213" s="11">
        <f>IFERROR(_xll.ciqfunctions.udf.CIQ(mh_ticker, "IQ_LT_Mark_Securities", , B1213), "")</f>
        <v/>
      </c>
      <c r="L1213" s="12">
        <f>IFERROR(C1213*D1213, "")</f>
        <v/>
      </c>
      <c r="M1213" s="12">
        <f>IFERROR(L1213-E1213-F1213+G1213+H1213+I1213-J1213-K1213, "")</f>
        <v/>
      </c>
      <c r="N1213" s="11">
        <f>IFERROR(_xll.ciqfunctions.udf.CIQ(mh_ticker, "IQ_EBITDA_EST", IQ_NTM, B1213, , , "USD"), "")</f>
        <v/>
      </c>
      <c r="O1213" s="13">
        <f>IFERROR(M1213/N1213, "")</f>
        <v/>
      </c>
    </row>
    <row r="1214">
      <c r="B1214" s="8" t="n"/>
      <c r="C1214" s="9">
        <f>IFERROR(_xll.ciqfunctions.udf.CIQ(mh_ticker, "IQ_LASTSALEPRICE", B1214), "")</f>
        <v/>
      </c>
      <c r="D1214" s="10">
        <f>IFERROR(_xll.ciqfunctions.udf.CIQ(mh_ticker, "IQ_SHARESOUTSTANDING_OUT", B1214), "")</f>
        <v/>
      </c>
      <c r="E1214" s="11">
        <f>IFERROR(_xll.ciqfunctions.udf.CIQ(mh_ticker, "IQ_CASH_EQUIV", , B1214), "")</f>
        <v/>
      </c>
      <c r="F1214" s="11">
        <f>IFERROR(_xll.ciqfunctions.udf.CIQ(mh_ticker, "IQ_ST_INVEST", , B1214), "")</f>
        <v/>
      </c>
      <c r="G1214" s="11">
        <f>IFERROR(_xll.ciqfunctions.udf.CIQ(mh_ticker, "IQ_TOTAL_DEBT_EXCL_OPER_LEASES", , B1214), "")</f>
        <v/>
      </c>
      <c r="H1214" s="11">
        <f>IFERROR(_xll.ciqfunctions.udf.CIQ(mh_ticker, "IQ_PREF_EQUITY", , B1214), "")</f>
        <v/>
      </c>
      <c r="I1214" s="11">
        <f>IFERROR(_xll.ciqfunctions.udf.CIQ(mh_ticker, "IQ_MINORITY_INTEREST", , B1214), "")</f>
        <v/>
      </c>
      <c r="J1214" s="11">
        <f>IFERROR(_xll.ciqfunctions.udf.CIQ(mh_ticker, "IQ_EQUITY_METHOD", , B1214), "")</f>
        <v/>
      </c>
      <c r="K1214" s="11">
        <f>IFERROR(_xll.ciqfunctions.udf.CIQ(mh_ticker, "IQ_LT_Mark_Securities", , B1214), "")</f>
        <v/>
      </c>
      <c r="L1214" s="12">
        <f>IFERROR(C1214*D1214, "")</f>
        <v/>
      </c>
      <c r="M1214" s="12">
        <f>IFERROR(L1214-E1214-F1214+G1214+H1214+I1214-J1214-K1214, "")</f>
        <v/>
      </c>
      <c r="N1214" s="11">
        <f>IFERROR(_xll.ciqfunctions.udf.CIQ(mh_ticker, "IQ_EBITDA_EST", IQ_NTM, B1214, , , "USD"), "")</f>
        <v/>
      </c>
      <c r="O1214" s="13">
        <f>IFERROR(M1214/N1214, "")</f>
        <v/>
      </c>
    </row>
    <row r="1215">
      <c r="B1215" s="8" t="n"/>
      <c r="C1215" s="9">
        <f>IFERROR(_xll.ciqfunctions.udf.CIQ(mh_ticker, "IQ_LASTSALEPRICE", B1215), "")</f>
        <v/>
      </c>
      <c r="D1215" s="10">
        <f>IFERROR(_xll.ciqfunctions.udf.CIQ(mh_ticker, "IQ_SHARESOUTSTANDING_OUT", B1215), "")</f>
        <v/>
      </c>
      <c r="E1215" s="11">
        <f>IFERROR(_xll.ciqfunctions.udf.CIQ(mh_ticker, "IQ_CASH_EQUIV", , B1215), "")</f>
        <v/>
      </c>
      <c r="F1215" s="11">
        <f>IFERROR(_xll.ciqfunctions.udf.CIQ(mh_ticker, "IQ_ST_INVEST", , B1215), "")</f>
        <v/>
      </c>
      <c r="G1215" s="11">
        <f>IFERROR(_xll.ciqfunctions.udf.CIQ(mh_ticker, "IQ_TOTAL_DEBT_EXCL_OPER_LEASES", , B1215), "")</f>
        <v/>
      </c>
      <c r="H1215" s="11">
        <f>IFERROR(_xll.ciqfunctions.udf.CIQ(mh_ticker, "IQ_PREF_EQUITY", , B1215), "")</f>
        <v/>
      </c>
      <c r="I1215" s="11">
        <f>IFERROR(_xll.ciqfunctions.udf.CIQ(mh_ticker, "IQ_MINORITY_INTEREST", , B1215), "")</f>
        <v/>
      </c>
      <c r="J1215" s="11">
        <f>IFERROR(_xll.ciqfunctions.udf.CIQ(mh_ticker, "IQ_EQUITY_METHOD", , B1215), "")</f>
        <v/>
      </c>
      <c r="K1215" s="11">
        <f>IFERROR(_xll.ciqfunctions.udf.CIQ(mh_ticker, "IQ_LT_Mark_Securities", , B1215), "")</f>
        <v/>
      </c>
      <c r="L1215" s="12">
        <f>IFERROR(C1215*D1215, "")</f>
        <v/>
      </c>
      <c r="M1215" s="12">
        <f>IFERROR(L1215-E1215-F1215+G1215+H1215+I1215-J1215-K1215, "")</f>
        <v/>
      </c>
      <c r="N1215" s="11">
        <f>IFERROR(_xll.ciqfunctions.udf.CIQ(mh_ticker, "IQ_EBITDA_EST", IQ_NTM, B1215, , , "USD"), "")</f>
        <v/>
      </c>
      <c r="O1215" s="13">
        <f>IFERROR(M1215/N1215, "")</f>
        <v/>
      </c>
    </row>
    <row r="1216">
      <c r="B1216" s="8" t="n"/>
      <c r="C1216" s="9">
        <f>IFERROR(_xll.ciqfunctions.udf.CIQ(mh_ticker, "IQ_LASTSALEPRICE", B1216), "")</f>
        <v/>
      </c>
      <c r="D1216" s="10">
        <f>IFERROR(_xll.ciqfunctions.udf.CIQ(mh_ticker, "IQ_SHARESOUTSTANDING_OUT", B1216), "")</f>
        <v/>
      </c>
      <c r="E1216" s="11">
        <f>IFERROR(_xll.ciqfunctions.udf.CIQ(mh_ticker, "IQ_CASH_EQUIV", , B1216), "")</f>
        <v/>
      </c>
      <c r="F1216" s="11">
        <f>IFERROR(_xll.ciqfunctions.udf.CIQ(mh_ticker, "IQ_ST_INVEST", , B1216), "")</f>
        <v/>
      </c>
      <c r="G1216" s="11">
        <f>IFERROR(_xll.ciqfunctions.udf.CIQ(mh_ticker, "IQ_TOTAL_DEBT_EXCL_OPER_LEASES", , B1216), "")</f>
        <v/>
      </c>
      <c r="H1216" s="11">
        <f>IFERROR(_xll.ciqfunctions.udf.CIQ(mh_ticker, "IQ_PREF_EQUITY", , B1216), "")</f>
        <v/>
      </c>
      <c r="I1216" s="11">
        <f>IFERROR(_xll.ciqfunctions.udf.CIQ(mh_ticker, "IQ_MINORITY_INTEREST", , B1216), "")</f>
        <v/>
      </c>
      <c r="J1216" s="11">
        <f>IFERROR(_xll.ciqfunctions.udf.CIQ(mh_ticker, "IQ_EQUITY_METHOD", , B1216), "")</f>
        <v/>
      </c>
      <c r="K1216" s="11">
        <f>IFERROR(_xll.ciqfunctions.udf.CIQ(mh_ticker, "IQ_LT_Mark_Securities", , B1216), "")</f>
        <v/>
      </c>
      <c r="L1216" s="12">
        <f>IFERROR(C1216*D1216, "")</f>
        <v/>
      </c>
      <c r="M1216" s="12">
        <f>IFERROR(L1216-E1216-F1216+G1216+H1216+I1216-J1216-K1216, "")</f>
        <v/>
      </c>
      <c r="N1216" s="11">
        <f>IFERROR(_xll.ciqfunctions.udf.CIQ(mh_ticker, "IQ_EBITDA_EST", IQ_NTM, B1216, , , "USD"), "")</f>
        <v/>
      </c>
      <c r="O1216" s="13">
        <f>IFERROR(M1216/N1216, "")</f>
        <v/>
      </c>
    </row>
    <row r="1217">
      <c r="B1217" s="8" t="n"/>
      <c r="C1217" s="9">
        <f>IFERROR(_xll.ciqfunctions.udf.CIQ(mh_ticker, "IQ_LASTSALEPRICE", B1217), "")</f>
        <v/>
      </c>
      <c r="D1217" s="10">
        <f>IFERROR(_xll.ciqfunctions.udf.CIQ(mh_ticker, "IQ_SHARESOUTSTANDING_OUT", B1217), "")</f>
        <v/>
      </c>
      <c r="E1217" s="11">
        <f>IFERROR(_xll.ciqfunctions.udf.CIQ(mh_ticker, "IQ_CASH_EQUIV", , B1217), "")</f>
        <v/>
      </c>
      <c r="F1217" s="11">
        <f>IFERROR(_xll.ciqfunctions.udf.CIQ(mh_ticker, "IQ_ST_INVEST", , B1217), "")</f>
        <v/>
      </c>
      <c r="G1217" s="11">
        <f>IFERROR(_xll.ciqfunctions.udf.CIQ(mh_ticker, "IQ_TOTAL_DEBT_EXCL_OPER_LEASES", , B1217), "")</f>
        <v/>
      </c>
      <c r="H1217" s="11">
        <f>IFERROR(_xll.ciqfunctions.udf.CIQ(mh_ticker, "IQ_PREF_EQUITY", , B1217), "")</f>
        <v/>
      </c>
      <c r="I1217" s="11">
        <f>IFERROR(_xll.ciqfunctions.udf.CIQ(mh_ticker, "IQ_MINORITY_INTEREST", , B1217), "")</f>
        <v/>
      </c>
      <c r="J1217" s="11">
        <f>IFERROR(_xll.ciqfunctions.udf.CIQ(mh_ticker, "IQ_EQUITY_METHOD", , B1217), "")</f>
        <v/>
      </c>
      <c r="K1217" s="11">
        <f>IFERROR(_xll.ciqfunctions.udf.CIQ(mh_ticker, "IQ_LT_Mark_Securities", , B1217), "")</f>
        <v/>
      </c>
      <c r="L1217" s="12">
        <f>IFERROR(C1217*D1217, "")</f>
        <v/>
      </c>
      <c r="M1217" s="12">
        <f>IFERROR(L1217-E1217-F1217+G1217+H1217+I1217-J1217-K1217, "")</f>
        <v/>
      </c>
      <c r="N1217" s="11">
        <f>IFERROR(_xll.ciqfunctions.udf.CIQ(mh_ticker, "IQ_EBITDA_EST", IQ_NTM, B1217, , , "USD"), "")</f>
        <v/>
      </c>
      <c r="O1217" s="13">
        <f>IFERROR(M1217/N1217, "")</f>
        <v/>
      </c>
    </row>
    <row r="1218">
      <c r="B1218" s="8" t="n"/>
      <c r="C1218" s="9">
        <f>IFERROR(_xll.ciqfunctions.udf.CIQ(mh_ticker, "IQ_LASTSALEPRICE", B1218), "")</f>
        <v/>
      </c>
      <c r="D1218" s="10">
        <f>IFERROR(_xll.ciqfunctions.udf.CIQ(mh_ticker, "IQ_SHARESOUTSTANDING_OUT", B1218), "")</f>
        <v/>
      </c>
      <c r="E1218" s="11">
        <f>IFERROR(_xll.ciqfunctions.udf.CIQ(mh_ticker, "IQ_CASH_EQUIV", , B1218), "")</f>
        <v/>
      </c>
      <c r="F1218" s="11">
        <f>IFERROR(_xll.ciqfunctions.udf.CIQ(mh_ticker, "IQ_ST_INVEST", , B1218), "")</f>
        <v/>
      </c>
      <c r="G1218" s="11">
        <f>IFERROR(_xll.ciqfunctions.udf.CIQ(mh_ticker, "IQ_TOTAL_DEBT_EXCL_OPER_LEASES", , B1218), "")</f>
        <v/>
      </c>
      <c r="H1218" s="11">
        <f>IFERROR(_xll.ciqfunctions.udf.CIQ(mh_ticker, "IQ_PREF_EQUITY", , B1218), "")</f>
        <v/>
      </c>
      <c r="I1218" s="11">
        <f>IFERROR(_xll.ciqfunctions.udf.CIQ(mh_ticker, "IQ_MINORITY_INTEREST", , B1218), "")</f>
        <v/>
      </c>
      <c r="J1218" s="11">
        <f>IFERROR(_xll.ciqfunctions.udf.CIQ(mh_ticker, "IQ_EQUITY_METHOD", , B1218), "")</f>
        <v/>
      </c>
      <c r="K1218" s="11">
        <f>IFERROR(_xll.ciqfunctions.udf.CIQ(mh_ticker, "IQ_LT_Mark_Securities", , B1218), "")</f>
        <v/>
      </c>
      <c r="L1218" s="12">
        <f>IFERROR(C1218*D1218, "")</f>
        <v/>
      </c>
      <c r="M1218" s="12">
        <f>IFERROR(L1218-E1218-F1218+G1218+H1218+I1218-J1218-K1218, "")</f>
        <v/>
      </c>
      <c r="N1218" s="11">
        <f>IFERROR(_xll.ciqfunctions.udf.CIQ(mh_ticker, "IQ_EBITDA_EST", IQ_NTM, B1218, , , "USD"), "")</f>
        <v/>
      </c>
      <c r="O1218" s="13">
        <f>IFERROR(M1218/N1218, "")</f>
        <v/>
      </c>
    </row>
    <row r="1219">
      <c r="B1219" s="8" t="n"/>
      <c r="C1219" s="9">
        <f>IFERROR(_xll.ciqfunctions.udf.CIQ(mh_ticker, "IQ_LASTSALEPRICE", B1219), "")</f>
        <v/>
      </c>
      <c r="D1219" s="10">
        <f>IFERROR(_xll.ciqfunctions.udf.CIQ(mh_ticker, "IQ_SHARESOUTSTANDING_OUT", B1219), "")</f>
        <v/>
      </c>
      <c r="E1219" s="11">
        <f>IFERROR(_xll.ciqfunctions.udf.CIQ(mh_ticker, "IQ_CASH_EQUIV", , B1219), "")</f>
        <v/>
      </c>
      <c r="F1219" s="11">
        <f>IFERROR(_xll.ciqfunctions.udf.CIQ(mh_ticker, "IQ_ST_INVEST", , B1219), "")</f>
        <v/>
      </c>
      <c r="G1219" s="11">
        <f>IFERROR(_xll.ciqfunctions.udf.CIQ(mh_ticker, "IQ_TOTAL_DEBT_EXCL_OPER_LEASES", , B1219), "")</f>
        <v/>
      </c>
      <c r="H1219" s="11">
        <f>IFERROR(_xll.ciqfunctions.udf.CIQ(mh_ticker, "IQ_PREF_EQUITY", , B1219), "")</f>
        <v/>
      </c>
      <c r="I1219" s="11">
        <f>IFERROR(_xll.ciqfunctions.udf.CIQ(mh_ticker, "IQ_MINORITY_INTEREST", , B1219), "")</f>
        <v/>
      </c>
      <c r="J1219" s="11">
        <f>IFERROR(_xll.ciqfunctions.udf.CIQ(mh_ticker, "IQ_EQUITY_METHOD", , B1219), "")</f>
        <v/>
      </c>
      <c r="K1219" s="11">
        <f>IFERROR(_xll.ciqfunctions.udf.CIQ(mh_ticker, "IQ_LT_Mark_Securities", , B1219), "")</f>
        <v/>
      </c>
      <c r="L1219" s="12">
        <f>IFERROR(C1219*D1219, "")</f>
        <v/>
      </c>
      <c r="M1219" s="12">
        <f>IFERROR(L1219-E1219-F1219+G1219+H1219+I1219-J1219-K1219, "")</f>
        <v/>
      </c>
      <c r="N1219" s="11">
        <f>IFERROR(_xll.ciqfunctions.udf.CIQ(mh_ticker, "IQ_EBITDA_EST", IQ_NTM, B1219, , , "USD"), "")</f>
        <v/>
      </c>
      <c r="O1219" s="13">
        <f>IFERROR(M1219/N1219, "")</f>
        <v/>
      </c>
    </row>
    <row r="1220">
      <c r="B1220" s="8" t="n"/>
      <c r="C1220" s="9">
        <f>IFERROR(_xll.ciqfunctions.udf.CIQ(mh_ticker, "IQ_LASTSALEPRICE", B1220), "")</f>
        <v/>
      </c>
      <c r="D1220" s="10">
        <f>IFERROR(_xll.ciqfunctions.udf.CIQ(mh_ticker, "IQ_SHARESOUTSTANDING_OUT", B1220), "")</f>
        <v/>
      </c>
      <c r="E1220" s="11">
        <f>IFERROR(_xll.ciqfunctions.udf.CIQ(mh_ticker, "IQ_CASH_EQUIV", , B1220), "")</f>
        <v/>
      </c>
      <c r="F1220" s="11">
        <f>IFERROR(_xll.ciqfunctions.udf.CIQ(mh_ticker, "IQ_ST_INVEST", , B1220), "")</f>
        <v/>
      </c>
      <c r="G1220" s="11">
        <f>IFERROR(_xll.ciqfunctions.udf.CIQ(mh_ticker, "IQ_TOTAL_DEBT_EXCL_OPER_LEASES", , B1220), "")</f>
        <v/>
      </c>
      <c r="H1220" s="11">
        <f>IFERROR(_xll.ciqfunctions.udf.CIQ(mh_ticker, "IQ_PREF_EQUITY", , B1220), "")</f>
        <v/>
      </c>
      <c r="I1220" s="11">
        <f>IFERROR(_xll.ciqfunctions.udf.CIQ(mh_ticker, "IQ_MINORITY_INTEREST", , B1220), "")</f>
        <v/>
      </c>
      <c r="J1220" s="11">
        <f>IFERROR(_xll.ciqfunctions.udf.CIQ(mh_ticker, "IQ_EQUITY_METHOD", , B1220), "")</f>
        <v/>
      </c>
      <c r="K1220" s="11">
        <f>IFERROR(_xll.ciqfunctions.udf.CIQ(mh_ticker, "IQ_LT_Mark_Securities", , B1220), "")</f>
        <v/>
      </c>
      <c r="L1220" s="12">
        <f>IFERROR(C1220*D1220, "")</f>
        <v/>
      </c>
      <c r="M1220" s="12">
        <f>IFERROR(L1220-E1220-F1220+G1220+H1220+I1220-J1220-K1220, "")</f>
        <v/>
      </c>
      <c r="N1220" s="11">
        <f>IFERROR(_xll.ciqfunctions.udf.CIQ(mh_ticker, "IQ_EBITDA_EST", IQ_NTM, B1220, , , "USD"), "")</f>
        <v/>
      </c>
      <c r="O1220" s="13">
        <f>IFERROR(M1220/N1220, "")</f>
        <v/>
      </c>
    </row>
    <row r="1221">
      <c r="B1221" s="8" t="n"/>
      <c r="C1221" s="9">
        <f>IFERROR(_xll.ciqfunctions.udf.CIQ(mh_ticker, "IQ_LASTSALEPRICE", B1221), "")</f>
        <v/>
      </c>
      <c r="D1221" s="10">
        <f>IFERROR(_xll.ciqfunctions.udf.CIQ(mh_ticker, "IQ_SHARESOUTSTANDING_OUT", B1221), "")</f>
        <v/>
      </c>
      <c r="E1221" s="11">
        <f>IFERROR(_xll.ciqfunctions.udf.CIQ(mh_ticker, "IQ_CASH_EQUIV", , B1221), "")</f>
        <v/>
      </c>
      <c r="F1221" s="11">
        <f>IFERROR(_xll.ciqfunctions.udf.CIQ(mh_ticker, "IQ_ST_INVEST", , B1221), "")</f>
        <v/>
      </c>
      <c r="G1221" s="11">
        <f>IFERROR(_xll.ciqfunctions.udf.CIQ(mh_ticker, "IQ_TOTAL_DEBT_EXCL_OPER_LEASES", , B1221), "")</f>
        <v/>
      </c>
      <c r="H1221" s="11">
        <f>IFERROR(_xll.ciqfunctions.udf.CIQ(mh_ticker, "IQ_PREF_EQUITY", , B1221), "")</f>
        <v/>
      </c>
      <c r="I1221" s="11">
        <f>IFERROR(_xll.ciqfunctions.udf.CIQ(mh_ticker, "IQ_MINORITY_INTEREST", , B1221), "")</f>
        <v/>
      </c>
      <c r="J1221" s="11">
        <f>IFERROR(_xll.ciqfunctions.udf.CIQ(mh_ticker, "IQ_EQUITY_METHOD", , B1221), "")</f>
        <v/>
      </c>
      <c r="K1221" s="11">
        <f>IFERROR(_xll.ciqfunctions.udf.CIQ(mh_ticker, "IQ_LT_Mark_Securities", , B1221), "")</f>
        <v/>
      </c>
      <c r="L1221" s="12">
        <f>IFERROR(C1221*D1221, "")</f>
        <v/>
      </c>
      <c r="M1221" s="12">
        <f>IFERROR(L1221-E1221-F1221+G1221+H1221+I1221-J1221-K1221, "")</f>
        <v/>
      </c>
      <c r="N1221" s="11">
        <f>IFERROR(_xll.ciqfunctions.udf.CIQ(mh_ticker, "IQ_EBITDA_EST", IQ_NTM, B1221, , , "USD"), "")</f>
        <v/>
      </c>
      <c r="O1221" s="13">
        <f>IFERROR(M1221/N1221, "")</f>
        <v/>
      </c>
    </row>
    <row r="1222">
      <c r="B1222" s="8" t="n"/>
      <c r="C1222" s="9">
        <f>IFERROR(_xll.ciqfunctions.udf.CIQ(mh_ticker, "IQ_LASTSALEPRICE", B1222), "")</f>
        <v/>
      </c>
      <c r="D1222" s="10">
        <f>IFERROR(_xll.ciqfunctions.udf.CIQ(mh_ticker, "IQ_SHARESOUTSTANDING_OUT", B1222), "")</f>
        <v/>
      </c>
      <c r="E1222" s="11">
        <f>IFERROR(_xll.ciqfunctions.udf.CIQ(mh_ticker, "IQ_CASH_EQUIV", , B1222), "")</f>
        <v/>
      </c>
      <c r="F1222" s="11">
        <f>IFERROR(_xll.ciqfunctions.udf.CIQ(mh_ticker, "IQ_ST_INVEST", , B1222), "")</f>
        <v/>
      </c>
      <c r="G1222" s="11">
        <f>IFERROR(_xll.ciqfunctions.udf.CIQ(mh_ticker, "IQ_TOTAL_DEBT_EXCL_OPER_LEASES", , B1222), "")</f>
        <v/>
      </c>
      <c r="H1222" s="11">
        <f>IFERROR(_xll.ciqfunctions.udf.CIQ(mh_ticker, "IQ_PREF_EQUITY", , B1222), "")</f>
        <v/>
      </c>
      <c r="I1222" s="11">
        <f>IFERROR(_xll.ciqfunctions.udf.CIQ(mh_ticker, "IQ_MINORITY_INTEREST", , B1222), "")</f>
        <v/>
      </c>
      <c r="J1222" s="11">
        <f>IFERROR(_xll.ciqfunctions.udf.CIQ(mh_ticker, "IQ_EQUITY_METHOD", , B1222), "")</f>
        <v/>
      </c>
      <c r="K1222" s="11">
        <f>IFERROR(_xll.ciqfunctions.udf.CIQ(mh_ticker, "IQ_LT_Mark_Securities", , B1222), "")</f>
        <v/>
      </c>
      <c r="L1222" s="12">
        <f>IFERROR(C1222*D1222, "")</f>
        <v/>
      </c>
      <c r="M1222" s="12">
        <f>IFERROR(L1222-E1222-F1222+G1222+H1222+I1222-J1222-K1222, "")</f>
        <v/>
      </c>
      <c r="N1222" s="11">
        <f>IFERROR(_xll.ciqfunctions.udf.CIQ(mh_ticker, "IQ_EBITDA_EST", IQ_NTM, B1222, , , "USD"), "")</f>
        <v/>
      </c>
      <c r="O1222" s="13">
        <f>IFERROR(M1222/N1222, "")</f>
        <v/>
      </c>
    </row>
    <row r="1223">
      <c r="B1223" s="8" t="n"/>
      <c r="C1223" s="9">
        <f>IFERROR(_xll.ciqfunctions.udf.CIQ(mh_ticker, "IQ_LASTSALEPRICE", B1223), "")</f>
        <v/>
      </c>
      <c r="D1223" s="10">
        <f>IFERROR(_xll.ciqfunctions.udf.CIQ(mh_ticker, "IQ_SHARESOUTSTANDING_OUT", B1223), "")</f>
        <v/>
      </c>
      <c r="E1223" s="11">
        <f>IFERROR(_xll.ciqfunctions.udf.CIQ(mh_ticker, "IQ_CASH_EQUIV", , B1223), "")</f>
        <v/>
      </c>
      <c r="F1223" s="11">
        <f>IFERROR(_xll.ciqfunctions.udf.CIQ(mh_ticker, "IQ_ST_INVEST", , B1223), "")</f>
        <v/>
      </c>
      <c r="G1223" s="11">
        <f>IFERROR(_xll.ciqfunctions.udf.CIQ(mh_ticker, "IQ_TOTAL_DEBT_EXCL_OPER_LEASES", , B1223), "")</f>
        <v/>
      </c>
      <c r="H1223" s="11">
        <f>IFERROR(_xll.ciqfunctions.udf.CIQ(mh_ticker, "IQ_PREF_EQUITY", , B1223), "")</f>
        <v/>
      </c>
      <c r="I1223" s="11">
        <f>IFERROR(_xll.ciqfunctions.udf.CIQ(mh_ticker, "IQ_MINORITY_INTEREST", , B1223), "")</f>
        <v/>
      </c>
      <c r="J1223" s="11">
        <f>IFERROR(_xll.ciqfunctions.udf.CIQ(mh_ticker, "IQ_EQUITY_METHOD", , B1223), "")</f>
        <v/>
      </c>
      <c r="K1223" s="11">
        <f>IFERROR(_xll.ciqfunctions.udf.CIQ(mh_ticker, "IQ_LT_Mark_Securities", , B1223), "")</f>
        <v/>
      </c>
      <c r="L1223" s="12">
        <f>IFERROR(C1223*D1223, "")</f>
        <v/>
      </c>
      <c r="M1223" s="12">
        <f>IFERROR(L1223-E1223-F1223+G1223+H1223+I1223-J1223-K1223, "")</f>
        <v/>
      </c>
      <c r="N1223" s="11">
        <f>IFERROR(_xll.ciqfunctions.udf.CIQ(mh_ticker, "IQ_EBITDA_EST", IQ_NTM, B1223, , , "USD"), "")</f>
        <v/>
      </c>
      <c r="O1223" s="13">
        <f>IFERROR(M1223/N1223, "")</f>
        <v/>
      </c>
    </row>
    <row r="1224">
      <c r="B1224" s="8" t="n"/>
      <c r="C1224" s="9">
        <f>IFERROR(_xll.ciqfunctions.udf.CIQ(mh_ticker, "IQ_LASTSALEPRICE", B1224), "")</f>
        <v/>
      </c>
      <c r="D1224" s="10">
        <f>IFERROR(_xll.ciqfunctions.udf.CIQ(mh_ticker, "IQ_SHARESOUTSTANDING_OUT", B1224), "")</f>
        <v/>
      </c>
      <c r="E1224" s="11">
        <f>IFERROR(_xll.ciqfunctions.udf.CIQ(mh_ticker, "IQ_CASH_EQUIV", , B1224), "")</f>
        <v/>
      </c>
      <c r="F1224" s="11">
        <f>IFERROR(_xll.ciqfunctions.udf.CIQ(mh_ticker, "IQ_ST_INVEST", , B1224), "")</f>
        <v/>
      </c>
      <c r="G1224" s="11">
        <f>IFERROR(_xll.ciqfunctions.udf.CIQ(mh_ticker, "IQ_TOTAL_DEBT_EXCL_OPER_LEASES", , B1224), "")</f>
        <v/>
      </c>
      <c r="H1224" s="11">
        <f>IFERROR(_xll.ciqfunctions.udf.CIQ(mh_ticker, "IQ_PREF_EQUITY", , B1224), "")</f>
        <v/>
      </c>
      <c r="I1224" s="11">
        <f>IFERROR(_xll.ciqfunctions.udf.CIQ(mh_ticker, "IQ_MINORITY_INTEREST", , B1224), "")</f>
        <v/>
      </c>
      <c r="J1224" s="11">
        <f>IFERROR(_xll.ciqfunctions.udf.CIQ(mh_ticker, "IQ_EQUITY_METHOD", , B1224), "")</f>
        <v/>
      </c>
      <c r="K1224" s="11">
        <f>IFERROR(_xll.ciqfunctions.udf.CIQ(mh_ticker, "IQ_LT_Mark_Securities", , B1224), "")</f>
        <v/>
      </c>
      <c r="L1224" s="12">
        <f>IFERROR(C1224*D1224, "")</f>
        <v/>
      </c>
      <c r="M1224" s="12">
        <f>IFERROR(L1224-E1224-F1224+G1224+H1224+I1224-J1224-K1224, "")</f>
        <v/>
      </c>
      <c r="N1224" s="11">
        <f>IFERROR(_xll.ciqfunctions.udf.CIQ(mh_ticker, "IQ_EBITDA_EST", IQ_NTM, B1224, , , "USD"), "")</f>
        <v/>
      </c>
      <c r="O1224" s="13">
        <f>IFERROR(M1224/N1224, "")</f>
        <v/>
      </c>
    </row>
    <row r="1225">
      <c r="B1225" s="8" t="n"/>
      <c r="C1225" s="9">
        <f>IFERROR(_xll.ciqfunctions.udf.CIQ(mh_ticker, "IQ_LASTSALEPRICE", B1225), "")</f>
        <v/>
      </c>
      <c r="D1225" s="10">
        <f>IFERROR(_xll.ciqfunctions.udf.CIQ(mh_ticker, "IQ_SHARESOUTSTANDING_OUT", B1225), "")</f>
        <v/>
      </c>
      <c r="E1225" s="11">
        <f>IFERROR(_xll.ciqfunctions.udf.CIQ(mh_ticker, "IQ_CASH_EQUIV", , B1225), "")</f>
        <v/>
      </c>
      <c r="F1225" s="11">
        <f>IFERROR(_xll.ciqfunctions.udf.CIQ(mh_ticker, "IQ_ST_INVEST", , B1225), "")</f>
        <v/>
      </c>
      <c r="G1225" s="11">
        <f>IFERROR(_xll.ciqfunctions.udf.CIQ(mh_ticker, "IQ_TOTAL_DEBT_EXCL_OPER_LEASES", , B1225), "")</f>
        <v/>
      </c>
      <c r="H1225" s="11">
        <f>IFERROR(_xll.ciqfunctions.udf.CIQ(mh_ticker, "IQ_PREF_EQUITY", , B1225), "")</f>
        <v/>
      </c>
      <c r="I1225" s="11">
        <f>IFERROR(_xll.ciqfunctions.udf.CIQ(mh_ticker, "IQ_MINORITY_INTEREST", , B1225), "")</f>
        <v/>
      </c>
      <c r="J1225" s="11">
        <f>IFERROR(_xll.ciqfunctions.udf.CIQ(mh_ticker, "IQ_EQUITY_METHOD", , B1225), "")</f>
        <v/>
      </c>
      <c r="K1225" s="11">
        <f>IFERROR(_xll.ciqfunctions.udf.CIQ(mh_ticker, "IQ_LT_Mark_Securities", , B1225), "")</f>
        <v/>
      </c>
      <c r="L1225" s="12">
        <f>IFERROR(C1225*D1225, "")</f>
        <v/>
      </c>
      <c r="M1225" s="12">
        <f>IFERROR(L1225-E1225-F1225+G1225+H1225+I1225-J1225-K1225, "")</f>
        <v/>
      </c>
      <c r="N1225" s="11">
        <f>IFERROR(_xll.ciqfunctions.udf.CIQ(mh_ticker, "IQ_EBITDA_EST", IQ_NTM, B1225, , , "USD"), "")</f>
        <v/>
      </c>
      <c r="O1225" s="13">
        <f>IFERROR(M1225/N1225, "")</f>
        <v/>
      </c>
    </row>
    <row r="1226">
      <c r="B1226" s="8" t="n"/>
      <c r="C1226" s="9">
        <f>IFERROR(_xll.ciqfunctions.udf.CIQ(mh_ticker, "IQ_LASTSALEPRICE", B1226), "")</f>
        <v/>
      </c>
      <c r="D1226" s="10">
        <f>IFERROR(_xll.ciqfunctions.udf.CIQ(mh_ticker, "IQ_SHARESOUTSTANDING_OUT", B1226), "")</f>
        <v/>
      </c>
      <c r="E1226" s="11">
        <f>IFERROR(_xll.ciqfunctions.udf.CIQ(mh_ticker, "IQ_CASH_EQUIV", , B1226), "")</f>
        <v/>
      </c>
      <c r="F1226" s="11">
        <f>IFERROR(_xll.ciqfunctions.udf.CIQ(mh_ticker, "IQ_ST_INVEST", , B1226), "")</f>
        <v/>
      </c>
      <c r="G1226" s="11">
        <f>IFERROR(_xll.ciqfunctions.udf.CIQ(mh_ticker, "IQ_TOTAL_DEBT_EXCL_OPER_LEASES", , B1226), "")</f>
        <v/>
      </c>
      <c r="H1226" s="11">
        <f>IFERROR(_xll.ciqfunctions.udf.CIQ(mh_ticker, "IQ_PREF_EQUITY", , B1226), "")</f>
        <v/>
      </c>
      <c r="I1226" s="11">
        <f>IFERROR(_xll.ciqfunctions.udf.CIQ(mh_ticker, "IQ_MINORITY_INTEREST", , B1226), "")</f>
        <v/>
      </c>
      <c r="J1226" s="11">
        <f>IFERROR(_xll.ciqfunctions.udf.CIQ(mh_ticker, "IQ_EQUITY_METHOD", , B1226), "")</f>
        <v/>
      </c>
      <c r="K1226" s="11">
        <f>IFERROR(_xll.ciqfunctions.udf.CIQ(mh_ticker, "IQ_LT_Mark_Securities", , B1226), "")</f>
        <v/>
      </c>
      <c r="L1226" s="12">
        <f>IFERROR(C1226*D1226, "")</f>
        <v/>
      </c>
      <c r="M1226" s="12">
        <f>IFERROR(L1226-E1226-F1226+G1226+H1226+I1226-J1226-K1226, "")</f>
        <v/>
      </c>
      <c r="N1226" s="11">
        <f>IFERROR(_xll.ciqfunctions.udf.CIQ(mh_ticker, "IQ_EBITDA_EST", IQ_NTM, B1226, , , "USD"), "")</f>
        <v/>
      </c>
      <c r="O1226" s="13">
        <f>IFERROR(M1226/N1226, "")</f>
        <v/>
      </c>
    </row>
    <row r="1227">
      <c r="B1227" s="8" t="n"/>
      <c r="C1227" s="9">
        <f>IFERROR(_xll.ciqfunctions.udf.CIQ(mh_ticker, "IQ_LASTSALEPRICE", B1227), "")</f>
        <v/>
      </c>
      <c r="D1227" s="10">
        <f>IFERROR(_xll.ciqfunctions.udf.CIQ(mh_ticker, "IQ_SHARESOUTSTANDING_OUT", B1227), "")</f>
        <v/>
      </c>
      <c r="E1227" s="11">
        <f>IFERROR(_xll.ciqfunctions.udf.CIQ(mh_ticker, "IQ_CASH_EQUIV", , B1227), "")</f>
        <v/>
      </c>
      <c r="F1227" s="11">
        <f>IFERROR(_xll.ciqfunctions.udf.CIQ(mh_ticker, "IQ_ST_INVEST", , B1227), "")</f>
        <v/>
      </c>
      <c r="G1227" s="11">
        <f>IFERROR(_xll.ciqfunctions.udf.CIQ(mh_ticker, "IQ_TOTAL_DEBT_EXCL_OPER_LEASES", , B1227), "")</f>
        <v/>
      </c>
      <c r="H1227" s="11">
        <f>IFERROR(_xll.ciqfunctions.udf.CIQ(mh_ticker, "IQ_PREF_EQUITY", , B1227), "")</f>
        <v/>
      </c>
      <c r="I1227" s="11">
        <f>IFERROR(_xll.ciqfunctions.udf.CIQ(mh_ticker, "IQ_MINORITY_INTEREST", , B1227), "")</f>
        <v/>
      </c>
      <c r="J1227" s="11">
        <f>IFERROR(_xll.ciqfunctions.udf.CIQ(mh_ticker, "IQ_EQUITY_METHOD", , B1227), "")</f>
        <v/>
      </c>
      <c r="K1227" s="11">
        <f>IFERROR(_xll.ciqfunctions.udf.CIQ(mh_ticker, "IQ_LT_Mark_Securities", , B1227), "")</f>
        <v/>
      </c>
      <c r="L1227" s="12">
        <f>IFERROR(C1227*D1227, "")</f>
        <v/>
      </c>
      <c r="M1227" s="12">
        <f>IFERROR(L1227-E1227-F1227+G1227+H1227+I1227-J1227-K1227, "")</f>
        <v/>
      </c>
      <c r="N1227" s="11">
        <f>IFERROR(_xll.ciqfunctions.udf.CIQ(mh_ticker, "IQ_EBITDA_EST", IQ_NTM, B1227, , , "USD"), "")</f>
        <v/>
      </c>
      <c r="O1227" s="13">
        <f>IFERROR(M1227/N1227, "")</f>
        <v/>
      </c>
    </row>
    <row r="1228">
      <c r="B1228" s="8" t="n"/>
      <c r="C1228" s="9">
        <f>IFERROR(_xll.ciqfunctions.udf.CIQ(mh_ticker, "IQ_LASTSALEPRICE", B1228), "")</f>
        <v/>
      </c>
      <c r="D1228" s="10">
        <f>IFERROR(_xll.ciqfunctions.udf.CIQ(mh_ticker, "IQ_SHARESOUTSTANDING_OUT", B1228), "")</f>
        <v/>
      </c>
      <c r="E1228" s="11">
        <f>IFERROR(_xll.ciqfunctions.udf.CIQ(mh_ticker, "IQ_CASH_EQUIV", , B1228), "")</f>
        <v/>
      </c>
      <c r="F1228" s="11">
        <f>IFERROR(_xll.ciqfunctions.udf.CIQ(mh_ticker, "IQ_ST_INVEST", , B1228), "")</f>
        <v/>
      </c>
      <c r="G1228" s="11">
        <f>IFERROR(_xll.ciqfunctions.udf.CIQ(mh_ticker, "IQ_TOTAL_DEBT_EXCL_OPER_LEASES", , B1228), "")</f>
        <v/>
      </c>
      <c r="H1228" s="11">
        <f>IFERROR(_xll.ciqfunctions.udf.CIQ(mh_ticker, "IQ_PREF_EQUITY", , B1228), "")</f>
        <v/>
      </c>
      <c r="I1228" s="11">
        <f>IFERROR(_xll.ciqfunctions.udf.CIQ(mh_ticker, "IQ_MINORITY_INTEREST", , B1228), "")</f>
        <v/>
      </c>
      <c r="J1228" s="11">
        <f>IFERROR(_xll.ciqfunctions.udf.CIQ(mh_ticker, "IQ_EQUITY_METHOD", , B1228), "")</f>
        <v/>
      </c>
      <c r="K1228" s="11">
        <f>IFERROR(_xll.ciqfunctions.udf.CIQ(mh_ticker, "IQ_LT_Mark_Securities", , B1228), "")</f>
        <v/>
      </c>
      <c r="L1228" s="12">
        <f>IFERROR(C1228*D1228, "")</f>
        <v/>
      </c>
      <c r="M1228" s="12">
        <f>IFERROR(L1228-E1228-F1228+G1228+H1228+I1228-J1228-K1228, "")</f>
        <v/>
      </c>
      <c r="N1228" s="11">
        <f>IFERROR(_xll.ciqfunctions.udf.CIQ(mh_ticker, "IQ_EBITDA_EST", IQ_NTM, B1228, , , "USD"), "")</f>
        <v/>
      </c>
      <c r="O1228" s="13">
        <f>IFERROR(M1228/N1228, "")</f>
        <v/>
      </c>
    </row>
    <row r="1229">
      <c r="B1229" s="8" t="n"/>
      <c r="C1229" s="9">
        <f>IFERROR(_xll.ciqfunctions.udf.CIQ(mh_ticker, "IQ_LASTSALEPRICE", B1229), "")</f>
        <v/>
      </c>
      <c r="D1229" s="10">
        <f>IFERROR(_xll.ciqfunctions.udf.CIQ(mh_ticker, "IQ_SHARESOUTSTANDING_OUT", B1229), "")</f>
        <v/>
      </c>
      <c r="E1229" s="11">
        <f>IFERROR(_xll.ciqfunctions.udf.CIQ(mh_ticker, "IQ_CASH_EQUIV", , B1229), "")</f>
        <v/>
      </c>
      <c r="F1229" s="11">
        <f>IFERROR(_xll.ciqfunctions.udf.CIQ(mh_ticker, "IQ_ST_INVEST", , B1229), "")</f>
        <v/>
      </c>
      <c r="G1229" s="11">
        <f>IFERROR(_xll.ciqfunctions.udf.CIQ(mh_ticker, "IQ_TOTAL_DEBT_EXCL_OPER_LEASES", , B1229), "")</f>
        <v/>
      </c>
      <c r="H1229" s="11">
        <f>IFERROR(_xll.ciqfunctions.udf.CIQ(mh_ticker, "IQ_PREF_EQUITY", , B1229), "")</f>
        <v/>
      </c>
      <c r="I1229" s="11">
        <f>IFERROR(_xll.ciqfunctions.udf.CIQ(mh_ticker, "IQ_MINORITY_INTEREST", , B1229), "")</f>
        <v/>
      </c>
      <c r="J1229" s="11">
        <f>IFERROR(_xll.ciqfunctions.udf.CIQ(mh_ticker, "IQ_EQUITY_METHOD", , B1229), "")</f>
        <v/>
      </c>
      <c r="K1229" s="11">
        <f>IFERROR(_xll.ciqfunctions.udf.CIQ(mh_ticker, "IQ_LT_Mark_Securities", , B1229), "")</f>
        <v/>
      </c>
      <c r="L1229" s="12">
        <f>IFERROR(C1229*D1229, "")</f>
        <v/>
      </c>
      <c r="M1229" s="12">
        <f>IFERROR(L1229-E1229-F1229+G1229+H1229+I1229-J1229-K1229, "")</f>
        <v/>
      </c>
      <c r="N1229" s="11">
        <f>IFERROR(_xll.ciqfunctions.udf.CIQ(mh_ticker, "IQ_EBITDA_EST", IQ_NTM, B1229, , , "USD"), "")</f>
        <v/>
      </c>
      <c r="O1229" s="13">
        <f>IFERROR(M1229/N1229, "")</f>
        <v/>
      </c>
    </row>
    <row r="1230">
      <c r="B1230" s="8" t="n"/>
      <c r="C1230" s="9">
        <f>IFERROR(_xll.ciqfunctions.udf.CIQ(mh_ticker, "IQ_LASTSALEPRICE", B1230), "")</f>
        <v/>
      </c>
      <c r="D1230" s="10">
        <f>IFERROR(_xll.ciqfunctions.udf.CIQ(mh_ticker, "IQ_SHARESOUTSTANDING_OUT", B1230), "")</f>
        <v/>
      </c>
      <c r="E1230" s="11">
        <f>IFERROR(_xll.ciqfunctions.udf.CIQ(mh_ticker, "IQ_CASH_EQUIV", , B1230), "")</f>
        <v/>
      </c>
      <c r="F1230" s="11">
        <f>IFERROR(_xll.ciqfunctions.udf.CIQ(mh_ticker, "IQ_ST_INVEST", , B1230), "")</f>
        <v/>
      </c>
      <c r="G1230" s="11">
        <f>IFERROR(_xll.ciqfunctions.udf.CIQ(mh_ticker, "IQ_TOTAL_DEBT_EXCL_OPER_LEASES", , B1230), "")</f>
        <v/>
      </c>
      <c r="H1230" s="11">
        <f>IFERROR(_xll.ciqfunctions.udf.CIQ(mh_ticker, "IQ_PREF_EQUITY", , B1230), "")</f>
        <v/>
      </c>
      <c r="I1230" s="11">
        <f>IFERROR(_xll.ciqfunctions.udf.CIQ(mh_ticker, "IQ_MINORITY_INTEREST", , B1230), "")</f>
        <v/>
      </c>
      <c r="J1230" s="11">
        <f>IFERROR(_xll.ciqfunctions.udf.CIQ(mh_ticker, "IQ_EQUITY_METHOD", , B1230), "")</f>
        <v/>
      </c>
      <c r="K1230" s="11">
        <f>IFERROR(_xll.ciqfunctions.udf.CIQ(mh_ticker, "IQ_LT_Mark_Securities", , B1230), "")</f>
        <v/>
      </c>
      <c r="L1230" s="12">
        <f>IFERROR(C1230*D1230, "")</f>
        <v/>
      </c>
      <c r="M1230" s="12">
        <f>IFERROR(L1230-E1230-F1230+G1230+H1230+I1230-J1230-K1230, "")</f>
        <v/>
      </c>
      <c r="N1230" s="11">
        <f>IFERROR(_xll.ciqfunctions.udf.CIQ(mh_ticker, "IQ_EBITDA_EST", IQ_NTM, B1230, , , "USD"), "")</f>
        <v/>
      </c>
      <c r="O1230" s="13">
        <f>IFERROR(M1230/N1230, "")</f>
        <v/>
      </c>
    </row>
    <row r="1231">
      <c r="B1231" s="8" t="n"/>
      <c r="C1231" s="9">
        <f>IFERROR(_xll.ciqfunctions.udf.CIQ(mh_ticker, "IQ_LASTSALEPRICE", B1231), "")</f>
        <v/>
      </c>
      <c r="D1231" s="10">
        <f>IFERROR(_xll.ciqfunctions.udf.CIQ(mh_ticker, "IQ_SHARESOUTSTANDING_OUT", B1231), "")</f>
        <v/>
      </c>
      <c r="E1231" s="11">
        <f>IFERROR(_xll.ciqfunctions.udf.CIQ(mh_ticker, "IQ_CASH_EQUIV", , B1231), "")</f>
        <v/>
      </c>
      <c r="F1231" s="11">
        <f>IFERROR(_xll.ciqfunctions.udf.CIQ(mh_ticker, "IQ_ST_INVEST", , B1231), "")</f>
        <v/>
      </c>
      <c r="G1231" s="11">
        <f>IFERROR(_xll.ciqfunctions.udf.CIQ(mh_ticker, "IQ_TOTAL_DEBT_EXCL_OPER_LEASES", , B1231), "")</f>
        <v/>
      </c>
      <c r="H1231" s="11">
        <f>IFERROR(_xll.ciqfunctions.udf.CIQ(mh_ticker, "IQ_PREF_EQUITY", , B1231), "")</f>
        <v/>
      </c>
      <c r="I1231" s="11">
        <f>IFERROR(_xll.ciqfunctions.udf.CIQ(mh_ticker, "IQ_MINORITY_INTEREST", , B1231), "")</f>
        <v/>
      </c>
      <c r="J1231" s="11">
        <f>IFERROR(_xll.ciqfunctions.udf.CIQ(mh_ticker, "IQ_EQUITY_METHOD", , B1231), "")</f>
        <v/>
      </c>
      <c r="K1231" s="11">
        <f>IFERROR(_xll.ciqfunctions.udf.CIQ(mh_ticker, "IQ_LT_Mark_Securities", , B1231), "")</f>
        <v/>
      </c>
      <c r="L1231" s="12">
        <f>IFERROR(C1231*D1231, "")</f>
        <v/>
      </c>
      <c r="M1231" s="12">
        <f>IFERROR(L1231-E1231-F1231+G1231+H1231+I1231-J1231-K1231, "")</f>
        <v/>
      </c>
      <c r="N1231" s="11">
        <f>IFERROR(_xll.ciqfunctions.udf.CIQ(mh_ticker, "IQ_EBITDA_EST", IQ_NTM, B1231, , , "USD"), "")</f>
        <v/>
      </c>
      <c r="O1231" s="13">
        <f>IFERROR(M1231/N1231, "")</f>
        <v/>
      </c>
    </row>
    <row r="1232">
      <c r="B1232" s="8" t="n"/>
      <c r="C1232" s="9">
        <f>IFERROR(_xll.ciqfunctions.udf.CIQ(mh_ticker, "IQ_LASTSALEPRICE", B1232), "")</f>
        <v/>
      </c>
      <c r="D1232" s="10">
        <f>IFERROR(_xll.ciqfunctions.udf.CIQ(mh_ticker, "IQ_SHARESOUTSTANDING_OUT", B1232), "")</f>
        <v/>
      </c>
      <c r="E1232" s="11">
        <f>IFERROR(_xll.ciqfunctions.udf.CIQ(mh_ticker, "IQ_CASH_EQUIV", , B1232), "")</f>
        <v/>
      </c>
      <c r="F1232" s="11">
        <f>IFERROR(_xll.ciqfunctions.udf.CIQ(mh_ticker, "IQ_ST_INVEST", , B1232), "")</f>
        <v/>
      </c>
      <c r="G1232" s="11">
        <f>IFERROR(_xll.ciqfunctions.udf.CIQ(mh_ticker, "IQ_TOTAL_DEBT_EXCL_OPER_LEASES", , B1232), "")</f>
        <v/>
      </c>
      <c r="H1232" s="11">
        <f>IFERROR(_xll.ciqfunctions.udf.CIQ(mh_ticker, "IQ_PREF_EQUITY", , B1232), "")</f>
        <v/>
      </c>
      <c r="I1232" s="11">
        <f>IFERROR(_xll.ciqfunctions.udf.CIQ(mh_ticker, "IQ_MINORITY_INTEREST", , B1232), "")</f>
        <v/>
      </c>
      <c r="J1232" s="11">
        <f>IFERROR(_xll.ciqfunctions.udf.CIQ(mh_ticker, "IQ_EQUITY_METHOD", , B1232), "")</f>
        <v/>
      </c>
      <c r="K1232" s="11">
        <f>IFERROR(_xll.ciqfunctions.udf.CIQ(mh_ticker, "IQ_LT_Mark_Securities", , B1232), "")</f>
        <v/>
      </c>
      <c r="L1232" s="12">
        <f>IFERROR(C1232*D1232, "")</f>
        <v/>
      </c>
      <c r="M1232" s="12">
        <f>IFERROR(L1232-E1232-F1232+G1232+H1232+I1232-J1232-K1232, "")</f>
        <v/>
      </c>
      <c r="N1232" s="11">
        <f>IFERROR(_xll.ciqfunctions.udf.CIQ(mh_ticker, "IQ_EBITDA_EST", IQ_NTM, B1232, , , "USD"), "")</f>
        <v/>
      </c>
      <c r="O1232" s="13">
        <f>IFERROR(M1232/N1232, "")</f>
        <v/>
      </c>
    </row>
    <row r="1233">
      <c r="B1233" s="8" t="n"/>
      <c r="C1233" s="9">
        <f>IFERROR(_xll.ciqfunctions.udf.CIQ(mh_ticker, "IQ_LASTSALEPRICE", B1233), "")</f>
        <v/>
      </c>
      <c r="D1233" s="10">
        <f>IFERROR(_xll.ciqfunctions.udf.CIQ(mh_ticker, "IQ_SHARESOUTSTANDING_OUT", B1233), "")</f>
        <v/>
      </c>
      <c r="E1233" s="11">
        <f>IFERROR(_xll.ciqfunctions.udf.CIQ(mh_ticker, "IQ_CASH_EQUIV", , B1233), "")</f>
        <v/>
      </c>
      <c r="F1233" s="11">
        <f>IFERROR(_xll.ciqfunctions.udf.CIQ(mh_ticker, "IQ_ST_INVEST", , B1233), "")</f>
        <v/>
      </c>
      <c r="G1233" s="11">
        <f>IFERROR(_xll.ciqfunctions.udf.CIQ(mh_ticker, "IQ_TOTAL_DEBT_EXCL_OPER_LEASES", , B1233), "")</f>
        <v/>
      </c>
      <c r="H1233" s="11">
        <f>IFERROR(_xll.ciqfunctions.udf.CIQ(mh_ticker, "IQ_PREF_EQUITY", , B1233), "")</f>
        <v/>
      </c>
      <c r="I1233" s="11">
        <f>IFERROR(_xll.ciqfunctions.udf.CIQ(mh_ticker, "IQ_MINORITY_INTEREST", , B1233), "")</f>
        <v/>
      </c>
      <c r="J1233" s="11">
        <f>IFERROR(_xll.ciqfunctions.udf.CIQ(mh_ticker, "IQ_EQUITY_METHOD", , B1233), "")</f>
        <v/>
      </c>
      <c r="K1233" s="11">
        <f>IFERROR(_xll.ciqfunctions.udf.CIQ(mh_ticker, "IQ_LT_Mark_Securities", , B1233), "")</f>
        <v/>
      </c>
      <c r="L1233" s="12">
        <f>IFERROR(C1233*D1233, "")</f>
        <v/>
      </c>
      <c r="M1233" s="12">
        <f>IFERROR(L1233-E1233-F1233+G1233+H1233+I1233-J1233-K1233, "")</f>
        <v/>
      </c>
      <c r="N1233" s="11">
        <f>IFERROR(_xll.ciqfunctions.udf.CIQ(mh_ticker, "IQ_EBITDA_EST", IQ_NTM, B1233, , , "USD"), "")</f>
        <v/>
      </c>
      <c r="O1233" s="13">
        <f>IFERROR(M1233/N1233, "")</f>
        <v/>
      </c>
    </row>
    <row r="1234">
      <c r="B1234" s="8" t="n"/>
      <c r="C1234" s="9">
        <f>IFERROR(_xll.ciqfunctions.udf.CIQ(mh_ticker, "IQ_LASTSALEPRICE", B1234), "")</f>
        <v/>
      </c>
      <c r="D1234" s="10">
        <f>IFERROR(_xll.ciqfunctions.udf.CIQ(mh_ticker, "IQ_SHARESOUTSTANDING_OUT", B1234), "")</f>
        <v/>
      </c>
      <c r="E1234" s="11">
        <f>IFERROR(_xll.ciqfunctions.udf.CIQ(mh_ticker, "IQ_CASH_EQUIV", , B1234), "")</f>
        <v/>
      </c>
      <c r="F1234" s="11">
        <f>IFERROR(_xll.ciqfunctions.udf.CIQ(mh_ticker, "IQ_ST_INVEST", , B1234), "")</f>
        <v/>
      </c>
      <c r="G1234" s="11">
        <f>IFERROR(_xll.ciqfunctions.udf.CIQ(mh_ticker, "IQ_TOTAL_DEBT_EXCL_OPER_LEASES", , B1234), "")</f>
        <v/>
      </c>
      <c r="H1234" s="11">
        <f>IFERROR(_xll.ciqfunctions.udf.CIQ(mh_ticker, "IQ_PREF_EQUITY", , B1234), "")</f>
        <v/>
      </c>
      <c r="I1234" s="11">
        <f>IFERROR(_xll.ciqfunctions.udf.CIQ(mh_ticker, "IQ_MINORITY_INTEREST", , B1234), "")</f>
        <v/>
      </c>
      <c r="J1234" s="11">
        <f>IFERROR(_xll.ciqfunctions.udf.CIQ(mh_ticker, "IQ_EQUITY_METHOD", , B1234), "")</f>
        <v/>
      </c>
      <c r="K1234" s="11">
        <f>IFERROR(_xll.ciqfunctions.udf.CIQ(mh_ticker, "IQ_LT_Mark_Securities", , B1234), "")</f>
        <v/>
      </c>
      <c r="L1234" s="12">
        <f>IFERROR(C1234*D1234, "")</f>
        <v/>
      </c>
      <c r="M1234" s="12">
        <f>IFERROR(L1234-E1234-F1234+G1234+H1234+I1234-J1234-K1234, "")</f>
        <v/>
      </c>
      <c r="N1234" s="11">
        <f>IFERROR(_xll.ciqfunctions.udf.CIQ(mh_ticker, "IQ_EBITDA_EST", IQ_NTM, B1234, , , "USD"), "")</f>
        <v/>
      </c>
      <c r="O1234" s="13">
        <f>IFERROR(M1234/N1234, "")</f>
        <v/>
      </c>
    </row>
    <row r="1235">
      <c r="B1235" s="8" t="n"/>
      <c r="C1235" s="9">
        <f>IFERROR(_xll.ciqfunctions.udf.CIQ(mh_ticker, "IQ_LASTSALEPRICE", B1235), "")</f>
        <v/>
      </c>
      <c r="D1235" s="10">
        <f>IFERROR(_xll.ciqfunctions.udf.CIQ(mh_ticker, "IQ_SHARESOUTSTANDING_OUT", B1235), "")</f>
        <v/>
      </c>
      <c r="E1235" s="11">
        <f>IFERROR(_xll.ciqfunctions.udf.CIQ(mh_ticker, "IQ_CASH_EQUIV", , B1235), "")</f>
        <v/>
      </c>
      <c r="F1235" s="11">
        <f>IFERROR(_xll.ciqfunctions.udf.CIQ(mh_ticker, "IQ_ST_INVEST", , B1235), "")</f>
        <v/>
      </c>
      <c r="G1235" s="11">
        <f>IFERROR(_xll.ciqfunctions.udf.CIQ(mh_ticker, "IQ_TOTAL_DEBT_EXCL_OPER_LEASES", , B1235), "")</f>
        <v/>
      </c>
      <c r="H1235" s="11">
        <f>IFERROR(_xll.ciqfunctions.udf.CIQ(mh_ticker, "IQ_PREF_EQUITY", , B1235), "")</f>
        <v/>
      </c>
      <c r="I1235" s="11">
        <f>IFERROR(_xll.ciqfunctions.udf.CIQ(mh_ticker, "IQ_MINORITY_INTEREST", , B1235), "")</f>
        <v/>
      </c>
      <c r="J1235" s="11">
        <f>IFERROR(_xll.ciqfunctions.udf.CIQ(mh_ticker, "IQ_EQUITY_METHOD", , B1235), "")</f>
        <v/>
      </c>
      <c r="K1235" s="11">
        <f>IFERROR(_xll.ciqfunctions.udf.CIQ(mh_ticker, "IQ_LT_Mark_Securities", , B1235), "")</f>
        <v/>
      </c>
      <c r="L1235" s="12">
        <f>IFERROR(C1235*D1235, "")</f>
        <v/>
      </c>
      <c r="M1235" s="12">
        <f>IFERROR(L1235-E1235-F1235+G1235+H1235+I1235-J1235-K1235, "")</f>
        <v/>
      </c>
      <c r="N1235" s="11">
        <f>IFERROR(_xll.ciqfunctions.udf.CIQ(mh_ticker, "IQ_EBITDA_EST", IQ_NTM, B1235, , , "USD"), "")</f>
        <v/>
      </c>
      <c r="O1235" s="13">
        <f>IFERROR(M1235/N1235, "")</f>
        <v/>
      </c>
    </row>
    <row r="1236">
      <c r="B1236" s="8" t="n"/>
      <c r="C1236" s="9">
        <f>IFERROR(_xll.ciqfunctions.udf.CIQ(mh_ticker, "IQ_LASTSALEPRICE", B1236), "")</f>
        <v/>
      </c>
      <c r="D1236" s="10">
        <f>IFERROR(_xll.ciqfunctions.udf.CIQ(mh_ticker, "IQ_SHARESOUTSTANDING_OUT", B1236), "")</f>
        <v/>
      </c>
      <c r="E1236" s="11">
        <f>IFERROR(_xll.ciqfunctions.udf.CIQ(mh_ticker, "IQ_CASH_EQUIV", , B1236), "")</f>
        <v/>
      </c>
      <c r="F1236" s="11">
        <f>IFERROR(_xll.ciqfunctions.udf.CIQ(mh_ticker, "IQ_ST_INVEST", , B1236), "")</f>
        <v/>
      </c>
      <c r="G1236" s="11">
        <f>IFERROR(_xll.ciqfunctions.udf.CIQ(mh_ticker, "IQ_TOTAL_DEBT_EXCL_OPER_LEASES", , B1236), "")</f>
        <v/>
      </c>
      <c r="H1236" s="11">
        <f>IFERROR(_xll.ciqfunctions.udf.CIQ(mh_ticker, "IQ_PREF_EQUITY", , B1236), "")</f>
        <v/>
      </c>
      <c r="I1236" s="11">
        <f>IFERROR(_xll.ciqfunctions.udf.CIQ(mh_ticker, "IQ_MINORITY_INTEREST", , B1236), "")</f>
        <v/>
      </c>
      <c r="J1236" s="11">
        <f>IFERROR(_xll.ciqfunctions.udf.CIQ(mh_ticker, "IQ_EQUITY_METHOD", , B1236), "")</f>
        <v/>
      </c>
      <c r="K1236" s="11">
        <f>IFERROR(_xll.ciqfunctions.udf.CIQ(mh_ticker, "IQ_LT_Mark_Securities", , B1236), "")</f>
        <v/>
      </c>
      <c r="L1236" s="12">
        <f>IFERROR(C1236*D1236, "")</f>
        <v/>
      </c>
      <c r="M1236" s="12">
        <f>IFERROR(L1236-E1236-F1236+G1236+H1236+I1236-J1236-K1236, "")</f>
        <v/>
      </c>
      <c r="N1236" s="11">
        <f>IFERROR(_xll.ciqfunctions.udf.CIQ(mh_ticker, "IQ_EBITDA_EST", IQ_NTM, B1236, , , "USD"), "")</f>
        <v/>
      </c>
      <c r="O1236" s="13">
        <f>IFERROR(M1236/N1236, "")</f>
        <v/>
      </c>
    </row>
    <row r="1237">
      <c r="B1237" s="8" t="n"/>
      <c r="C1237" s="9">
        <f>IFERROR(_xll.ciqfunctions.udf.CIQ(mh_ticker, "IQ_LASTSALEPRICE", B1237), "")</f>
        <v/>
      </c>
      <c r="D1237" s="10">
        <f>IFERROR(_xll.ciqfunctions.udf.CIQ(mh_ticker, "IQ_SHARESOUTSTANDING_OUT", B1237), "")</f>
        <v/>
      </c>
      <c r="E1237" s="11">
        <f>IFERROR(_xll.ciqfunctions.udf.CIQ(mh_ticker, "IQ_CASH_EQUIV", , B1237), "")</f>
        <v/>
      </c>
      <c r="F1237" s="11">
        <f>IFERROR(_xll.ciqfunctions.udf.CIQ(mh_ticker, "IQ_ST_INVEST", , B1237), "")</f>
        <v/>
      </c>
      <c r="G1237" s="11">
        <f>IFERROR(_xll.ciqfunctions.udf.CIQ(mh_ticker, "IQ_TOTAL_DEBT_EXCL_OPER_LEASES", , B1237), "")</f>
        <v/>
      </c>
      <c r="H1237" s="11">
        <f>IFERROR(_xll.ciqfunctions.udf.CIQ(mh_ticker, "IQ_PREF_EQUITY", , B1237), "")</f>
        <v/>
      </c>
      <c r="I1237" s="11">
        <f>IFERROR(_xll.ciqfunctions.udf.CIQ(mh_ticker, "IQ_MINORITY_INTEREST", , B1237), "")</f>
        <v/>
      </c>
      <c r="J1237" s="11">
        <f>IFERROR(_xll.ciqfunctions.udf.CIQ(mh_ticker, "IQ_EQUITY_METHOD", , B1237), "")</f>
        <v/>
      </c>
      <c r="K1237" s="11">
        <f>IFERROR(_xll.ciqfunctions.udf.CIQ(mh_ticker, "IQ_LT_Mark_Securities", , B1237), "")</f>
        <v/>
      </c>
      <c r="L1237" s="12">
        <f>IFERROR(C1237*D1237, "")</f>
        <v/>
      </c>
      <c r="M1237" s="12">
        <f>IFERROR(L1237-E1237-F1237+G1237+H1237+I1237-J1237-K1237, "")</f>
        <v/>
      </c>
      <c r="N1237" s="11">
        <f>IFERROR(_xll.ciqfunctions.udf.CIQ(mh_ticker, "IQ_EBITDA_EST", IQ_NTM, B1237, , , "USD"), "")</f>
        <v/>
      </c>
      <c r="O1237" s="13">
        <f>IFERROR(M1237/N1237, "")</f>
        <v/>
      </c>
    </row>
    <row r="1238">
      <c r="B1238" s="8" t="n"/>
      <c r="C1238" s="9">
        <f>IFERROR(_xll.ciqfunctions.udf.CIQ(mh_ticker, "IQ_LASTSALEPRICE", B1238), "")</f>
        <v/>
      </c>
      <c r="D1238" s="10">
        <f>IFERROR(_xll.ciqfunctions.udf.CIQ(mh_ticker, "IQ_SHARESOUTSTANDING_OUT", B1238), "")</f>
        <v/>
      </c>
      <c r="E1238" s="11">
        <f>IFERROR(_xll.ciqfunctions.udf.CIQ(mh_ticker, "IQ_CASH_EQUIV", , B1238), "")</f>
        <v/>
      </c>
      <c r="F1238" s="11">
        <f>IFERROR(_xll.ciqfunctions.udf.CIQ(mh_ticker, "IQ_ST_INVEST", , B1238), "")</f>
        <v/>
      </c>
      <c r="G1238" s="11">
        <f>IFERROR(_xll.ciqfunctions.udf.CIQ(mh_ticker, "IQ_TOTAL_DEBT_EXCL_OPER_LEASES", , B1238), "")</f>
        <v/>
      </c>
      <c r="H1238" s="11">
        <f>IFERROR(_xll.ciqfunctions.udf.CIQ(mh_ticker, "IQ_PREF_EQUITY", , B1238), "")</f>
        <v/>
      </c>
      <c r="I1238" s="11">
        <f>IFERROR(_xll.ciqfunctions.udf.CIQ(mh_ticker, "IQ_MINORITY_INTEREST", , B1238), "")</f>
        <v/>
      </c>
      <c r="J1238" s="11">
        <f>IFERROR(_xll.ciqfunctions.udf.CIQ(mh_ticker, "IQ_EQUITY_METHOD", , B1238), "")</f>
        <v/>
      </c>
      <c r="K1238" s="11">
        <f>IFERROR(_xll.ciqfunctions.udf.CIQ(mh_ticker, "IQ_LT_Mark_Securities", , B1238), "")</f>
        <v/>
      </c>
      <c r="L1238" s="12">
        <f>IFERROR(C1238*D1238, "")</f>
        <v/>
      </c>
      <c r="M1238" s="12">
        <f>IFERROR(L1238-E1238-F1238+G1238+H1238+I1238-J1238-K1238, "")</f>
        <v/>
      </c>
      <c r="N1238" s="11">
        <f>IFERROR(_xll.ciqfunctions.udf.CIQ(mh_ticker, "IQ_EBITDA_EST", IQ_NTM, B1238, , , "USD"), "")</f>
        <v/>
      </c>
      <c r="O1238" s="13">
        <f>IFERROR(M1238/N1238, "")</f>
        <v/>
      </c>
    </row>
    <row r="1239">
      <c r="B1239" s="8" t="n"/>
      <c r="C1239" s="9">
        <f>IFERROR(_xll.ciqfunctions.udf.CIQ(mh_ticker, "IQ_LASTSALEPRICE", B1239), "")</f>
        <v/>
      </c>
      <c r="D1239" s="10">
        <f>IFERROR(_xll.ciqfunctions.udf.CIQ(mh_ticker, "IQ_SHARESOUTSTANDING_OUT", B1239), "")</f>
        <v/>
      </c>
      <c r="E1239" s="11">
        <f>IFERROR(_xll.ciqfunctions.udf.CIQ(mh_ticker, "IQ_CASH_EQUIV", , B1239), "")</f>
        <v/>
      </c>
      <c r="F1239" s="11">
        <f>IFERROR(_xll.ciqfunctions.udf.CIQ(mh_ticker, "IQ_ST_INVEST", , B1239), "")</f>
        <v/>
      </c>
      <c r="G1239" s="11">
        <f>IFERROR(_xll.ciqfunctions.udf.CIQ(mh_ticker, "IQ_TOTAL_DEBT_EXCL_OPER_LEASES", , B1239), "")</f>
        <v/>
      </c>
      <c r="H1239" s="11">
        <f>IFERROR(_xll.ciqfunctions.udf.CIQ(mh_ticker, "IQ_PREF_EQUITY", , B1239), "")</f>
        <v/>
      </c>
      <c r="I1239" s="11">
        <f>IFERROR(_xll.ciqfunctions.udf.CIQ(mh_ticker, "IQ_MINORITY_INTEREST", , B1239), "")</f>
        <v/>
      </c>
      <c r="J1239" s="11">
        <f>IFERROR(_xll.ciqfunctions.udf.CIQ(mh_ticker, "IQ_EQUITY_METHOD", , B1239), "")</f>
        <v/>
      </c>
      <c r="K1239" s="11">
        <f>IFERROR(_xll.ciqfunctions.udf.CIQ(mh_ticker, "IQ_LT_Mark_Securities", , B1239), "")</f>
        <v/>
      </c>
      <c r="L1239" s="12">
        <f>IFERROR(C1239*D1239, "")</f>
        <v/>
      </c>
      <c r="M1239" s="12">
        <f>IFERROR(L1239-E1239-F1239+G1239+H1239+I1239-J1239-K1239, "")</f>
        <v/>
      </c>
      <c r="N1239" s="11">
        <f>IFERROR(_xll.ciqfunctions.udf.CIQ(mh_ticker, "IQ_EBITDA_EST", IQ_NTM, B1239, , , "USD"), "")</f>
        <v/>
      </c>
      <c r="O1239" s="13">
        <f>IFERROR(M1239/N1239, "")</f>
        <v/>
      </c>
    </row>
    <row r="1240">
      <c r="B1240" s="8" t="n"/>
      <c r="C1240" s="9">
        <f>IFERROR(_xll.ciqfunctions.udf.CIQ(mh_ticker, "IQ_LASTSALEPRICE", B1240), "")</f>
        <v/>
      </c>
      <c r="D1240" s="10">
        <f>IFERROR(_xll.ciqfunctions.udf.CIQ(mh_ticker, "IQ_SHARESOUTSTANDING_OUT", B1240), "")</f>
        <v/>
      </c>
      <c r="E1240" s="11">
        <f>IFERROR(_xll.ciqfunctions.udf.CIQ(mh_ticker, "IQ_CASH_EQUIV", , B1240), "")</f>
        <v/>
      </c>
      <c r="F1240" s="11">
        <f>IFERROR(_xll.ciqfunctions.udf.CIQ(mh_ticker, "IQ_ST_INVEST", , B1240), "")</f>
        <v/>
      </c>
      <c r="G1240" s="11">
        <f>IFERROR(_xll.ciqfunctions.udf.CIQ(mh_ticker, "IQ_TOTAL_DEBT_EXCL_OPER_LEASES", , B1240), "")</f>
        <v/>
      </c>
      <c r="H1240" s="11">
        <f>IFERROR(_xll.ciqfunctions.udf.CIQ(mh_ticker, "IQ_PREF_EQUITY", , B1240), "")</f>
        <v/>
      </c>
      <c r="I1240" s="11">
        <f>IFERROR(_xll.ciqfunctions.udf.CIQ(mh_ticker, "IQ_MINORITY_INTEREST", , B1240), "")</f>
        <v/>
      </c>
      <c r="J1240" s="11">
        <f>IFERROR(_xll.ciqfunctions.udf.CIQ(mh_ticker, "IQ_EQUITY_METHOD", , B1240), "")</f>
        <v/>
      </c>
      <c r="K1240" s="11">
        <f>IFERROR(_xll.ciqfunctions.udf.CIQ(mh_ticker, "IQ_LT_Mark_Securities", , B1240), "")</f>
        <v/>
      </c>
      <c r="L1240" s="12">
        <f>IFERROR(C1240*D1240, "")</f>
        <v/>
      </c>
      <c r="M1240" s="12">
        <f>IFERROR(L1240-E1240-F1240+G1240+H1240+I1240-J1240-K1240, "")</f>
        <v/>
      </c>
      <c r="N1240" s="11">
        <f>IFERROR(_xll.ciqfunctions.udf.CIQ(mh_ticker, "IQ_EBITDA_EST", IQ_NTM, B1240, , , "USD"), "")</f>
        <v/>
      </c>
      <c r="O1240" s="13">
        <f>IFERROR(M1240/N1240, "")</f>
        <v/>
      </c>
    </row>
    <row r="1241">
      <c r="B1241" s="8" t="n"/>
      <c r="C1241" s="9">
        <f>IFERROR(_xll.ciqfunctions.udf.CIQ(mh_ticker, "IQ_LASTSALEPRICE", B1241), "")</f>
        <v/>
      </c>
      <c r="D1241" s="10">
        <f>IFERROR(_xll.ciqfunctions.udf.CIQ(mh_ticker, "IQ_SHARESOUTSTANDING_OUT", B1241), "")</f>
        <v/>
      </c>
      <c r="E1241" s="11">
        <f>IFERROR(_xll.ciqfunctions.udf.CIQ(mh_ticker, "IQ_CASH_EQUIV", , B1241), "")</f>
        <v/>
      </c>
      <c r="F1241" s="11">
        <f>IFERROR(_xll.ciqfunctions.udf.CIQ(mh_ticker, "IQ_ST_INVEST", , B1241), "")</f>
        <v/>
      </c>
      <c r="G1241" s="11">
        <f>IFERROR(_xll.ciqfunctions.udf.CIQ(mh_ticker, "IQ_TOTAL_DEBT_EXCL_OPER_LEASES", , B1241), "")</f>
        <v/>
      </c>
      <c r="H1241" s="11">
        <f>IFERROR(_xll.ciqfunctions.udf.CIQ(mh_ticker, "IQ_PREF_EQUITY", , B1241), "")</f>
        <v/>
      </c>
      <c r="I1241" s="11">
        <f>IFERROR(_xll.ciqfunctions.udf.CIQ(mh_ticker, "IQ_MINORITY_INTEREST", , B1241), "")</f>
        <v/>
      </c>
      <c r="J1241" s="11">
        <f>IFERROR(_xll.ciqfunctions.udf.CIQ(mh_ticker, "IQ_EQUITY_METHOD", , B1241), "")</f>
        <v/>
      </c>
      <c r="K1241" s="11">
        <f>IFERROR(_xll.ciqfunctions.udf.CIQ(mh_ticker, "IQ_LT_Mark_Securities", , B1241), "")</f>
        <v/>
      </c>
      <c r="L1241" s="12">
        <f>IFERROR(C1241*D1241, "")</f>
        <v/>
      </c>
      <c r="M1241" s="12">
        <f>IFERROR(L1241-E1241-F1241+G1241+H1241+I1241-J1241-K1241, "")</f>
        <v/>
      </c>
      <c r="N1241" s="11">
        <f>IFERROR(_xll.ciqfunctions.udf.CIQ(mh_ticker, "IQ_EBITDA_EST", IQ_NTM, B1241, , , "USD"), "")</f>
        <v/>
      </c>
      <c r="O1241" s="13">
        <f>IFERROR(M1241/N1241, "")</f>
        <v/>
      </c>
    </row>
    <row r="1242">
      <c r="B1242" s="8" t="n"/>
      <c r="C1242" s="9">
        <f>IFERROR(_xll.ciqfunctions.udf.CIQ(mh_ticker, "IQ_LASTSALEPRICE", B1242), "")</f>
        <v/>
      </c>
      <c r="D1242" s="10">
        <f>IFERROR(_xll.ciqfunctions.udf.CIQ(mh_ticker, "IQ_SHARESOUTSTANDING_OUT", B1242), "")</f>
        <v/>
      </c>
      <c r="E1242" s="11">
        <f>IFERROR(_xll.ciqfunctions.udf.CIQ(mh_ticker, "IQ_CASH_EQUIV", , B1242), "")</f>
        <v/>
      </c>
      <c r="F1242" s="11">
        <f>IFERROR(_xll.ciqfunctions.udf.CIQ(mh_ticker, "IQ_ST_INVEST", , B1242), "")</f>
        <v/>
      </c>
      <c r="G1242" s="11">
        <f>IFERROR(_xll.ciqfunctions.udf.CIQ(mh_ticker, "IQ_TOTAL_DEBT_EXCL_OPER_LEASES", , B1242), "")</f>
        <v/>
      </c>
      <c r="H1242" s="11">
        <f>IFERROR(_xll.ciqfunctions.udf.CIQ(mh_ticker, "IQ_PREF_EQUITY", , B1242), "")</f>
        <v/>
      </c>
      <c r="I1242" s="11">
        <f>IFERROR(_xll.ciqfunctions.udf.CIQ(mh_ticker, "IQ_MINORITY_INTEREST", , B1242), "")</f>
        <v/>
      </c>
      <c r="J1242" s="11">
        <f>IFERROR(_xll.ciqfunctions.udf.CIQ(mh_ticker, "IQ_EQUITY_METHOD", , B1242), "")</f>
        <v/>
      </c>
      <c r="K1242" s="11">
        <f>IFERROR(_xll.ciqfunctions.udf.CIQ(mh_ticker, "IQ_LT_Mark_Securities", , B1242), "")</f>
        <v/>
      </c>
      <c r="L1242" s="12">
        <f>IFERROR(C1242*D1242, "")</f>
        <v/>
      </c>
      <c r="M1242" s="12">
        <f>IFERROR(L1242-E1242-F1242+G1242+H1242+I1242-J1242-K1242, "")</f>
        <v/>
      </c>
      <c r="N1242" s="11">
        <f>IFERROR(_xll.ciqfunctions.udf.CIQ(mh_ticker, "IQ_EBITDA_EST", IQ_NTM, B1242, , , "USD"), "")</f>
        <v/>
      </c>
      <c r="O1242" s="13">
        <f>IFERROR(M1242/N1242, "")</f>
        <v/>
      </c>
    </row>
    <row r="1243">
      <c r="B1243" s="8" t="n"/>
      <c r="C1243" s="9">
        <f>IFERROR(_xll.ciqfunctions.udf.CIQ(mh_ticker, "IQ_LASTSALEPRICE", B1243), "")</f>
        <v/>
      </c>
      <c r="D1243" s="10">
        <f>IFERROR(_xll.ciqfunctions.udf.CIQ(mh_ticker, "IQ_SHARESOUTSTANDING_OUT", B1243), "")</f>
        <v/>
      </c>
      <c r="E1243" s="11">
        <f>IFERROR(_xll.ciqfunctions.udf.CIQ(mh_ticker, "IQ_CASH_EQUIV", , B1243), "")</f>
        <v/>
      </c>
      <c r="F1243" s="11">
        <f>IFERROR(_xll.ciqfunctions.udf.CIQ(mh_ticker, "IQ_ST_INVEST", , B1243), "")</f>
        <v/>
      </c>
      <c r="G1243" s="11">
        <f>IFERROR(_xll.ciqfunctions.udf.CIQ(mh_ticker, "IQ_TOTAL_DEBT_EXCL_OPER_LEASES", , B1243), "")</f>
        <v/>
      </c>
      <c r="H1243" s="11">
        <f>IFERROR(_xll.ciqfunctions.udf.CIQ(mh_ticker, "IQ_PREF_EQUITY", , B1243), "")</f>
        <v/>
      </c>
      <c r="I1243" s="11">
        <f>IFERROR(_xll.ciqfunctions.udf.CIQ(mh_ticker, "IQ_MINORITY_INTEREST", , B1243), "")</f>
        <v/>
      </c>
      <c r="J1243" s="11">
        <f>IFERROR(_xll.ciqfunctions.udf.CIQ(mh_ticker, "IQ_EQUITY_METHOD", , B1243), "")</f>
        <v/>
      </c>
      <c r="K1243" s="11">
        <f>IFERROR(_xll.ciqfunctions.udf.CIQ(mh_ticker, "IQ_LT_Mark_Securities", , B1243), "")</f>
        <v/>
      </c>
      <c r="L1243" s="12">
        <f>IFERROR(C1243*D1243, "")</f>
        <v/>
      </c>
      <c r="M1243" s="12">
        <f>IFERROR(L1243-E1243-F1243+G1243+H1243+I1243-J1243-K1243, "")</f>
        <v/>
      </c>
      <c r="N1243" s="11">
        <f>IFERROR(_xll.ciqfunctions.udf.CIQ(mh_ticker, "IQ_EBITDA_EST", IQ_NTM, B1243, , , "USD"), "")</f>
        <v/>
      </c>
      <c r="O1243" s="13">
        <f>IFERROR(M1243/N1243, "")</f>
        <v/>
      </c>
    </row>
    <row r="1244">
      <c r="B1244" s="8" t="n"/>
      <c r="C1244" s="9">
        <f>IFERROR(_xll.ciqfunctions.udf.CIQ(mh_ticker, "IQ_LASTSALEPRICE", B1244), "")</f>
        <v/>
      </c>
      <c r="D1244" s="10">
        <f>IFERROR(_xll.ciqfunctions.udf.CIQ(mh_ticker, "IQ_SHARESOUTSTANDING_OUT", B1244), "")</f>
        <v/>
      </c>
      <c r="E1244" s="11">
        <f>IFERROR(_xll.ciqfunctions.udf.CIQ(mh_ticker, "IQ_CASH_EQUIV", , B1244), "")</f>
        <v/>
      </c>
      <c r="F1244" s="11">
        <f>IFERROR(_xll.ciqfunctions.udf.CIQ(mh_ticker, "IQ_ST_INVEST", , B1244), "")</f>
        <v/>
      </c>
      <c r="G1244" s="11">
        <f>IFERROR(_xll.ciqfunctions.udf.CIQ(mh_ticker, "IQ_TOTAL_DEBT_EXCL_OPER_LEASES", , B1244), "")</f>
        <v/>
      </c>
      <c r="H1244" s="11">
        <f>IFERROR(_xll.ciqfunctions.udf.CIQ(mh_ticker, "IQ_PREF_EQUITY", , B1244), "")</f>
        <v/>
      </c>
      <c r="I1244" s="11">
        <f>IFERROR(_xll.ciqfunctions.udf.CIQ(mh_ticker, "IQ_MINORITY_INTEREST", , B1244), "")</f>
        <v/>
      </c>
      <c r="J1244" s="11">
        <f>IFERROR(_xll.ciqfunctions.udf.CIQ(mh_ticker, "IQ_EQUITY_METHOD", , B1244), "")</f>
        <v/>
      </c>
      <c r="K1244" s="11">
        <f>IFERROR(_xll.ciqfunctions.udf.CIQ(mh_ticker, "IQ_LT_Mark_Securities", , B1244), "")</f>
        <v/>
      </c>
      <c r="L1244" s="12">
        <f>IFERROR(C1244*D1244, "")</f>
        <v/>
      </c>
      <c r="M1244" s="12">
        <f>IFERROR(L1244-E1244-F1244+G1244+H1244+I1244-J1244-K1244, "")</f>
        <v/>
      </c>
      <c r="N1244" s="11">
        <f>IFERROR(_xll.ciqfunctions.udf.CIQ(mh_ticker, "IQ_EBITDA_EST", IQ_NTM, B1244, , , "USD"), "")</f>
        <v/>
      </c>
      <c r="O1244" s="13">
        <f>IFERROR(M1244/N1244, "")</f>
        <v/>
      </c>
    </row>
    <row r="1245">
      <c r="B1245" s="8" t="n"/>
      <c r="C1245" s="9">
        <f>IFERROR(_xll.ciqfunctions.udf.CIQ(mh_ticker, "IQ_LASTSALEPRICE", B1245), "")</f>
        <v/>
      </c>
      <c r="D1245" s="10">
        <f>IFERROR(_xll.ciqfunctions.udf.CIQ(mh_ticker, "IQ_SHARESOUTSTANDING_OUT", B1245), "")</f>
        <v/>
      </c>
      <c r="E1245" s="11">
        <f>IFERROR(_xll.ciqfunctions.udf.CIQ(mh_ticker, "IQ_CASH_EQUIV", , B1245), "")</f>
        <v/>
      </c>
      <c r="F1245" s="11">
        <f>IFERROR(_xll.ciqfunctions.udf.CIQ(mh_ticker, "IQ_ST_INVEST", , B1245), "")</f>
        <v/>
      </c>
      <c r="G1245" s="11">
        <f>IFERROR(_xll.ciqfunctions.udf.CIQ(mh_ticker, "IQ_TOTAL_DEBT_EXCL_OPER_LEASES", , B1245), "")</f>
        <v/>
      </c>
      <c r="H1245" s="11">
        <f>IFERROR(_xll.ciqfunctions.udf.CIQ(mh_ticker, "IQ_PREF_EQUITY", , B1245), "")</f>
        <v/>
      </c>
      <c r="I1245" s="11">
        <f>IFERROR(_xll.ciqfunctions.udf.CIQ(mh_ticker, "IQ_MINORITY_INTEREST", , B1245), "")</f>
        <v/>
      </c>
      <c r="J1245" s="11">
        <f>IFERROR(_xll.ciqfunctions.udf.CIQ(mh_ticker, "IQ_EQUITY_METHOD", , B1245), "")</f>
        <v/>
      </c>
      <c r="K1245" s="11">
        <f>IFERROR(_xll.ciqfunctions.udf.CIQ(mh_ticker, "IQ_LT_Mark_Securities", , B1245), "")</f>
        <v/>
      </c>
      <c r="L1245" s="12">
        <f>IFERROR(C1245*D1245, "")</f>
        <v/>
      </c>
      <c r="M1245" s="12">
        <f>IFERROR(L1245-E1245-F1245+G1245+H1245+I1245-J1245-K1245, "")</f>
        <v/>
      </c>
      <c r="N1245" s="11">
        <f>IFERROR(_xll.ciqfunctions.udf.CIQ(mh_ticker, "IQ_EBITDA_EST", IQ_NTM, B1245, , , "USD"), "")</f>
        <v/>
      </c>
      <c r="O1245" s="13">
        <f>IFERROR(M1245/N1245, "")</f>
        <v/>
      </c>
    </row>
    <row r="1246">
      <c r="B1246" s="8" t="n"/>
      <c r="C1246" s="9">
        <f>IFERROR(_xll.ciqfunctions.udf.CIQ(mh_ticker, "IQ_LASTSALEPRICE", B1246), "")</f>
        <v/>
      </c>
      <c r="D1246" s="10">
        <f>IFERROR(_xll.ciqfunctions.udf.CIQ(mh_ticker, "IQ_SHARESOUTSTANDING_OUT", B1246), "")</f>
        <v/>
      </c>
      <c r="E1246" s="11">
        <f>IFERROR(_xll.ciqfunctions.udf.CIQ(mh_ticker, "IQ_CASH_EQUIV", , B1246), "")</f>
        <v/>
      </c>
      <c r="F1246" s="11">
        <f>IFERROR(_xll.ciqfunctions.udf.CIQ(mh_ticker, "IQ_ST_INVEST", , B1246), "")</f>
        <v/>
      </c>
      <c r="G1246" s="11">
        <f>IFERROR(_xll.ciqfunctions.udf.CIQ(mh_ticker, "IQ_TOTAL_DEBT_EXCL_OPER_LEASES", , B1246), "")</f>
        <v/>
      </c>
      <c r="H1246" s="11">
        <f>IFERROR(_xll.ciqfunctions.udf.CIQ(mh_ticker, "IQ_PREF_EQUITY", , B1246), "")</f>
        <v/>
      </c>
      <c r="I1246" s="11">
        <f>IFERROR(_xll.ciqfunctions.udf.CIQ(mh_ticker, "IQ_MINORITY_INTEREST", , B1246), "")</f>
        <v/>
      </c>
      <c r="J1246" s="11">
        <f>IFERROR(_xll.ciqfunctions.udf.CIQ(mh_ticker, "IQ_EQUITY_METHOD", , B1246), "")</f>
        <v/>
      </c>
      <c r="K1246" s="11">
        <f>IFERROR(_xll.ciqfunctions.udf.CIQ(mh_ticker, "IQ_LT_Mark_Securities", , B1246), "")</f>
        <v/>
      </c>
      <c r="L1246" s="12">
        <f>IFERROR(C1246*D1246, "")</f>
        <v/>
      </c>
      <c r="M1246" s="12">
        <f>IFERROR(L1246-E1246-F1246+G1246+H1246+I1246-J1246-K1246, "")</f>
        <v/>
      </c>
      <c r="N1246" s="11">
        <f>IFERROR(_xll.ciqfunctions.udf.CIQ(mh_ticker, "IQ_EBITDA_EST", IQ_NTM, B1246, , , "USD"), "")</f>
        <v/>
      </c>
      <c r="O1246" s="13">
        <f>IFERROR(M1246/N1246, "")</f>
        <v/>
      </c>
    </row>
    <row r="1247">
      <c r="B1247" s="8" t="n"/>
      <c r="C1247" s="9">
        <f>IFERROR(_xll.ciqfunctions.udf.CIQ(mh_ticker, "IQ_LASTSALEPRICE", B1247), "")</f>
        <v/>
      </c>
      <c r="D1247" s="10">
        <f>IFERROR(_xll.ciqfunctions.udf.CIQ(mh_ticker, "IQ_SHARESOUTSTANDING_OUT", B1247), "")</f>
        <v/>
      </c>
      <c r="E1247" s="11">
        <f>IFERROR(_xll.ciqfunctions.udf.CIQ(mh_ticker, "IQ_CASH_EQUIV", , B1247), "")</f>
        <v/>
      </c>
      <c r="F1247" s="11">
        <f>IFERROR(_xll.ciqfunctions.udf.CIQ(mh_ticker, "IQ_ST_INVEST", , B1247), "")</f>
        <v/>
      </c>
      <c r="G1247" s="11">
        <f>IFERROR(_xll.ciqfunctions.udf.CIQ(mh_ticker, "IQ_TOTAL_DEBT_EXCL_OPER_LEASES", , B1247), "")</f>
        <v/>
      </c>
      <c r="H1247" s="11">
        <f>IFERROR(_xll.ciqfunctions.udf.CIQ(mh_ticker, "IQ_PREF_EQUITY", , B1247), "")</f>
        <v/>
      </c>
      <c r="I1247" s="11">
        <f>IFERROR(_xll.ciqfunctions.udf.CIQ(mh_ticker, "IQ_MINORITY_INTEREST", , B1247), "")</f>
        <v/>
      </c>
      <c r="J1247" s="11">
        <f>IFERROR(_xll.ciqfunctions.udf.CIQ(mh_ticker, "IQ_EQUITY_METHOD", , B1247), "")</f>
        <v/>
      </c>
      <c r="K1247" s="11">
        <f>IFERROR(_xll.ciqfunctions.udf.CIQ(mh_ticker, "IQ_LT_Mark_Securities", , B1247), "")</f>
        <v/>
      </c>
      <c r="L1247" s="12">
        <f>IFERROR(C1247*D1247, "")</f>
        <v/>
      </c>
      <c r="M1247" s="12">
        <f>IFERROR(L1247-E1247-F1247+G1247+H1247+I1247-J1247-K1247, "")</f>
        <v/>
      </c>
      <c r="N1247" s="11">
        <f>IFERROR(_xll.ciqfunctions.udf.CIQ(mh_ticker, "IQ_EBITDA_EST", IQ_NTM, B1247, , , "USD"), "")</f>
        <v/>
      </c>
      <c r="O1247" s="13">
        <f>IFERROR(M1247/N1247, "")</f>
        <v/>
      </c>
    </row>
    <row r="1248">
      <c r="B1248" s="8" t="n"/>
      <c r="C1248" s="9">
        <f>IFERROR(_xll.ciqfunctions.udf.CIQ(mh_ticker, "IQ_LASTSALEPRICE", B1248), "")</f>
        <v/>
      </c>
      <c r="D1248" s="10">
        <f>IFERROR(_xll.ciqfunctions.udf.CIQ(mh_ticker, "IQ_SHARESOUTSTANDING_OUT", B1248), "")</f>
        <v/>
      </c>
      <c r="E1248" s="11">
        <f>IFERROR(_xll.ciqfunctions.udf.CIQ(mh_ticker, "IQ_CASH_EQUIV", , B1248), "")</f>
        <v/>
      </c>
      <c r="F1248" s="11">
        <f>IFERROR(_xll.ciqfunctions.udf.CIQ(mh_ticker, "IQ_ST_INVEST", , B1248), "")</f>
        <v/>
      </c>
      <c r="G1248" s="11">
        <f>IFERROR(_xll.ciqfunctions.udf.CIQ(mh_ticker, "IQ_TOTAL_DEBT_EXCL_OPER_LEASES", , B1248), "")</f>
        <v/>
      </c>
      <c r="H1248" s="11">
        <f>IFERROR(_xll.ciqfunctions.udf.CIQ(mh_ticker, "IQ_PREF_EQUITY", , B1248), "")</f>
        <v/>
      </c>
      <c r="I1248" s="11">
        <f>IFERROR(_xll.ciqfunctions.udf.CIQ(mh_ticker, "IQ_MINORITY_INTEREST", , B1248), "")</f>
        <v/>
      </c>
      <c r="J1248" s="11">
        <f>IFERROR(_xll.ciqfunctions.udf.CIQ(mh_ticker, "IQ_EQUITY_METHOD", , B1248), "")</f>
        <v/>
      </c>
      <c r="K1248" s="11">
        <f>IFERROR(_xll.ciqfunctions.udf.CIQ(mh_ticker, "IQ_LT_Mark_Securities", , B1248), "")</f>
        <v/>
      </c>
      <c r="L1248" s="12">
        <f>IFERROR(C1248*D1248, "")</f>
        <v/>
      </c>
      <c r="M1248" s="12">
        <f>IFERROR(L1248-E1248-F1248+G1248+H1248+I1248-J1248-K1248, "")</f>
        <v/>
      </c>
      <c r="N1248" s="11">
        <f>IFERROR(_xll.ciqfunctions.udf.CIQ(mh_ticker, "IQ_EBITDA_EST", IQ_NTM, B1248, , , "USD"), "")</f>
        <v/>
      </c>
      <c r="O1248" s="13">
        <f>IFERROR(M1248/N1248, "")</f>
        <v/>
      </c>
    </row>
    <row r="1249">
      <c r="B1249" s="8" t="n"/>
      <c r="C1249" s="9">
        <f>IFERROR(_xll.ciqfunctions.udf.CIQ(mh_ticker, "IQ_LASTSALEPRICE", B1249), "")</f>
        <v/>
      </c>
      <c r="D1249" s="10">
        <f>IFERROR(_xll.ciqfunctions.udf.CIQ(mh_ticker, "IQ_SHARESOUTSTANDING_OUT", B1249), "")</f>
        <v/>
      </c>
      <c r="E1249" s="11">
        <f>IFERROR(_xll.ciqfunctions.udf.CIQ(mh_ticker, "IQ_CASH_EQUIV", , B1249), "")</f>
        <v/>
      </c>
      <c r="F1249" s="11">
        <f>IFERROR(_xll.ciqfunctions.udf.CIQ(mh_ticker, "IQ_ST_INVEST", , B1249), "")</f>
        <v/>
      </c>
      <c r="G1249" s="11">
        <f>IFERROR(_xll.ciqfunctions.udf.CIQ(mh_ticker, "IQ_TOTAL_DEBT_EXCL_OPER_LEASES", , B1249), "")</f>
        <v/>
      </c>
      <c r="H1249" s="11">
        <f>IFERROR(_xll.ciqfunctions.udf.CIQ(mh_ticker, "IQ_PREF_EQUITY", , B1249), "")</f>
        <v/>
      </c>
      <c r="I1249" s="11">
        <f>IFERROR(_xll.ciqfunctions.udf.CIQ(mh_ticker, "IQ_MINORITY_INTEREST", , B1249), "")</f>
        <v/>
      </c>
      <c r="J1249" s="11">
        <f>IFERROR(_xll.ciqfunctions.udf.CIQ(mh_ticker, "IQ_EQUITY_METHOD", , B1249), "")</f>
        <v/>
      </c>
      <c r="K1249" s="11">
        <f>IFERROR(_xll.ciqfunctions.udf.CIQ(mh_ticker, "IQ_LT_Mark_Securities", , B1249), "")</f>
        <v/>
      </c>
      <c r="L1249" s="12">
        <f>IFERROR(C1249*D1249, "")</f>
        <v/>
      </c>
      <c r="M1249" s="12">
        <f>IFERROR(L1249-E1249-F1249+G1249+H1249+I1249-J1249-K1249, "")</f>
        <v/>
      </c>
      <c r="N1249" s="11">
        <f>IFERROR(_xll.ciqfunctions.udf.CIQ(mh_ticker, "IQ_EBITDA_EST", IQ_NTM, B1249, , , "USD"), "")</f>
        <v/>
      </c>
      <c r="O1249" s="13">
        <f>IFERROR(M1249/N1249, "")</f>
        <v/>
      </c>
    </row>
    <row r="1250">
      <c r="B1250" s="8" t="n"/>
      <c r="C1250" s="9">
        <f>IFERROR(_xll.ciqfunctions.udf.CIQ(mh_ticker, "IQ_LASTSALEPRICE", B1250), "")</f>
        <v/>
      </c>
      <c r="D1250" s="10">
        <f>IFERROR(_xll.ciqfunctions.udf.CIQ(mh_ticker, "IQ_SHARESOUTSTANDING_OUT", B1250), "")</f>
        <v/>
      </c>
      <c r="E1250" s="11">
        <f>IFERROR(_xll.ciqfunctions.udf.CIQ(mh_ticker, "IQ_CASH_EQUIV", , B1250), "")</f>
        <v/>
      </c>
      <c r="F1250" s="11">
        <f>IFERROR(_xll.ciqfunctions.udf.CIQ(mh_ticker, "IQ_ST_INVEST", , B1250), "")</f>
        <v/>
      </c>
      <c r="G1250" s="11">
        <f>IFERROR(_xll.ciqfunctions.udf.CIQ(mh_ticker, "IQ_TOTAL_DEBT_EXCL_OPER_LEASES", , B1250), "")</f>
        <v/>
      </c>
      <c r="H1250" s="11">
        <f>IFERROR(_xll.ciqfunctions.udf.CIQ(mh_ticker, "IQ_PREF_EQUITY", , B1250), "")</f>
        <v/>
      </c>
      <c r="I1250" s="11">
        <f>IFERROR(_xll.ciqfunctions.udf.CIQ(mh_ticker, "IQ_MINORITY_INTEREST", , B1250), "")</f>
        <v/>
      </c>
      <c r="J1250" s="11">
        <f>IFERROR(_xll.ciqfunctions.udf.CIQ(mh_ticker, "IQ_EQUITY_METHOD", , B1250), "")</f>
        <v/>
      </c>
      <c r="K1250" s="11">
        <f>IFERROR(_xll.ciqfunctions.udf.CIQ(mh_ticker, "IQ_LT_Mark_Securities", , B1250), "")</f>
        <v/>
      </c>
      <c r="L1250" s="12">
        <f>IFERROR(C1250*D1250, "")</f>
        <v/>
      </c>
      <c r="M1250" s="12">
        <f>IFERROR(L1250-E1250-F1250+G1250+H1250+I1250-J1250-K1250, "")</f>
        <v/>
      </c>
      <c r="N1250" s="11">
        <f>IFERROR(_xll.ciqfunctions.udf.CIQ(mh_ticker, "IQ_EBITDA_EST", IQ_NTM, B1250, , , "USD"), "")</f>
        <v/>
      </c>
      <c r="O1250" s="13">
        <f>IFERROR(M1250/N1250, "")</f>
        <v/>
      </c>
    </row>
    <row r="1251">
      <c r="B1251" s="8" t="n"/>
      <c r="C1251" s="9">
        <f>IFERROR(_xll.ciqfunctions.udf.CIQ(mh_ticker, "IQ_LASTSALEPRICE", B1251), "")</f>
        <v/>
      </c>
      <c r="D1251" s="10">
        <f>IFERROR(_xll.ciqfunctions.udf.CIQ(mh_ticker, "IQ_SHARESOUTSTANDING_OUT", B1251), "")</f>
        <v/>
      </c>
      <c r="E1251" s="11">
        <f>IFERROR(_xll.ciqfunctions.udf.CIQ(mh_ticker, "IQ_CASH_EQUIV", , B1251), "")</f>
        <v/>
      </c>
      <c r="F1251" s="11">
        <f>IFERROR(_xll.ciqfunctions.udf.CIQ(mh_ticker, "IQ_ST_INVEST", , B1251), "")</f>
        <v/>
      </c>
      <c r="G1251" s="11">
        <f>IFERROR(_xll.ciqfunctions.udf.CIQ(mh_ticker, "IQ_TOTAL_DEBT_EXCL_OPER_LEASES", , B1251), "")</f>
        <v/>
      </c>
      <c r="H1251" s="11">
        <f>IFERROR(_xll.ciqfunctions.udf.CIQ(mh_ticker, "IQ_PREF_EQUITY", , B1251), "")</f>
        <v/>
      </c>
      <c r="I1251" s="11">
        <f>IFERROR(_xll.ciqfunctions.udf.CIQ(mh_ticker, "IQ_MINORITY_INTEREST", , B1251), "")</f>
        <v/>
      </c>
      <c r="J1251" s="11">
        <f>IFERROR(_xll.ciqfunctions.udf.CIQ(mh_ticker, "IQ_EQUITY_METHOD", , B1251), "")</f>
        <v/>
      </c>
      <c r="K1251" s="11">
        <f>IFERROR(_xll.ciqfunctions.udf.CIQ(mh_ticker, "IQ_LT_Mark_Securities", , B1251), "")</f>
        <v/>
      </c>
      <c r="L1251" s="12">
        <f>IFERROR(C1251*D1251, "")</f>
        <v/>
      </c>
      <c r="M1251" s="12">
        <f>IFERROR(L1251-E1251-F1251+G1251+H1251+I1251-J1251-K1251, "")</f>
        <v/>
      </c>
      <c r="N1251" s="11">
        <f>IFERROR(_xll.ciqfunctions.udf.CIQ(mh_ticker, "IQ_EBITDA_EST", IQ_NTM, B1251, , , "USD"), "")</f>
        <v/>
      </c>
      <c r="O1251" s="13">
        <f>IFERROR(M1251/N1251, "")</f>
        <v/>
      </c>
    </row>
    <row r="1252">
      <c r="B1252" s="8" t="n"/>
      <c r="C1252" s="9">
        <f>IFERROR(_xll.ciqfunctions.udf.CIQ(mh_ticker, "IQ_LASTSALEPRICE", B1252), "")</f>
        <v/>
      </c>
      <c r="D1252" s="10">
        <f>IFERROR(_xll.ciqfunctions.udf.CIQ(mh_ticker, "IQ_SHARESOUTSTANDING_OUT", B1252), "")</f>
        <v/>
      </c>
      <c r="E1252" s="11">
        <f>IFERROR(_xll.ciqfunctions.udf.CIQ(mh_ticker, "IQ_CASH_EQUIV", , B1252), "")</f>
        <v/>
      </c>
      <c r="F1252" s="11">
        <f>IFERROR(_xll.ciqfunctions.udf.CIQ(mh_ticker, "IQ_ST_INVEST", , B1252), "")</f>
        <v/>
      </c>
      <c r="G1252" s="11">
        <f>IFERROR(_xll.ciqfunctions.udf.CIQ(mh_ticker, "IQ_TOTAL_DEBT_EXCL_OPER_LEASES", , B1252), "")</f>
        <v/>
      </c>
      <c r="H1252" s="11">
        <f>IFERROR(_xll.ciqfunctions.udf.CIQ(mh_ticker, "IQ_PREF_EQUITY", , B1252), "")</f>
        <v/>
      </c>
      <c r="I1252" s="11">
        <f>IFERROR(_xll.ciqfunctions.udf.CIQ(mh_ticker, "IQ_MINORITY_INTEREST", , B1252), "")</f>
        <v/>
      </c>
      <c r="J1252" s="11">
        <f>IFERROR(_xll.ciqfunctions.udf.CIQ(mh_ticker, "IQ_EQUITY_METHOD", , B1252), "")</f>
        <v/>
      </c>
      <c r="K1252" s="11">
        <f>IFERROR(_xll.ciqfunctions.udf.CIQ(mh_ticker, "IQ_LT_Mark_Securities", , B1252), "")</f>
        <v/>
      </c>
      <c r="L1252" s="12">
        <f>IFERROR(C1252*D1252, "")</f>
        <v/>
      </c>
      <c r="M1252" s="12">
        <f>IFERROR(L1252-E1252-F1252+G1252+H1252+I1252-J1252-K1252, "")</f>
        <v/>
      </c>
      <c r="N1252" s="11">
        <f>IFERROR(_xll.ciqfunctions.udf.CIQ(mh_ticker, "IQ_EBITDA_EST", IQ_NTM, B1252, , , "USD"), "")</f>
        <v/>
      </c>
      <c r="O1252" s="13">
        <f>IFERROR(M1252/N1252, "")</f>
        <v/>
      </c>
    </row>
    <row r="1253">
      <c r="B1253" s="8" t="n"/>
      <c r="C1253" s="9">
        <f>IFERROR(_xll.ciqfunctions.udf.CIQ(mh_ticker, "IQ_LASTSALEPRICE", B1253), "")</f>
        <v/>
      </c>
      <c r="D1253" s="10">
        <f>IFERROR(_xll.ciqfunctions.udf.CIQ(mh_ticker, "IQ_SHARESOUTSTANDING_OUT", B1253), "")</f>
        <v/>
      </c>
      <c r="E1253" s="11">
        <f>IFERROR(_xll.ciqfunctions.udf.CIQ(mh_ticker, "IQ_CASH_EQUIV", , B1253), "")</f>
        <v/>
      </c>
      <c r="F1253" s="11">
        <f>IFERROR(_xll.ciqfunctions.udf.CIQ(mh_ticker, "IQ_ST_INVEST", , B1253), "")</f>
        <v/>
      </c>
      <c r="G1253" s="11">
        <f>IFERROR(_xll.ciqfunctions.udf.CIQ(mh_ticker, "IQ_TOTAL_DEBT_EXCL_OPER_LEASES", , B1253), "")</f>
        <v/>
      </c>
      <c r="H1253" s="11">
        <f>IFERROR(_xll.ciqfunctions.udf.CIQ(mh_ticker, "IQ_PREF_EQUITY", , B1253), "")</f>
        <v/>
      </c>
      <c r="I1253" s="11">
        <f>IFERROR(_xll.ciqfunctions.udf.CIQ(mh_ticker, "IQ_MINORITY_INTEREST", , B1253), "")</f>
        <v/>
      </c>
      <c r="J1253" s="11">
        <f>IFERROR(_xll.ciqfunctions.udf.CIQ(mh_ticker, "IQ_EQUITY_METHOD", , B1253), "")</f>
        <v/>
      </c>
      <c r="K1253" s="11">
        <f>IFERROR(_xll.ciqfunctions.udf.CIQ(mh_ticker, "IQ_LT_Mark_Securities", , B1253), "")</f>
        <v/>
      </c>
      <c r="L1253" s="12">
        <f>IFERROR(C1253*D1253, "")</f>
        <v/>
      </c>
      <c r="M1253" s="12">
        <f>IFERROR(L1253-E1253-F1253+G1253+H1253+I1253-J1253-K1253, "")</f>
        <v/>
      </c>
      <c r="N1253" s="11">
        <f>IFERROR(_xll.ciqfunctions.udf.CIQ(mh_ticker, "IQ_EBITDA_EST", IQ_NTM, B1253, , , "USD"), "")</f>
        <v/>
      </c>
      <c r="O1253" s="13">
        <f>IFERROR(M1253/N1253, "")</f>
        <v/>
      </c>
    </row>
    <row r="1254">
      <c r="B1254" s="8" t="n"/>
      <c r="C1254" s="9">
        <f>IFERROR(_xll.ciqfunctions.udf.CIQ(mh_ticker, "IQ_LASTSALEPRICE", B1254), "")</f>
        <v/>
      </c>
      <c r="D1254" s="10">
        <f>IFERROR(_xll.ciqfunctions.udf.CIQ(mh_ticker, "IQ_SHARESOUTSTANDING_OUT", B1254), "")</f>
        <v/>
      </c>
      <c r="E1254" s="11">
        <f>IFERROR(_xll.ciqfunctions.udf.CIQ(mh_ticker, "IQ_CASH_EQUIV", , B1254), "")</f>
        <v/>
      </c>
      <c r="F1254" s="11">
        <f>IFERROR(_xll.ciqfunctions.udf.CIQ(mh_ticker, "IQ_ST_INVEST", , B1254), "")</f>
        <v/>
      </c>
      <c r="G1254" s="11">
        <f>IFERROR(_xll.ciqfunctions.udf.CIQ(mh_ticker, "IQ_TOTAL_DEBT_EXCL_OPER_LEASES", , B1254), "")</f>
        <v/>
      </c>
      <c r="H1254" s="11">
        <f>IFERROR(_xll.ciqfunctions.udf.CIQ(mh_ticker, "IQ_PREF_EQUITY", , B1254), "")</f>
        <v/>
      </c>
      <c r="I1254" s="11">
        <f>IFERROR(_xll.ciqfunctions.udf.CIQ(mh_ticker, "IQ_MINORITY_INTEREST", , B1254), "")</f>
        <v/>
      </c>
      <c r="J1254" s="11">
        <f>IFERROR(_xll.ciqfunctions.udf.CIQ(mh_ticker, "IQ_EQUITY_METHOD", , B1254), "")</f>
        <v/>
      </c>
      <c r="K1254" s="11">
        <f>IFERROR(_xll.ciqfunctions.udf.CIQ(mh_ticker, "IQ_LT_Mark_Securities", , B1254), "")</f>
        <v/>
      </c>
      <c r="L1254" s="12">
        <f>IFERROR(C1254*D1254, "")</f>
        <v/>
      </c>
      <c r="M1254" s="12">
        <f>IFERROR(L1254-E1254-F1254+G1254+H1254+I1254-J1254-K1254, "")</f>
        <v/>
      </c>
      <c r="N1254" s="11">
        <f>IFERROR(_xll.ciqfunctions.udf.CIQ(mh_ticker, "IQ_EBITDA_EST", IQ_NTM, B1254, , , "USD"), "")</f>
        <v/>
      </c>
      <c r="O1254" s="13">
        <f>IFERROR(M1254/N1254, "")</f>
        <v/>
      </c>
    </row>
    <row r="1255">
      <c r="B1255" s="8" t="n"/>
      <c r="C1255" s="9">
        <f>IFERROR(_xll.ciqfunctions.udf.CIQ(mh_ticker, "IQ_LASTSALEPRICE", B1255), "")</f>
        <v/>
      </c>
      <c r="D1255" s="10">
        <f>IFERROR(_xll.ciqfunctions.udf.CIQ(mh_ticker, "IQ_SHARESOUTSTANDING_OUT", B1255), "")</f>
        <v/>
      </c>
      <c r="E1255" s="11">
        <f>IFERROR(_xll.ciqfunctions.udf.CIQ(mh_ticker, "IQ_CASH_EQUIV", , B1255), "")</f>
        <v/>
      </c>
      <c r="F1255" s="11">
        <f>IFERROR(_xll.ciqfunctions.udf.CIQ(mh_ticker, "IQ_ST_INVEST", , B1255), "")</f>
        <v/>
      </c>
      <c r="G1255" s="11">
        <f>IFERROR(_xll.ciqfunctions.udf.CIQ(mh_ticker, "IQ_TOTAL_DEBT_EXCL_OPER_LEASES", , B1255), "")</f>
        <v/>
      </c>
      <c r="H1255" s="11">
        <f>IFERROR(_xll.ciqfunctions.udf.CIQ(mh_ticker, "IQ_PREF_EQUITY", , B1255), "")</f>
        <v/>
      </c>
      <c r="I1255" s="11">
        <f>IFERROR(_xll.ciqfunctions.udf.CIQ(mh_ticker, "IQ_MINORITY_INTEREST", , B1255), "")</f>
        <v/>
      </c>
      <c r="J1255" s="11">
        <f>IFERROR(_xll.ciqfunctions.udf.CIQ(mh_ticker, "IQ_EQUITY_METHOD", , B1255), "")</f>
        <v/>
      </c>
      <c r="K1255" s="11">
        <f>IFERROR(_xll.ciqfunctions.udf.CIQ(mh_ticker, "IQ_LT_Mark_Securities", , B1255), "")</f>
        <v/>
      </c>
      <c r="L1255" s="12">
        <f>IFERROR(C1255*D1255, "")</f>
        <v/>
      </c>
      <c r="M1255" s="12">
        <f>IFERROR(L1255-E1255-F1255+G1255+H1255+I1255-J1255-K1255, "")</f>
        <v/>
      </c>
      <c r="N1255" s="11">
        <f>IFERROR(_xll.ciqfunctions.udf.CIQ(mh_ticker, "IQ_EBITDA_EST", IQ_NTM, B1255, , , "USD"), "")</f>
        <v/>
      </c>
      <c r="O1255" s="13">
        <f>IFERROR(M1255/N1255, "")</f>
        <v/>
      </c>
    </row>
    <row r="1256">
      <c r="B1256" s="8" t="n"/>
      <c r="C1256" s="9">
        <f>IFERROR(_xll.ciqfunctions.udf.CIQ(mh_ticker, "IQ_LASTSALEPRICE", B1256), "")</f>
        <v/>
      </c>
      <c r="D1256" s="10">
        <f>IFERROR(_xll.ciqfunctions.udf.CIQ(mh_ticker, "IQ_SHARESOUTSTANDING_OUT", B1256), "")</f>
        <v/>
      </c>
      <c r="E1256" s="11">
        <f>IFERROR(_xll.ciqfunctions.udf.CIQ(mh_ticker, "IQ_CASH_EQUIV", , B1256), "")</f>
        <v/>
      </c>
      <c r="F1256" s="11">
        <f>IFERROR(_xll.ciqfunctions.udf.CIQ(mh_ticker, "IQ_ST_INVEST", , B1256), "")</f>
        <v/>
      </c>
      <c r="G1256" s="11">
        <f>IFERROR(_xll.ciqfunctions.udf.CIQ(mh_ticker, "IQ_TOTAL_DEBT_EXCL_OPER_LEASES", , B1256), "")</f>
        <v/>
      </c>
      <c r="H1256" s="11">
        <f>IFERROR(_xll.ciqfunctions.udf.CIQ(mh_ticker, "IQ_PREF_EQUITY", , B1256), "")</f>
        <v/>
      </c>
      <c r="I1256" s="11">
        <f>IFERROR(_xll.ciqfunctions.udf.CIQ(mh_ticker, "IQ_MINORITY_INTEREST", , B1256), "")</f>
        <v/>
      </c>
      <c r="J1256" s="11">
        <f>IFERROR(_xll.ciqfunctions.udf.CIQ(mh_ticker, "IQ_EQUITY_METHOD", , B1256), "")</f>
        <v/>
      </c>
      <c r="K1256" s="11">
        <f>IFERROR(_xll.ciqfunctions.udf.CIQ(mh_ticker, "IQ_LT_Mark_Securities", , B1256), "")</f>
        <v/>
      </c>
      <c r="L1256" s="12">
        <f>IFERROR(C1256*D1256, "")</f>
        <v/>
      </c>
      <c r="M1256" s="12">
        <f>IFERROR(L1256-E1256-F1256+G1256+H1256+I1256-J1256-K1256, "")</f>
        <v/>
      </c>
      <c r="N1256" s="11">
        <f>IFERROR(_xll.ciqfunctions.udf.CIQ(mh_ticker, "IQ_EBITDA_EST", IQ_NTM, B1256, , , "USD"), "")</f>
        <v/>
      </c>
      <c r="O1256" s="13">
        <f>IFERROR(M1256/N1256, "")</f>
        <v/>
      </c>
    </row>
    <row r="1257">
      <c r="B1257" s="8" t="n"/>
      <c r="C1257" s="9">
        <f>IFERROR(_xll.ciqfunctions.udf.CIQ(mh_ticker, "IQ_LASTSALEPRICE", B1257), "")</f>
        <v/>
      </c>
      <c r="D1257" s="10">
        <f>IFERROR(_xll.ciqfunctions.udf.CIQ(mh_ticker, "IQ_SHARESOUTSTANDING_OUT", B1257), "")</f>
        <v/>
      </c>
      <c r="E1257" s="11">
        <f>IFERROR(_xll.ciqfunctions.udf.CIQ(mh_ticker, "IQ_CASH_EQUIV", , B1257), "")</f>
        <v/>
      </c>
      <c r="F1257" s="11">
        <f>IFERROR(_xll.ciqfunctions.udf.CIQ(mh_ticker, "IQ_ST_INVEST", , B1257), "")</f>
        <v/>
      </c>
      <c r="G1257" s="11">
        <f>IFERROR(_xll.ciqfunctions.udf.CIQ(mh_ticker, "IQ_TOTAL_DEBT_EXCL_OPER_LEASES", , B1257), "")</f>
        <v/>
      </c>
      <c r="H1257" s="11">
        <f>IFERROR(_xll.ciqfunctions.udf.CIQ(mh_ticker, "IQ_PREF_EQUITY", , B1257), "")</f>
        <v/>
      </c>
      <c r="I1257" s="11">
        <f>IFERROR(_xll.ciqfunctions.udf.CIQ(mh_ticker, "IQ_MINORITY_INTEREST", , B1257), "")</f>
        <v/>
      </c>
      <c r="J1257" s="11">
        <f>IFERROR(_xll.ciqfunctions.udf.CIQ(mh_ticker, "IQ_EQUITY_METHOD", , B1257), "")</f>
        <v/>
      </c>
      <c r="K1257" s="11">
        <f>IFERROR(_xll.ciqfunctions.udf.CIQ(mh_ticker, "IQ_LT_Mark_Securities", , B1257), "")</f>
        <v/>
      </c>
      <c r="L1257" s="12">
        <f>IFERROR(C1257*D1257, "")</f>
        <v/>
      </c>
      <c r="M1257" s="12">
        <f>IFERROR(L1257-E1257-F1257+G1257+H1257+I1257-J1257-K1257, "")</f>
        <v/>
      </c>
      <c r="N1257" s="11">
        <f>IFERROR(_xll.ciqfunctions.udf.CIQ(mh_ticker, "IQ_EBITDA_EST", IQ_NTM, B1257, , , "USD"), "")</f>
        <v/>
      </c>
      <c r="O1257" s="13">
        <f>IFERROR(M1257/N1257, "")</f>
        <v/>
      </c>
    </row>
    <row r="1258">
      <c r="B1258" s="8" t="n"/>
      <c r="C1258" s="9">
        <f>IFERROR(_xll.ciqfunctions.udf.CIQ(mh_ticker, "IQ_LASTSALEPRICE", B1258), "")</f>
        <v/>
      </c>
      <c r="D1258" s="10">
        <f>IFERROR(_xll.ciqfunctions.udf.CIQ(mh_ticker, "IQ_SHARESOUTSTANDING_OUT", B1258), "")</f>
        <v/>
      </c>
      <c r="E1258" s="11">
        <f>IFERROR(_xll.ciqfunctions.udf.CIQ(mh_ticker, "IQ_CASH_EQUIV", , B1258), "")</f>
        <v/>
      </c>
      <c r="F1258" s="11">
        <f>IFERROR(_xll.ciqfunctions.udf.CIQ(mh_ticker, "IQ_ST_INVEST", , B1258), "")</f>
        <v/>
      </c>
      <c r="G1258" s="11">
        <f>IFERROR(_xll.ciqfunctions.udf.CIQ(mh_ticker, "IQ_TOTAL_DEBT_EXCL_OPER_LEASES", , B1258), "")</f>
        <v/>
      </c>
      <c r="H1258" s="11">
        <f>IFERROR(_xll.ciqfunctions.udf.CIQ(mh_ticker, "IQ_PREF_EQUITY", , B1258), "")</f>
        <v/>
      </c>
      <c r="I1258" s="11">
        <f>IFERROR(_xll.ciqfunctions.udf.CIQ(mh_ticker, "IQ_MINORITY_INTEREST", , B1258), "")</f>
        <v/>
      </c>
      <c r="J1258" s="11">
        <f>IFERROR(_xll.ciqfunctions.udf.CIQ(mh_ticker, "IQ_EQUITY_METHOD", , B1258), "")</f>
        <v/>
      </c>
      <c r="K1258" s="11">
        <f>IFERROR(_xll.ciqfunctions.udf.CIQ(mh_ticker, "IQ_LT_Mark_Securities", , B1258), "")</f>
        <v/>
      </c>
      <c r="L1258" s="12">
        <f>IFERROR(C1258*D1258, "")</f>
        <v/>
      </c>
      <c r="M1258" s="12">
        <f>IFERROR(L1258-E1258-F1258+G1258+H1258+I1258-J1258-K1258, "")</f>
        <v/>
      </c>
      <c r="N1258" s="11">
        <f>IFERROR(_xll.ciqfunctions.udf.CIQ(mh_ticker, "IQ_EBITDA_EST", IQ_NTM, B1258, , , "USD"), "")</f>
        <v/>
      </c>
      <c r="O1258" s="13">
        <f>IFERROR(M1258/N1258, "")</f>
        <v/>
      </c>
    </row>
    <row r="1259">
      <c r="B1259" s="8" t="n"/>
      <c r="C1259" s="9">
        <f>IFERROR(_xll.ciqfunctions.udf.CIQ(mh_ticker, "IQ_LASTSALEPRICE", B1259), "")</f>
        <v/>
      </c>
      <c r="D1259" s="10">
        <f>IFERROR(_xll.ciqfunctions.udf.CIQ(mh_ticker, "IQ_SHARESOUTSTANDING_OUT", B1259), "")</f>
        <v/>
      </c>
      <c r="E1259" s="11">
        <f>IFERROR(_xll.ciqfunctions.udf.CIQ(mh_ticker, "IQ_CASH_EQUIV", , B1259), "")</f>
        <v/>
      </c>
      <c r="F1259" s="11">
        <f>IFERROR(_xll.ciqfunctions.udf.CIQ(mh_ticker, "IQ_ST_INVEST", , B1259), "")</f>
        <v/>
      </c>
      <c r="G1259" s="11">
        <f>IFERROR(_xll.ciqfunctions.udf.CIQ(mh_ticker, "IQ_TOTAL_DEBT_EXCL_OPER_LEASES", , B1259), "")</f>
        <v/>
      </c>
      <c r="H1259" s="11">
        <f>IFERROR(_xll.ciqfunctions.udf.CIQ(mh_ticker, "IQ_PREF_EQUITY", , B1259), "")</f>
        <v/>
      </c>
      <c r="I1259" s="11">
        <f>IFERROR(_xll.ciqfunctions.udf.CIQ(mh_ticker, "IQ_MINORITY_INTEREST", , B1259), "")</f>
        <v/>
      </c>
      <c r="J1259" s="11">
        <f>IFERROR(_xll.ciqfunctions.udf.CIQ(mh_ticker, "IQ_EQUITY_METHOD", , B1259), "")</f>
        <v/>
      </c>
      <c r="K1259" s="11">
        <f>IFERROR(_xll.ciqfunctions.udf.CIQ(mh_ticker, "IQ_LT_Mark_Securities", , B1259), "")</f>
        <v/>
      </c>
      <c r="L1259" s="12">
        <f>IFERROR(C1259*D1259, "")</f>
        <v/>
      </c>
      <c r="M1259" s="12">
        <f>IFERROR(L1259-E1259-F1259+G1259+H1259+I1259-J1259-K1259, "")</f>
        <v/>
      </c>
      <c r="N1259" s="11">
        <f>IFERROR(_xll.ciqfunctions.udf.CIQ(mh_ticker, "IQ_EBITDA_EST", IQ_NTM, B1259, , , "USD"), "")</f>
        <v/>
      </c>
      <c r="O1259" s="13">
        <f>IFERROR(M1259/N1259, "")</f>
        <v/>
      </c>
    </row>
    <row r="1260">
      <c r="B1260" s="8" t="n"/>
      <c r="C1260" s="9">
        <f>IFERROR(_xll.ciqfunctions.udf.CIQ(mh_ticker, "IQ_LASTSALEPRICE", B1260), "")</f>
        <v/>
      </c>
      <c r="D1260" s="10">
        <f>IFERROR(_xll.ciqfunctions.udf.CIQ(mh_ticker, "IQ_SHARESOUTSTANDING_OUT", B1260), "")</f>
        <v/>
      </c>
      <c r="E1260" s="11">
        <f>IFERROR(_xll.ciqfunctions.udf.CIQ(mh_ticker, "IQ_CASH_EQUIV", , B1260), "")</f>
        <v/>
      </c>
      <c r="F1260" s="11">
        <f>IFERROR(_xll.ciqfunctions.udf.CIQ(mh_ticker, "IQ_ST_INVEST", , B1260), "")</f>
        <v/>
      </c>
      <c r="G1260" s="11">
        <f>IFERROR(_xll.ciqfunctions.udf.CIQ(mh_ticker, "IQ_TOTAL_DEBT_EXCL_OPER_LEASES", , B1260), "")</f>
        <v/>
      </c>
      <c r="H1260" s="11">
        <f>IFERROR(_xll.ciqfunctions.udf.CIQ(mh_ticker, "IQ_PREF_EQUITY", , B1260), "")</f>
        <v/>
      </c>
      <c r="I1260" s="11">
        <f>IFERROR(_xll.ciqfunctions.udf.CIQ(mh_ticker, "IQ_MINORITY_INTEREST", , B1260), "")</f>
        <v/>
      </c>
      <c r="J1260" s="11">
        <f>IFERROR(_xll.ciqfunctions.udf.CIQ(mh_ticker, "IQ_EQUITY_METHOD", , B1260), "")</f>
        <v/>
      </c>
      <c r="K1260" s="11">
        <f>IFERROR(_xll.ciqfunctions.udf.CIQ(mh_ticker, "IQ_LT_Mark_Securities", , B1260), "")</f>
        <v/>
      </c>
      <c r="L1260" s="12">
        <f>IFERROR(C1260*D1260, "")</f>
        <v/>
      </c>
      <c r="M1260" s="12">
        <f>IFERROR(L1260-E1260-F1260+G1260+H1260+I1260-J1260-K1260, "")</f>
        <v/>
      </c>
      <c r="N1260" s="11">
        <f>IFERROR(_xll.ciqfunctions.udf.CIQ(mh_ticker, "IQ_EBITDA_EST", IQ_NTM, B1260, , , "USD"), "")</f>
        <v/>
      </c>
      <c r="O1260" s="13">
        <f>IFERROR(M1260/N1260, "")</f>
        <v/>
      </c>
    </row>
    <row r="1261">
      <c r="B1261" s="8" t="n"/>
      <c r="C1261" s="9">
        <f>IFERROR(_xll.ciqfunctions.udf.CIQ(mh_ticker, "IQ_LASTSALEPRICE", B1261), "")</f>
        <v/>
      </c>
      <c r="D1261" s="10">
        <f>IFERROR(_xll.ciqfunctions.udf.CIQ(mh_ticker, "IQ_SHARESOUTSTANDING_OUT", B1261), "")</f>
        <v/>
      </c>
      <c r="E1261" s="11">
        <f>IFERROR(_xll.ciqfunctions.udf.CIQ(mh_ticker, "IQ_CASH_EQUIV", , B1261), "")</f>
        <v/>
      </c>
      <c r="F1261" s="11">
        <f>IFERROR(_xll.ciqfunctions.udf.CIQ(mh_ticker, "IQ_ST_INVEST", , B1261), "")</f>
        <v/>
      </c>
      <c r="G1261" s="11">
        <f>IFERROR(_xll.ciqfunctions.udf.CIQ(mh_ticker, "IQ_TOTAL_DEBT_EXCL_OPER_LEASES", , B1261), "")</f>
        <v/>
      </c>
      <c r="H1261" s="11">
        <f>IFERROR(_xll.ciqfunctions.udf.CIQ(mh_ticker, "IQ_PREF_EQUITY", , B1261), "")</f>
        <v/>
      </c>
      <c r="I1261" s="11">
        <f>IFERROR(_xll.ciqfunctions.udf.CIQ(mh_ticker, "IQ_MINORITY_INTEREST", , B1261), "")</f>
        <v/>
      </c>
      <c r="J1261" s="11">
        <f>IFERROR(_xll.ciqfunctions.udf.CIQ(mh_ticker, "IQ_EQUITY_METHOD", , B1261), "")</f>
        <v/>
      </c>
      <c r="K1261" s="11">
        <f>IFERROR(_xll.ciqfunctions.udf.CIQ(mh_ticker, "IQ_LT_Mark_Securities", , B1261), "")</f>
        <v/>
      </c>
      <c r="L1261" s="12">
        <f>IFERROR(C1261*D1261, "")</f>
        <v/>
      </c>
      <c r="M1261" s="12">
        <f>IFERROR(L1261-E1261-F1261+G1261+H1261+I1261-J1261-K1261, "")</f>
        <v/>
      </c>
      <c r="N1261" s="11">
        <f>IFERROR(_xll.ciqfunctions.udf.CIQ(mh_ticker, "IQ_EBITDA_EST", IQ_NTM, B1261, , , "USD"), "")</f>
        <v/>
      </c>
      <c r="O1261" s="13">
        <f>IFERROR(M1261/N1261, "")</f>
        <v/>
      </c>
    </row>
    <row r="1262">
      <c r="B1262" s="8" t="n"/>
      <c r="C1262" s="9">
        <f>IFERROR(_xll.ciqfunctions.udf.CIQ(mh_ticker, "IQ_LASTSALEPRICE", B1262), "")</f>
        <v/>
      </c>
      <c r="D1262" s="10">
        <f>IFERROR(_xll.ciqfunctions.udf.CIQ(mh_ticker, "IQ_SHARESOUTSTANDING_OUT", B1262), "")</f>
        <v/>
      </c>
      <c r="E1262" s="11">
        <f>IFERROR(_xll.ciqfunctions.udf.CIQ(mh_ticker, "IQ_CASH_EQUIV", , B1262), "")</f>
        <v/>
      </c>
      <c r="F1262" s="11">
        <f>IFERROR(_xll.ciqfunctions.udf.CIQ(mh_ticker, "IQ_ST_INVEST", , B1262), "")</f>
        <v/>
      </c>
      <c r="G1262" s="11">
        <f>IFERROR(_xll.ciqfunctions.udf.CIQ(mh_ticker, "IQ_TOTAL_DEBT_EXCL_OPER_LEASES", , B1262), "")</f>
        <v/>
      </c>
      <c r="H1262" s="11">
        <f>IFERROR(_xll.ciqfunctions.udf.CIQ(mh_ticker, "IQ_PREF_EQUITY", , B1262), "")</f>
        <v/>
      </c>
      <c r="I1262" s="11">
        <f>IFERROR(_xll.ciqfunctions.udf.CIQ(mh_ticker, "IQ_MINORITY_INTEREST", , B1262), "")</f>
        <v/>
      </c>
      <c r="J1262" s="11">
        <f>IFERROR(_xll.ciqfunctions.udf.CIQ(mh_ticker, "IQ_EQUITY_METHOD", , B1262), "")</f>
        <v/>
      </c>
      <c r="K1262" s="11">
        <f>IFERROR(_xll.ciqfunctions.udf.CIQ(mh_ticker, "IQ_LT_Mark_Securities", , B1262), "")</f>
        <v/>
      </c>
      <c r="L1262" s="12">
        <f>IFERROR(C1262*D1262, "")</f>
        <v/>
      </c>
      <c r="M1262" s="12">
        <f>IFERROR(L1262-E1262-F1262+G1262+H1262+I1262-J1262-K1262, "")</f>
        <v/>
      </c>
      <c r="N1262" s="11">
        <f>IFERROR(_xll.ciqfunctions.udf.CIQ(mh_ticker, "IQ_EBITDA_EST", IQ_NTM, B1262, , , "USD"), "")</f>
        <v/>
      </c>
      <c r="O1262" s="13">
        <f>IFERROR(M1262/N1262, "")</f>
        <v/>
      </c>
    </row>
    <row r="1263">
      <c r="B1263" s="8" t="n"/>
      <c r="C1263" s="9">
        <f>IFERROR(_xll.ciqfunctions.udf.CIQ(mh_ticker, "IQ_LASTSALEPRICE", B1263), "")</f>
        <v/>
      </c>
      <c r="D1263" s="10">
        <f>IFERROR(_xll.ciqfunctions.udf.CIQ(mh_ticker, "IQ_SHARESOUTSTANDING_OUT", B1263), "")</f>
        <v/>
      </c>
      <c r="E1263" s="11">
        <f>IFERROR(_xll.ciqfunctions.udf.CIQ(mh_ticker, "IQ_CASH_EQUIV", , B1263), "")</f>
        <v/>
      </c>
      <c r="F1263" s="11">
        <f>IFERROR(_xll.ciqfunctions.udf.CIQ(mh_ticker, "IQ_ST_INVEST", , B1263), "")</f>
        <v/>
      </c>
      <c r="G1263" s="11">
        <f>IFERROR(_xll.ciqfunctions.udf.CIQ(mh_ticker, "IQ_TOTAL_DEBT_EXCL_OPER_LEASES", , B1263), "")</f>
        <v/>
      </c>
      <c r="H1263" s="11">
        <f>IFERROR(_xll.ciqfunctions.udf.CIQ(mh_ticker, "IQ_PREF_EQUITY", , B1263), "")</f>
        <v/>
      </c>
      <c r="I1263" s="11">
        <f>IFERROR(_xll.ciqfunctions.udf.CIQ(mh_ticker, "IQ_MINORITY_INTEREST", , B1263), "")</f>
        <v/>
      </c>
      <c r="J1263" s="11">
        <f>IFERROR(_xll.ciqfunctions.udf.CIQ(mh_ticker, "IQ_EQUITY_METHOD", , B1263), "")</f>
        <v/>
      </c>
      <c r="K1263" s="11">
        <f>IFERROR(_xll.ciqfunctions.udf.CIQ(mh_ticker, "IQ_LT_Mark_Securities", , B1263), "")</f>
        <v/>
      </c>
      <c r="L1263" s="12">
        <f>IFERROR(C1263*D1263, "")</f>
        <v/>
      </c>
      <c r="M1263" s="12">
        <f>IFERROR(L1263-E1263-F1263+G1263+H1263+I1263-J1263-K1263, "")</f>
        <v/>
      </c>
      <c r="N1263" s="11">
        <f>IFERROR(_xll.ciqfunctions.udf.CIQ(mh_ticker, "IQ_EBITDA_EST", IQ_NTM, B1263, , , "USD"), "")</f>
        <v/>
      </c>
      <c r="O1263" s="13">
        <f>IFERROR(M1263/N1263, "")</f>
        <v/>
      </c>
    </row>
    <row r="1264">
      <c r="B1264" s="8" t="n"/>
      <c r="C1264" s="9">
        <f>IFERROR(_xll.ciqfunctions.udf.CIQ(mh_ticker, "IQ_LASTSALEPRICE", B1264), "")</f>
        <v/>
      </c>
      <c r="D1264" s="10">
        <f>IFERROR(_xll.ciqfunctions.udf.CIQ(mh_ticker, "IQ_SHARESOUTSTANDING_OUT", B1264), "")</f>
        <v/>
      </c>
      <c r="E1264" s="11">
        <f>IFERROR(_xll.ciqfunctions.udf.CIQ(mh_ticker, "IQ_CASH_EQUIV", , B1264), "")</f>
        <v/>
      </c>
      <c r="F1264" s="11">
        <f>IFERROR(_xll.ciqfunctions.udf.CIQ(mh_ticker, "IQ_ST_INVEST", , B1264), "")</f>
        <v/>
      </c>
      <c r="G1264" s="11">
        <f>IFERROR(_xll.ciqfunctions.udf.CIQ(mh_ticker, "IQ_TOTAL_DEBT_EXCL_OPER_LEASES", , B1264), "")</f>
        <v/>
      </c>
      <c r="H1264" s="11">
        <f>IFERROR(_xll.ciqfunctions.udf.CIQ(mh_ticker, "IQ_PREF_EQUITY", , B1264), "")</f>
        <v/>
      </c>
      <c r="I1264" s="11">
        <f>IFERROR(_xll.ciqfunctions.udf.CIQ(mh_ticker, "IQ_MINORITY_INTEREST", , B1264), "")</f>
        <v/>
      </c>
      <c r="J1264" s="11">
        <f>IFERROR(_xll.ciqfunctions.udf.CIQ(mh_ticker, "IQ_EQUITY_METHOD", , B1264), "")</f>
        <v/>
      </c>
      <c r="K1264" s="11">
        <f>IFERROR(_xll.ciqfunctions.udf.CIQ(mh_ticker, "IQ_LT_Mark_Securities", , B1264), "")</f>
        <v/>
      </c>
      <c r="L1264" s="12">
        <f>IFERROR(C1264*D1264, "")</f>
        <v/>
      </c>
      <c r="M1264" s="12">
        <f>IFERROR(L1264-E1264-F1264+G1264+H1264+I1264-J1264-K1264, "")</f>
        <v/>
      </c>
      <c r="N1264" s="11">
        <f>IFERROR(_xll.ciqfunctions.udf.CIQ(mh_ticker, "IQ_EBITDA_EST", IQ_NTM, B1264, , , "USD"), "")</f>
        <v/>
      </c>
      <c r="O1264" s="13">
        <f>IFERROR(M1264/N1264, "")</f>
        <v/>
      </c>
    </row>
    <row r="1265">
      <c r="B1265" s="8" t="n"/>
      <c r="C1265" s="9">
        <f>IFERROR(_xll.ciqfunctions.udf.CIQ(mh_ticker, "IQ_LASTSALEPRICE", B1265), "")</f>
        <v/>
      </c>
      <c r="D1265" s="10">
        <f>IFERROR(_xll.ciqfunctions.udf.CIQ(mh_ticker, "IQ_SHARESOUTSTANDING_OUT", B1265), "")</f>
        <v/>
      </c>
      <c r="E1265" s="11">
        <f>IFERROR(_xll.ciqfunctions.udf.CIQ(mh_ticker, "IQ_CASH_EQUIV", , B1265), "")</f>
        <v/>
      </c>
      <c r="F1265" s="11">
        <f>IFERROR(_xll.ciqfunctions.udf.CIQ(mh_ticker, "IQ_ST_INVEST", , B1265), "")</f>
        <v/>
      </c>
      <c r="G1265" s="11">
        <f>IFERROR(_xll.ciqfunctions.udf.CIQ(mh_ticker, "IQ_TOTAL_DEBT_EXCL_OPER_LEASES", , B1265), "")</f>
        <v/>
      </c>
      <c r="H1265" s="11">
        <f>IFERROR(_xll.ciqfunctions.udf.CIQ(mh_ticker, "IQ_PREF_EQUITY", , B1265), "")</f>
        <v/>
      </c>
      <c r="I1265" s="11">
        <f>IFERROR(_xll.ciqfunctions.udf.CIQ(mh_ticker, "IQ_MINORITY_INTEREST", , B1265), "")</f>
        <v/>
      </c>
      <c r="J1265" s="11">
        <f>IFERROR(_xll.ciqfunctions.udf.CIQ(mh_ticker, "IQ_EQUITY_METHOD", , B1265), "")</f>
        <v/>
      </c>
      <c r="K1265" s="11">
        <f>IFERROR(_xll.ciqfunctions.udf.CIQ(mh_ticker, "IQ_LT_Mark_Securities", , B1265), "")</f>
        <v/>
      </c>
      <c r="L1265" s="12">
        <f>IFERROR(C1265*D1265, "")</f>
        <v/>
      </c>
      <c r="M1265" s="12">
        <f>IFERROR(L1265-E1265-F1265+G1265+H1265+I1265-J1265-K1265, "")</f>
        <v/>
      </c>
      <c r="N1265" s="11">
        <f>IFERROR(_xll.ciqfunctions.udf.CIQ(mh_ticker, "IQ_EBITDA_EST", IQ_NTM, B1265, , , "USD"), "")</f>
        <v/>
      </c>
      <c r="O1265" s="13">
        <f>IFERROR(M1265/N1265, "")</f>
        <v/>
      </c>
    </row>
    <row r="1266">
      <c r="B1266" s="8" t="n"/>
      <c r="C1266" s="9">
        <f>IFERROR(_xll.ciqfunctions.udf.CIQ(mh_ticker, "IQ_LASTSALEPRICE", B1266), "")</f>
        <v/>
      </c>
      <c r="D1266" s="10">
        <f>IFERROR(_xll.ciqfunctions.udf.CIQ(mh_ticker, "IQ_SHARESOUTSTANDING_OUT", B1266), "")</f>
        <v/>
      </c>
      <c r="E1266" s="11">
        <f>IFERROR(_xll.ciqfunctions.udf.CIQ(mh_ticker, "IQ_CASH_EQUIV", , B1266), "")</f>
        <v/>
      </c>
      <c r="F1266" s="11">
        <f>IFERROR(_xll.ciqfunctions.udf.CIQ(mh_ticker, "IQ_ST_INVEST", , B1266), "")</f>
        <v/>
      </c>
      <c r="G1266" s="11">
        <f>IFERROR(_xll.ciqfunctions.udf.CIQ(mh_ticker, "IQ_TOTAL_DEBT_EXCL_OPER_LEASES", , B1266), "")</f>
        <v/>
      </c>
      <c r="H1266" s="11">
        <f>IFERROR(_xll.ciqfunctions.udf.CIQ(mh_ticker, "IQ_PREF_EQUITY", , B1266), "")</f>
        <v/>
      </c>
      <c r="I1266" s="11">
        <f>IFERROR(_xll.ciqfunctions.udf.CIQ(mh_ticker, "IQ_MINORITY_INTEREST", , B1266), "")</f>
        <v/>
      </c>
      <c r="J1266" s="11">
        <f>IFERROR(_xll.ciqfunctions.udf.CIQ(mh_ticker, "IQ_EQUITY_METHOD", , B1266), "")</f>
        <v/>
      </c>
      <c r="K1266" s="11">
        <f>IFERROR(_xll.ciqfunctions.udf.CIQ(mh_ticker, "IQ_LT_Mark_Securities", , B1266), "")</f>
        <v/>
      </c>
      <c r="L1266" s="12">
        <f>IFERROR(C1266*D1266, "")</f>
        <v/>
      </c>
      <c r="M1266" s="12">
        <f>IFERROR(L1266-E1266-F1266+G1266+H1266+I1266-J1266-K1266, "")</f>
        <v/>
      </c>
      <c r="N1266" s="11">
        <f>IFERROR(_xll.ciqfunctions.udf.CIQ(mh_ticker, "IQ_EBITDA_EST", IQ_NTM, B1266, , , "USD"), "")</f>
        <v/>
      </c>
      <c r="O1266" s="13">
        <f>IFERROR(M1266/N1266, "")</f>
        <v/>
      </c>
    </row>
    <row r="1267">
      <c r="B1267" s="8" t="n"/>
      <c r="C1267" s="9">
        <f>IFERROR(_xll.ciqfunctions.udf.CIQ(mh_ticker, "IQ_LASTSALEPRICE", B1267), "")</f>
        <v/>
      </c>
      <c r="D1267" s="10">
        <f>IFERROR(_xll.ciqfunctions.udf.CIQ(mh_ticker, "IQ_SHARESOUTSTANDING_OUT", B1267), "")</f>
        <v/>
      </c>
      <c r="E1267" s="11">
        <f>IFERROR(_xll.ciqfunctions.udf.CIQ(mh_ticker, "IQ_CASH_EQUIV", , B1267), "")</f>
        <v/>
      </c>
      <c r="F1267" s="11">
        <f>IFERROR(_xll.ciqfunctions.udf.CIQ(mh_ticker, "IQ_ST_INVEST", , B1267), "")</f>
        <v/>
      </c>
      <c r="G1267" s="11">
        <f>IFERROR(_xll.ciqfunctions.udf.CIQ(mh_ticker, "IQ_TOTAL_DEBT_EXCL_OPER_LEASES", , B1267), "")</f>
        <v/>
      </c>
      <c r="H1267" s="11">
        <f>IFERROR(_xll.ciqfunctions.udf.CIQ(mh_ticker, "IQ_PREF_EQUITY", , B1267), "")</f>
        <v/>
      </c>
      <c r="I1267" s="11">
        <f>IFERROR(_xll.ciqfunctions.udf.CIQ(mh_ticker, "IQ_MINORITY_INTEREST", , B1267), "")</f>
        <v/>
      </c>
      <c r="J1267" s="11">
        <f>IFERROR(_xll.ciqfunctions.udf.CIQ(mh_ticker, "IQ_EQUITY_METHOD", , B1267), "")</f>
        <v/>
      </c>
      <c r="K1267" s="11">
        <f>IFERROR(_xll.ciqfunctions.udf.CIQ(mh_ticker, "IQ_LT_Mark_Securities", , B1267), "")</f>
        <v/>
      </c>
      <c r="L1267" s="12">
        <f>IFERROR(C1267*D1267, "")</f>
        <v/>
      </c>
      <c r="M1267" s="12">
        <f>IFERROR(L1267-E1267-F1267+G1267+H1267+I1267-J1267-K1267, "")</f>
        <v/>
      </c>
      <c r="N1267" s="11">
        <f>IFERROR(_xll.ciqfunctions.udf.CIQ(mh_ticker, "IQ_EBITDA_EST", IQ_NTM, B1267, , , "USD"), "")</f>
        <v/>
      </c>
      <c r="O1267" s="13">
        <f>IFERROR(M1267/N1267, "")</f>
        <v/>
      </c>
    </row>
    <row r="1268">
      <c r="B1268" s="8" t="n"/>
      <c r="C1268" s="9">
        <f>IFERROR(_xll.ciqfunctions.udf.CIQ(mh_ticker, "IQ_LASTSALEPRICE", B1268), "")</f>
        <v/>
      </c>
      <c r="D1268" s="10">
        <f>IFERROR(_xll.ciqfunctions.udf.CIQ(mh_ticker, "IQ_SHARESOUTSTANDING_OUT", B1268), "")</f>
        <v/>
      </c>
      <c r="E1268" s="11">
        <f>IFERROR(_xll.ciqfunctions.udf.CIQ(mh_ticker, "IQ_CASH_EQUIV", , B1268), "")</f>
        <v/>
      </c>
      <c r="F1268" s="11">
        <f>IFERROR(_xll.ciqfunctions.udf.CIQ(mh_ticker, "IQ_ST_INVEST", , B1268), "")</f>
        <v/>
      </c>
      <c r="G1268" s="11">
        <f>IFERROR(_xll.ciqfunctions.udf.CIQ(mh_ticker, "IQ_TOTAL_DEBT_EXCL_OPER_LEASES", , B1268), "")</f>
        <v/>
      </c>
      <c r="H1268" s="11">
        <f>IFERROR(_xll.ciqfunctions.udf.CIQ(mh_ticker, "IQ_PREF_EQUITY", , B1268), "")</f>
        <v/>
      </c>
      <c r="I1268" s="11">
        <f>IFERROR(_xll.ciqfunctions.udf.CIQ(mh_ticker, "IQ_MINORITY_INTEREST", , B1268), "")</f>
        <v/>
      </c>
      <c r="J1268" s="11">
        <f>IFERROR(_xll.ciqfunctions.udf.CIQ(mh_ticker, "IQ_EQUITY_METHOD", , B1268), "")</f>
        <v/>
      </c>
      <c r="K1268" s="11">
        <f>IFERROR(_xll.ciqfunctions.udf.CIQ(mh_ticker, "IQ_LT_Mark_Securities", , B1268), "")</f>
        <v/>
      </c>
      <c r="L1268" s="12">
        <f>IFERROR(C1268*D1268, "")</f>
        <v/>
      </c>
      <c r="M1268" s="12">
        <f>IFERROR(L1268-E1268-F1268+G1268+H1268+I1268-J1268-K1268, "")</f>
        <v/>
      </c>
      <c r="N1268" s="11">
        <f>IFERROR(_xll.ciqfunctions.udf.CIQ(mh_ticker, "IQ_EBITDA_EST", IQ_NTM, B1268, , , "USD"), "")</f>
        <v/>
      </c>
      <c r="O1268" s="13">
        <f>IFERROR(M1268/N1268, "")</f>
        <v/>
      </c>
    </row>
    <row r="1269">
      <c r="B1269" s="8" t="n"/>
      <c r="C1269" s="9">
        <f>IFERROR(_xll.ciqfunctions.udf.CIQ(mh_ticker, "IQ_LASTSALEPRICE", B1269), "")</f>
        <v/>
      </c>
      <c r="D1269" s="10">
        <f>IFERROR(_xll.ciqfunctions.udf.CIQ(mh_ticker, "IQ_SHARESOUTSTANDING_OUT", B1269), "")</f>
        <v/>
      </c>
      <c r="E1269" s="11">
        <f>IFERROR(_xll.ciqfunctions.udf.CIQ(mh_ticker, "IQ_CASH_EQUIV", , B1269), "")</f>
        <v/>
      </c>
      <c r="F1269" s="11">
        <f>IFERROR(_xll.ciqfunctions.udf.CIQ(mh_ticker, "IQ_ST_INVEST", , B1269), "")</f>
        <v/>
      </c>
      <c r="G1269" s="11">
        <f>IFERROR(_xll.ciqfunctions.udf.CIQ(mh_ticker, "IQ_TOTAL_DEBT_EXCL_OPER_LEASES", , B1269), "")</f>
        <v/>
      </c>
      <c r="H1269" s="11">
        <f>IFERROR(_xll.ciqfunctions.udf.CIQ(mh_ticker, "IQ_PREF_EQUITY", , B1269), "")</f>
        <v/>
      </c>
      <c r="I1269" s="11">
        <f>IFERROR(_xll.ciqfunctions.udf.CIQ(mh_ticker, "IQ_MINORITY_INTEREST", , B1269), "")</f>
        <v/>
      </c>
      <c r="J1269" s="11">
        <f>IFERROR(_xll.ciqfunctions.udf.CIQ(mh_ticker, "IQ_EQUITY_METHOD", , B1269), "")</f>
        <v/>
      </c>
      <c r="K1269" s="11">
        <f>IFERROR(_xll.ciqfunctions.udf.CIQ(mh_ticker, "IQ_LT_Mark_Securities", , B1269), "")</f>
        <v/>
      </c>
      <c r="L1269" s="12">
        <f>IFERROR(C1269*D1269, "")</f>
        <v/>
      </c>
      <c r="M1269" s="12">
        <f>IFERROR(L1269-E1269-F1269+G1269+H1269+I1269-J1269-K1269, "")</f>
        <v/>
      </c>
      <c r="N1269" s="11">
        <f>IFERROR(_xll.ciqfunctions.udf.CIQ(mh_ticker, "IQ_EBITDA_EST", IQ_NTM, B1269, , , "USD"), "")</f>
        <v/>
      </c>
      <c r="O1269" s="13">
        <f>IFERROR(M1269/N1269, "")</f>
        <v/>
      </c>
    </row>
    <row r="1270">
      <c r="B1270" s="8" t="n"/>
      <c r="C1270" s="9">
        <f>IFERROR(_xll.ciqfunctions.udf.CIQ(mh_ticker, "IQ_LASTSALEPRICE", B1270), "")</f>
        <v/>
      </c>
      <c r="D1270" s="10">
        <f>IFERROR(_xll.ciqfunctions.udf.CIQ(mh_ticker, "IQ_SHARESOUTSTANDING_OUT", B1270), "")</f>
        <v/>
      </c>
      <c r="E1270" s="11">
        <f>IFERROR(_xll.ciqfunctions.udf.CIQ(mh_ticker, "IQ_CASH_EQUIV", , B1270), "")</f>
        <v/>
      </c>
      <c r="F1270" s="11">
        <f>IFERROR(_xll.ciqfunctions.udf.CIQ(mh_ticker, "IQ_ST_INVEST", , B1270), "")</f>
        <v/>
      </c>
      <c r="G1270" s="11">
        <f>IFERROR(_xll.ciqfunctions.udf.CIQ(mh_ticker, "IQ_TOTAL_DEBT_EXCL_OPER_LEASES", , B1270), "")</f>
        <v/>
      </c>
      <c r="H1270" s="11">
        <f>IFERROR(_xll.ciqfunctions.udf.CIQ(mh_ticker, "IQ_PREF_EQUITY", , B1270), "")</f>
        <v/>
      </c>
      <c r="I1270" s="11">
        <f>IFERROR(_xll.ciqfunctions.udf.CIQ(mh_ticker, "IQ_MINORITY_INTEREST", , B1270), "")</f>
        <v/>
      </c>
      <c r="J1270" s="11">
        <f>IFERROR(_xll.ciqfunctions.udf.CIQ(mh_ticker, "IQ_EQUITY_METHOD", , B1270), "")</f>
        <v/>
      </c>
      <c r="K1270" s="11">
        <f>IFERROR(_xll.ciqfunctions.udf.CIQ(mh_ticker, "IQ_LT_Mark_Securities", , B1270), "")</f>
        <v/>
      </c>
      <c r="L1270" s="12">
        <f>IFERROR(C1270*D1270, "")</f>
        <v/>
      </c>
      <c r="M1270" s="12">
        <f>IFERROR(L1270-E1270-F1270+G1270+H1270+I1270-J1270-K1270, "")</f>
        <v/>
      </c>
      <c r="N1270" s="11">
        <f>IFERROR(_xll.ciqfunctions.udf.CIQ(mh_ticker, "IQ_EBITDA_EST", IQ_NTM, B1270, , , "USD"), "")</f>
        <v/>
      </c>
      <c r="O1270" s="13">
        <f>IFERROR(M1270/N1270, "")</f>
        <v/>
      </c>
    </row>
    <row r="1271">
      <c r="B1271" s="8" t="n"/>
      <c r="C1271" s="9">
        <f>IFERROR(_xll.ciqfunctions.udf.CIQ(mh_ticker, "IQ_LASTSALEPRICE", B1271), "")</f>
        <v/>
      </c>
      <c r="D1271" s="10">
        <f>IFERROR(_xll.ciqfunctions.udf.CIQ(mh_ticker, "IQ_SHARESOUTSTANDING_OUT", B1271), "")</f>
        <v/>
      </c>
      <c r="E1271" s="11">
        <f>IFERROR(_xll.ciqfunctions.udf.CIQ(mh_ticker, "IQ_CASH_EQUIV", , B1271), "")</f>
        <v/>
      </c>
      <c r="F1271" s="11">
        <f>IFERROR(_xll.ciqfunctions.udf.CIQ(mh_ticker, "IQ_ST_INVEST", , B1271), "")</f>
        <v/>
      </c>
      <c r="G1271" s="11">
        <f>IFERROR(_xll.ciqfunctions.udf.CIQ(mh_ticker, "IQ_TOTAL_DEBT_EXCL_OPER_LEASES", , B1271), "")</f>
        <v/>
      </c>
      <c r="H1271" s="11">
        <f>IFERROR(_xll.ciqfunctions.udf.CIQ(mh_ticker, "IQ_PREF_EQUITY", , B1271), "")</f>
        <v/>
      </c>
      <c r="I1271" s="11">
        <f>IFERROR(_xll.ciqfunctions.udf.CIQ(mh_ticker, "IQ_MINORITY_INTEREST", , B1271), "")</f>
        <v/>
      </c>
      <c r="J1271" s="11">
        <f>IFERROR(_xll.ciqfunctions.udf.CIQ(mh_ticker, "IQ_EQUITY_METHOD", , B1271), "")</f>
        <v/>
      </c>
      <c r="K1271" s="11">
        <f>IFERROR(_xll.ciqfunctions.udf.CIQ(mh_ticker, "IQ_LT_Mark_Securities", , B1271), "")</f>
        <v/>
      </c>
      <c r="L1271" s="12">
        <f>IFERROR(C1271*D1271, "")</f>
        <v/>
      </c>
      <c r="M1271" s="12">
        <f>IFERROR(L1271-E1271-F1271+G1271+H1271+I1271-J1271-K1271, "")</f>
        <v/>
      </c>
      <c r="N1271" s="11">
        <f>IFERROR(_xll.ciqfunctions.udf.CIQ(mh_ticker, "IQ_EBITDA_EST", IQ_NTM, B1271, , , "USD"), "")</f>
        <v/>
      </c>
      <c r="O1271" s="13">
        <f>IFERROR(M1271/N1271, "")</f>
        <v/>
      </c>
    </row>
    <row r="1272">
      <c r="B1272" s="8" t="n"/>
      <c r="C1272" s="9">
        <f>IFERROR(_xll.ciqfunctions.udf.CIQ(mh_ticker, "IQ_LASTSALEPRICE", B1272), "")</f>
        <v/>
      </c>
      <c r="D1272" s="10">
        <f>IFERROR(_xll.ciqfunctions.udf.CIQ(mh_ticker, "IQ_SHARESOUTSTANDING_OUT", B1272), "")</f>
        <v/>
      </c>
      <c r="E1272" s="11">
        <f>IFERROR(_xll.ciqfunctions.udf.CIQ(mh_ticker, "IQ_CASH_EQUIV", , B1272), "")</f>
        <v/>
      </c>
      <c r="F1272" s="11">
        <f>IFERROR(_xll.ciqfunctions.udf.CIQ(mh_ticker, "IQ_ST_INVEST", , B1272), "")</f>
        <v/>
      </c>
      <c r="G1272" s="11">
        <f>IFERROR(_xll.ciqfunctions.udf.CIQ(mh_ticker, "IQ_TOTAL_DEBT_EXCL_OPER_LEASES", , B1272), "")</f>
        <v/>
      </c>
      <c r="H1272" s="11">
        <f>IFERROR(_xll.ciqfunctions.udf.CIQ(mh_ticker, "IQ_PREF_EQUITY", , B1272), "")</f>
        <v/>
      </c>
      <c r="I1272" s="11">
        <f>IFERROR(_xll.ciqfunctions.udf.CIQ(mh_ticker, "IQ_MINORITY_INTEREST", , B1272), "")</f>
        <v/>
      </c>
      <c r="J1272" s="11">
        <f>IFERROR(_xll.ciqfunctions.udf.CIQ(mh_ticker, "IQ_EQUITY_METHOD", , B1272), "")</f>
        <v/>
      </c>
      <c r="K1272" s="11">
        <f>IFERROR(_xll.ciqfunctions.udf.CIQ(mh_ticker, "IQ_LT_Mark_Securities", , B1272), "")</f>
        <v/>
      </c>
      <c r="L1272" s="12">
        <f>IFERROR(C1272*D1272, "")</f>
        <v/>
      </c>
      <c r="M1272" s="12">
        <f>IFERROR(L1272-E1272-F1272+G1272+H1272+I1272-J1272-K1272, "")</f>
        <v/>
      </c>
      <c r="N1272" s="11">
        <f>IFERROR(_xll.ciqfunctions.udf.CIQ(mh_ticker, "IQ_EBITDA_EST", IQ_NTM, B1272, , , "USD"), "")</f>
        <v/>
      </c>
      <c r="O1272" s="13">
        <f>IFERROR(M1272/N1272, "")</f>
        <v/>
      </c>
    </row>
    <row r="1273">
      <c r="B1273" s="8" t="n"/>
      <c r="C1273" s="9">
        <f>IFERROR(_xll.ciqfunctions.udf.CIQ(mh_ticker, "IQ_LASTSALEPRICE", B1273), "")</f>
        <v/>
      </c>
      <c r="D1273" s="10">
        <f>IFERROR(_xll.ciqfunctions.udf.CIQ(mh_ticker, "IQ_SHARESOUTSTANDING_OUT", B1273), "")</f>
        <v/>
      </c>
      <c r="E1273" s="11">
        <f>IFERROR(_xll.ciqfunctions.udf.CIQ(mh_ticker, "IQ_CASH_EQUIV", , B1273), "")</f>
        <v/>
      </c>
      <c r="F1273" s="11">
        <f>IFERROR(_xll.ciqfunctions.udf.CIQ(mh_ticker, "IQ_ST_INVEST", , B1273), "")</f>
        <v/>
      </c>
      <c r="G1273" s="11">
        <f>IFERROR(_xll.ciqfunctions.udf.CIQ(mh_ticker, "IQ_TOTAL_DEBT_EXCL_OPER_LEASES", , B1273), "")</f>
        <v/>
      </c>
      <c r="H1273" s="11">
        <f>IFERROR(_xll.ciqfunctions.udf.CIQ(mh_ticker, "IQ_PREF_EQUITY", , B1273), "")</f>
        <v/>
      </c>
      <c r="I1273" s="11">
        <f>IFERROR(_xll.ciqfunctions.udf.CIQ(mh_ticker, "IQ_MINORITY_INTEREST", , B1273), "")</f>
        <v/>
      </c>
      <c r="J1273" s="11">
        <f>IFERROR(_xll.ciqfunctions.udf.CIQ(mh_ticker, "IQ_EQUITY_METHOD", , B1273), "")</f>
        <v/>
      </c>
      <c r="K1273" s="11">
        <f>IFERROR(_xll.ciqfunctions.udf.CIQ(mh_ticker, "IQ_LT_Mark_Securities", , B1273), "")</f>
        <v/>
      </c>
      <c r="L1273" s="12">
        <f>IFERROR(C1273*D1273, "")</f>
        <v/>
      </c>
      <c r="M1273" s="12">
        <f>IFERROR(L1273-E1273-F1273+G1273+H1273+I1273-J1273-K1273, "")</f>
        <v/>
      </c>
      <c r="N1273" s="11">
        <f>IFERROR(_xll.ciqfunctions.udf.CIQ(mh_ticker, "IQ_EBITDA_EST", IQ_NTM, B1273, , , "USD"), "")</f>
        <v/>
      </c>
      <c r="O1273" s="13">
        <f>IFERROR(M1273/N1273, "")</f>
        <v/>
      </c>
    </row>
    <row r="1274">
      <c r="B1274" s="8" t="n"/>
      <c r="C1274" s="9">
        <f>IFERROR(_xll.ciqfunctions.udf.CIQ(mh_ticker, "IQ_LASTSALEPRICE", B1274), "")</f>
        <v/>
      </c>
      <c r="D1274" s="10">
        <f>IFERROR(_xll.ciqfunctions.udf.CIQ(mh_ticker, "IQ_SHARESOUTSTANDING_OUT", B1274), "")</f>
        <v/>
      </c>
      <c r="E1274" s="11">
        <f>IFERROR(_xll.ciqfunctions.udf.CIQ(mh_ticker, "IQ_CASH_EQUIV", , B1274), "")</f>
        <v/>
      </c>
      <c r="F1274" s="11">
        <f>IFERROR(_xll.ciqfunctions.udf.CIQ(mh_ticker, "IQ_ST_INVEST", , B1274), "")</f>
        <v/>
      </c>
      <c r="G1274" s="11">
        <f>IFERROR(_xll.ciqfunctions.udf.CIQ(mh_ticker, "IQ_TOTAL_DEBT_EXCL_OPER_LEASES", , B1274), "")</f>
        <v/>
      </c>
      <c r="H1274" s="11">
        <f>IFERROR(_xll.ciqfunctions.udf.CIQ(mh_ticker, "IQ_PREF_EQUITY", , B1274), "")</f>
        <v/>
      </c>
      <c r="I1274" s="11">
        <f>IFERROR(_xll.ciqfunctions.udf.CIQ(mh_ticker, "IQ_MINORITY_INTEREST", , B1274), "")</f>
        <v/>
      </c>
      <c r="J1274" s="11">
        <f>IFERROR(_xll.ciqfunctions.udf.CIQ(mh_ticker, "IQ_EQUITY_METHOD", , B1274), "")</f>
        <v/>
      </c>
      <c r="K1274" s="11">
        <f>IFERROR(_xll.ciqfunctions.udf.CIQ(mh_ticker, "IQ_LT_Mark_Securities", , B1274), "")</f>
        <v/>
      </c>
      <c r="L1274" s="12">
        <f>IFERROR(C1274*D1274, "")</f>
        <v/>
      </c>
      <c r="M1274" s="12">
        <f>IFERROR(L1274-E1274-F1274+G1274+H1274+I1274-J1274-K1274, "")</f>
        <v/>
      </c>
      <c r="N1274" s="11">
        <f>IFERROR(_xll.ciqfunctions.udf.CIQ(mh_ticker, "IQ_EBITDA_EST", IQ_NTM, B1274, , , "USD"), "")</f>
        <v/>
      </c>
      <c r="O1274" s="13">
        <f>IFERROR(M1274/N1274, "")</f>
        <v/>
      </c>
    </row>
    <row r="1275">
      <c r="B1275" s="8" t="n"/>
      <c r="C1275" s="9">
        <f>IFERROR(_xll.ciqfunctions.udf.CIQ(mh_ticker, "IQ_LASTSALEPRICE", B1275), "")</f>
        <v/>
      </c>
      <c r="D1275" s="10">
        <f>IFERROR(_xll.ciqfunctions.udf.CIQ(mh_ticker, "IQ_SHARESOUTSTANDING_OUT", B1275), "")</f>
        <v/>
      </c>
      <c r="E1275" s="11">
        <f>IFERROR(_xll.ciqfunctions.udf.CIQ(mh_ticker, "IQ_CASH_EQUIV", , B1275), "")</f>
        <v/>
      </c>
      <c r="F1275" s="11">
        <f>IFERROR(_xll.ciqfunctions.udf.CIQ(mh_ticker, "IQ_ST_INVEST", , B1275), "")</f>
        <v/>
      </c>
      <c r="G1275" s="11">
        <f>IFERROR(_xll.ciqfunctions.udf.CIQ(mh_ticker, "IQ_TOTAL_DEBT_EXCL_OPER_LEASES", , B1275), "")</f>
        <v/>
      </c>
      <c r="H1275" s="11">
        <f>IFERROR(_xll.ciqfunctions.udf.CIQ(mh_ticker, "IQ_PREF_EQUITY", , B1275), "")</f>
        <v/>
      </c>
      <c r="I1275" s="11">
        <f>IFERROR(_xll.ciqfunctions.udf.CIQ(mh_ticker, "IQ_MINORITY_INTEREST", , B1275), "")</f>
        <v/>
      </c>
      <c r="J1275" s="11">
        <f>IFERROR(_xll.ciqfunctions.udf.CIQ(mh_ticker, "IQ_EQUITY_METHOD", , B1275), "")</f>
        <v/>
      </c>
      <c r="K1275" s="11">
        <f>IFERROR(_xll.ciqfunctions.udf.CIQ(mh_ticker, "IQ_LT_Mark_Securities", , B1275), "")</f>
        <v/>
      </c>
      <c r="L1275" s="12">
        <f>IFERROR(C1275*D1275, "")</f>
        <v/>
      </c>
      <c r="M1275" s="12">
        <f>IFERROR(L1275-E1275-F1275+G1275+H1275+I1275-J1275-K1275, "")</f>
        <v/>
      </c>
      <c r="N1275" s="11">
        <f>IFERROR(_xll.ciqfunctions.udf.CIQ(mh_ticker, "IQ_EBITDA_EST", IQ_NTM, B1275, , , "USD"), "")</f>
        <v/>
      </c>
      <c r="O1275" s="13">
        <f>IFERROR(M1275/N1275, "")</f>
        <v/>
      </c>
    </row>
    <row r="1276">
      <c r="B1276" s="8" t="n"/>
      <c r="C1276" s="9">
        <f>IFERROR(_xll.ciqfunctions.udf.CIQ(mh_ticker, "IQ_LASTSALEPRICE", B1276), "")</f>
        <v/>
      </c>
      <c r="D1276" s="10">
        <f>IFERROR(_xll.ciqfunctions.udf.CIQ(mh_ticker, "IQ_SHARESOUTSTANDING_OUT", B1276), "")</f>
        <v/>
      </c>
      <c r="E1276" s="11">
        <f>IFERROR(_xll.ciqfunctions.udf.CIQ(mh_ticker, "IQ_CASH_EQUIV", , B1276), "")</f>
        <v/>
      </c>
      <c r="F1276" s="11">
        <f>IFERROR(_xll.ciqfunctions.udf.CIQ(mh_ticker, "IQ_ST_INVEST", , B1276), "")</f>
        <v/>
      </c>
      <c r="G1276" s="11">
        <f>IFERROR(_xll.ciqfunctions.udf.CIQ(mh_ticker, "IQ_TOTAL_DEBT_EXCL_OPER_LEASES", , B1276), "")</f>
        <v/>
      </c>
      <c r="H1276" s="11">
        <f>IFERROR(_xll.ciqfunctions.udf.CIQ(mh_ticker, "IQ_PREF_EQUITY", , B1276), "")</f>
        <v/>
      </c>
      <c r="I1276" s="11">
        <f>IFERROR(_xll.ciqfunctions.udf.CIQ(mh_ticker, "IQ_MINORITY_INTEREST", , B1276), "")</f>
        <v/>
      </c>
      <c r="J1276" s="11">
        <f>IFERROR(_xll.ciqfunctions.udf.CIQ(mh_ticker, "IQ_EQUITY_METHOD", , B1276), "")</f>
        <v/>
      </c>
      <c r="K1276" s="11">
        <f>IFERROR(_xll.ciqfunctions.udf.CIQ(mh_ticker, "IQ_LT_Mark_Securities", , B1276), "")</f>
        <v/>
      </c>
      <c r="L1276" s="12">
        <f>IFERROR(C1276*D1276, "")</f>
        <v/>
      </c>
      <c r="M1276" s="12">
        <f>IFERROR(L1276-E1276-F1276+G1276+H1276+I1276-J1276-K1276, "")</f>
        <v/>
      </c>
      <c r="N1276" s="11">
        <f>IFERROR(_xll.ciqfunctions.udf.CIQ(mh_ticker, "IQ_EBITDA_EST", IQ_NTM, B1276, , , "USD"), "")</f>
        <v/>
      </c>
      <c r="O1276" s="13">
        <f>IFERROR(M1276/N1276, "")</f>
        <v/>
      </c>
    </row>
    <row r="1277">
      <c r="B1277" s="8" t="n"/>
      <c r="C1277" s="9">
        <f>IFERROR(_xll.ciqfunctions.udf.CIQ(mh_ticker, "IQ_LASTSALEPRICE", B1277), "")</f>
        <v/>
      </c>
      <c r="D1277" s="10">
        <f>IFERROR(_xll.ciqfunctions.udf.CIQ(mh_ticker, "IQ_SHARESOUTSTANDING_OUT", B1277), "")</f>
        <v/>
      </c>
      <c r="E1277" s="11">
        <f>IFERROR(_xll.ciqfunctions.udf.CIQ(mh_ticker, "IQ_CASH_EQUIV", , B1277), "")</f>
        <v/>
      </c>
      <c r="F1277" s="11">
        <f>IFERROR(_xll.ciqfunctions.udf.CIQ(mh_ticker, "IQ_ST_INVEST", , B1277), "")</f>
        <v/>
      </c>
      <c r="G1277" s="11">
        <f>IFERROR(_xll.ciqfunctions.udf.CIQ(mh_ticker, "IQ_TOTAL_DEBT_EXCL_OPER_LEASES", , B1277), "")</f>
        <v/>
      </c>
      <c r="H1277" s="11">
        <f>IFERROR(_xll.ciqfunctions.udf.CIQ(mh_ticker, "IQ_PREF_EQUITY", , B1277), "")</f>
        <v/>
      </c>
      <c r="I1277" s="11">
        <f>IFERROR(_xll.ciqfunctions.udf.CIQ(mh_ticker, "IQ_MINORITY_INTEREST", , B1277), "")</f>
        <v/>
      </c>
      <c r="J1277" s="11">
        <f>IFERROR(_xll.ciqfunctions.udf.CIQ(mh_ticker, "IQ_EQUITY_METHOD", , B1277), "")</f>
        <v/>
      </c>
      <c r="K1277" s="11">
        <f>IFERROR(_xll.ciqfunctions.udf.CIQ(mh_ticker, "IQ_LT_Mark_Securities", , B1277), "")</f>
        <v/>
      </c>
      <c r="L1277" s="12">
        <f>IFERROR(C1277*D1277, "")</f>
        <v/>
      </c>
      <c r="M1277" s="12">
        <f>IFERROR(L1277-E1277-F1277+G1277+H1277+I1277-J1277-K1277, "")</f>
        <v/>
      </c>
      <c r="N1277" s="11">
        <f>IFERROR(_xll.ciqfunctions.udf.CIQ(mh_ticker, "IQ_EBITDA_EST", IQ_NTM, B1277, , , "USD"), "")</f>
        <v/>
      </c>
      <c r="O1277" s="13">
        <f>IFERROR(M1277/N1277, "")</f>
        <v/>
      </c>
    </row>
    <row r="1278">
      <c r="B1278" s="8" t="n"/>
      <c r="C1278" s="9">
        <f>IFERROR(_xll.ciqfunctions.udf.CIQ(mh_ticker, "IQ_LASTSALEPRICE", B1278), "")</f>
        <v/>
      </c>
      <c r="D1278" s="10">
        <f>IFERROR(_xll.ciqfunctions.udf.CIQ(mh_ticker, "IQ_SHARESOUTSTANDING_OUT", B1278), "")</f>
        <v/>
      </c>
      <c r="E1278" s="11">
        <f>IFERROR(_xll.ciqfunctions.udf.CIQ(mh_ticker, "IQ_CASH_EQUIV", , B1278), "")</f>
        <v/>
      </c>
      <c r="F1278" s="11">
        <f>IFERROR(_xll.ciqfunctions.udf.CIQ(mh_ticker, "IQ_ST_INVEST", , B1278), "")</f>
        <v/>
      </c>
      <c r="G1278" s="11">
        <f>IFERROR(_xll.ciqfunctions.udf.CIQ(mh_ticker, "IQ_TOTAL_DEBT_EXCL_OPER_LEASES", , B1278), "")</f>
        <v/>
      </c>
      <c r="H1278" s="11">
        <f>IFERROR(_xll.ciqfunctions.udf.CIQ(mh_ticker, "IQ_PREF_EQUITY", , B1278), "")</f>
        <v/>
      </c>
      <c r="I1278" s="11">
        <f>IFERROR(_xll.ciqfunctions.udf.CIQ(mh_ticker, "IQ_MINORITY_INTEREST", , B1278), "")</f>
        <v/>
      </c>
      <c r="J1278" s="11">
        <f>IFERROR(_xll.ciqfunctions.udf.CIQ(mh_ticker, "IQ_EQUITY_METHOD", , B1278), "")</f>
        <v/>
      </c>
      <c r="K1278" s="11">
        <f>IFERROR(_xll.ciqfunctions.udf.CIQ(mh_ticker, "IQ_LT_Mark_Securities", , B1278), "")</f>
        <v/>
      </c>
      <c r="L1278" s="12">
        <f>IFERROR(C1278*D1278, "")</f>
        <v/>
      </c>
      <c r="M1278" s="12">
        <f>IFERROR(L1278-E1278-F1278+G1278+H1278+I1278-J1278-K1278, "")</f>
        <v/>
      </c>
      <c r="N1278" s="11">
        <f>IFERROR(_xll.ciqfunctions.udf.CIQ(mh_ticker, "IQ_EBITDA_EST", IQ_NTM, B1278, , , "USD"), "")</f>
        <v/>
      </c>
      <c r="O1278" s="13">
        <f>IFERROR(M1278/N1278, "")</f>
        <v/>
      </c>
    </row>
    <row r="1279">
      <c r="B1279" s="8" t="n"/>
      <c r="C1279" s="9">
        <f>IFERROR(_xll.ciqfunctions.udf.CIQ(mh_ticker, "IQ_LASTSALEPRICE", B1279), "")</f>
        <v/>
      </c>
      <c r="D1279" s="10">
        <f>IFERROR(_xll.ciqfunctions.udf.CIQ(mh_ticker, "IQ_SHARESOUTSTANDING_OUT", B1279), "")</f>
        <v/>
      </c>
      <c r="E1279" s="11">
        <f>IFERROR(_xll.ciqfunctions.udf.CIQ(mh_ticker, "IQ_CASH_EQUIV", , B1279), "")</f>
        <v/>
      </c>
      <c r="F1279" s="11">
        <f>IFERROR(_xll.ciqfunctions.udf.CIQ(mh_ticker, "IQ_ST_INVEST", , B1279), "")</f>
        <v/>
      </c>
      <c r="G1279" s="11">
        <f>IFERROR(_xll.ciqfunctions.udf.CIQ(mh_ticker, "IQ_TOTAL_DEBT_EXCL_OPER_LEASES", , B1279), "")</f>
        <v/>
      </c>
      <c r="H1279" s="11">
        <f>IFERROR(_xll.ciqfunctions.udf.CIQ(mh_ticker, "IQ_PREF_EQUITY", , B1279), "")</f>
        <v/>
      </c>
      <c r="I1279" s="11">
        <f>IFERROR(_xll.ciqfunctions.udf.CIQ(mh_ticker, "IQ_MINORITY_INTEREST", , B1279), "")</f>
        <v/>
      </c>
      <c r="J1279" s="11">
        <f>IFERROR(_xll.ciqfunctions.udf.CIQ(mh_ticker, "IQ_EQUITY_METHOD", , B1279), "")</f>
        <v/>
      </c>
      <c r="K1279" s="11">
        <f>IFERROR(_xll.ciqfunctions.udf.CIQ(mh_ticker, "IQ_LT_Mark_Securities", , B1279), "")</f>
        <v/>
      </c>
      <c r="L1279" s="12">
        <f>IFERROR(C1279*D1279, "")</f>
        <v/>
      </c>
      <c r="M1279" s="12">
        <f>IFERROR(L1279-E1279-F1279+G1279+H1279+I1279-J1279-K1279, "")</f>
        <v/>
      </c>
      <c r="N1279" s="11">
        <f>IFERROR(_xll.ciqfunctions.udf.CIQ(mh_ticker, "IQ_EBITDA_EST", IQ_NTM, B1279, , , "USD"), "")</f>
        <v/>
      </c>
      <c r="O1279" s="13">
        <f>IFERROR(M1279/N1279, "")</f>
        <v/>
      </c>
    </row>
    <row r="1280">
      <c r="B1280" s="8" t="n"/>
      <c r="C1280" s="9">
        <f>IFERROR(_xll.ciqfunctions.udf.CIQ(mh_ticker, "IQ_LASTSALEPRICE", B1280), "")</f>
        <v/>
      </c>
      <c r="D1280" s="10">
        <f>IFERROR(_xll.ciqfunctions.udf.CIQ(mh_ticker, "IQ_SHARESOUTSTANDING_OUT", B1280), "")</f>
        <v/>
      </c>
      <c r="E1280" s="11">
        <f>IFERROR(_xll.ciqfunctions.udf.CIQ(mh_ticker, "IQ_CASH_EQUIV", , B1280), "")</f>
        <v/>
      </c>
      <c r="F1280" s="11">
        <f>IFERROR(_xll.ciqfunctions.udf.CIQ(mh_ticker, "IQ_ST_INVEST", , B1280), "")</f>
        <v/>
      </c>
      <c r="G1280" s="11">
        <f>IFERROR(_xll.ciqfunctions.udf.CIQ(mh_ticker, "IQ_TOTAL_DEBT_EXCL_OPER_LEASES", , B1280), "")</f>
        <v/>
      </c>
      <c r="H1280" s="11">
        <f>IFERROR(_xll.ciqfunctions.udf.CIQ(mh_ticker, "IQ_PREF_EQUITY", , B1280), "")</f>
        <v/>
      </c>
      <c r="I1280" s="11">
        <f>IFERROR(_xll.ciqfunctions.udf.CIQ(mh_ticker, "IQ_MINORITY_INTEREST", , B1280), "")</f>
        <v/>
      </c>
      <c r="J1280" s="11">
        <f>IFERROR(_xll.ciqfunctions.udf.CIQ(mh_ticker, "IQ_EQUITY_METHOD", , B1280), "")</f>
        <v/>
      </c>
      <c r="K1280" s="11">
        <f>IFERROR(_xll.ciqfunctions.udf.CIQ(mh_ticker, "IQ_LT_Mark_Securities", , B1280), "")</f>
        <v/>
      </c>
      <c r="L1280" s="12">
        <f>IFERROR(C1280*D1280, "")</f>
        <v/>
      </c>
      <c r="M1280" s="12">
        <f>IFERROR(L1280-E1280-F1280+G1280+H1280+I1280-J1280-K1280, "")</f>
        <v/>
      </c>
      <c r="N1280" s="11">
        <f>IFERROR(_xll.ciqfunctions.udf.CIQ(mh_ticker, "IQ_EBITDA_EST", IQ_NTM, B1280, , , "USD"), "")</f>
        <v/>
      </c>
      <c r="O1280" s="13">
        <f>IFERROR(M1280/N1280, "")</f>
        <v/>
      </c>
    </row>
    <row r="1281">
      <c r="B1281" s="8" t="n"/>
      <c r="C1281" s="9">
        <f>IFERROR(_xll.ciqfunctions.udf.CIQ(mh_ticker, "IQ_LASTSALEPRICE", B1281), "")</f>
        <v/>
      </c>
      <c r="D1281" s="10">
        <f>IFERROR(_xll.ciqfunctions.udf.CIQ(mh_ticker, "IQ_SHARESOUTSTANDING_OUT", B1281), "")</f>
        <v/>
      </c>
      <c r="E1281" s="11">
        <f>IFERROR(_xll.ciqfunctions.udf.CIQ(mh_ticker, "IQ_CASH_EQUIV", , B1281), "")</f>
        <v/>
      </c>
      <c r="F1281" s="11">
        <f>IFERROR(_xll.ciqfunctions.udf.CIQ(mh_ticker, "IQ_ST_INVEST", , B1281), "")</f>
        <v/>
      </c>
      <c r="G1281" s="11">
        <f>IFERROR(_xll.ciqfunctions.udf.CIQ(mh_ticker, "IQ_TOTAL_DEBT_EXCL_OPER_LEASES", , B1281), "")</f>
        <v/>
      </c>
      <c r="H1281" s="11">
        <f>IFERROR(_xll.ciqfunctions.udf.CIQ(mh_ticker, "IQ_PREF_EQUITY", , B1281), "")</f>
        <v/>
      </c>
      <c r="I1281" s="11">
        <f>IFERROR(_xll.ciqfunctions.udf.CIQ(mh_ticker, "IQ_MINORITY_INTEREST", , B1281), "")</f>
        <v/>
      </c>
      <c r="J1281" s="11">
        <f>IFERROR(_xll.ciqfunctions.udf.CIQ(mh_ticker, "IQ_EQUITY_METHOD", , B1281), "")</f>
        <v/>
      </c>
      <c r="K1281" s="11">
        <f>IFERROR(_xll.ciqfunctions.udf.CIQ(mh_ticker, "IQ_LT_Mark_Securities", , B1281), "")</f>
        <v/>
      </c>
      <c r="L1281" s="12">
        <f>IFERROR(C1281*D1281, "")</f>
        <v/>
      </c>
      <c r="M1281" s="12">
        <f>IFERROR(L1281-E1281-F1281+G1281+H1281+I1281-J1281-K1281, "")</f>
        <v/>
      </c>
      <c r="N1281" s="11">
        <f>IFERROR(_xll.ciqfunctions.udf.CIQ(mh_ticker, "IQ_EBITDA_EST", IQ_NTM, B1281, , , "USD"), "")</f>
        <v/>
      </c>
      <c r="O1281" s="13">
        <f>IFERROR(M1281/N1281, "")</f>
        <v/>
      </c>
    </row>
    <row r="1282">
      <c r="B1282" s="8" t="n"/>
      <c r="C1282" s="9">
        <f>IFERROR(_xll.ciqfunctions.udf.CIQ(mh_ticker, "IQ_LASTSALEPRICE", B1282), "")</f>
        <v/>
      </c>
      <c r="D1282" s="10">
        <f>IFERROR(_xll.ciqfunctions.udf.CIQ(mh_ticker, "IQ_SHARESOUTSTANDING_OUT", B1282), "")</f>
        <v/>
      </c>
      <c r="E1282" s="11">
        <f>IFERROR(_xll.ciqfunctions.udf.CIQ(mh_ticker, "IQ_CASH_EQUIV", , B1282), "")</f>
        <v/>
      </c>
      <c r="F1282" s="11">
        <f>IFERROR(_xll.ciqfunctions.udf.CIQ(mh_ticker, "IQ_ST_INVEST", , B1282), "")</f>
        <v/>
      </c>
      <c r="G1282" s="11">
        <f>IFERROR(_xll.ciqfunctions.udf.CIQ(mh_ticker, "IQ_TOTAL_DEBT_EXCL_OPER_LEASES", , B1282), "")</f>
        <v/>
      </c>
      <c r="H1282" s="11">
        <f>IFERROR(_xll.ciqfunctions.udf.CIQ(mh_ticker, "IQ_PREF_EQUITY", , B1282), "")</f>
        <v/>
      </c>
      <c r="I1282" s="11">
        <f>IFERROR(_xll.ciqfunctions.udf.CIQ(mh_ticker, "IQ_MINORITY_INTEREST", , B1282), "")</f>
        <v/>
      </c>
      <c r="J1282" s="11">
        <f>IFERROR(_xll.ciqfunctions.udf.CIQ(mh_ticker, "IQ_EQUITY_METHOD", , B1282), "")</f>
        <v/>
      </c>
      <c r="K1282" s="11">
        <f>IFERROR(_xll.ciqfunctions.udf.CIQ(mh_ticker, "IQ_LT_Mark_Securities", , B1282), "")</f>
        <v/>
      </c>
      <c r="L1282" s="12">
        <f>IFERROR(C1282*D1282, "")</f>
        <v/>
      </c>
      <c r="M1282" s="12">
        <f>IFERROR(L1282-E1282-F1282+G1282+H1282+I1282-J1282-K1282, "")</f>
        <v/>
      </c>
      <c r="N1282" s="11">
        <f>IFERROR(_xll.ciqfunctions.udf.CIQ(mh_ticker, "IQ_EBITDA_EST", IQ_NTM, B1282, , , "USD"), "")</f>
        <v/>
      </c>
      <c r="O1282" s="13">
        <f>IFERROR(M1282/N1282, "")</f>
        <v/>
      </c>
    </row>
    <row r="1283">
      <c r="B1283" s="8" t="n"/>
      <c r="C1283" s="9">
        <f>IFERROR(_xll.ciqfunctions.udf.CIQ(mh_ticker, "IQ_LASTSALEPRICE", B1283), "")</f>
        <v/>
      </c>
      <c r="D1283" s="10">
        <f>IFERROR(_xll.ciqfunctions.udf.CIQ(mh_ticker, "IQ_SHARESOUTSTANDING_OUT", B1283), "")</f>
        <v/>
      </c>
      <c r="E1283" s="11">
        <f>IFERROR(_xll.ciqfunctions.udf.CIQ(mh_ticker, "IQ_CASH_EQUIV", , B1283), "")</f>
        <v/>
      </c>
      <c r="F1283" s="11">
        <f>IFERROR(_xll.ciqfunctions.udf.CIQ(mh_ticker, "IQ_ST_INVEST", , B1283), "")</f>
        <v/>
      </c>
      <c r="G1283" s="11">
        <f>IFERROR(_xll.ciqfunctions.udf.CIQ(mh_ticker, "IQ_TOTAL_DEBT_EXCL_OPER_LEASES", , B1283), "")</f>
        <v/>
      </c>
      <c r="H1283" s="11">
        <f>IFERROR(_xll.ciqfunctions.udf.CIQ(mh_ticker, "IQ_PREF_EQUITY", , B1283), "")</f>
        <v/>
      </c>
      <c r="I1283" s="11">
        <f>IFERROR(_xll.ciqfunctions.udf.CIQ(mh_ticker, "IQ_MINORITY_INTEREST", , B1283), "")</f>
        <v/>
      </c>
      <c r="J1283" s="11">
        <f>IFERROR(_xll.ciqfunctions.udf.CIQ(mh_ticker, "IQ_EQUITY_METHOD", , B1283), "")</f>
        <v/>
      </c>
      <c r="K1283" s="11">
        <f>IFERROR(_xll.ciqfunctions.udf.CIQ(mh_ticker, "IQ_LT_Mark_Securities", , B1283), "")</f>
        <v/>
      </c>
      <c r="L1283" s="12">
        <f>IFERROR(C1283*D1283, "")</f>
        <v/>
      </c>
      <c r="M1283" s="12">
        <f>IFERROR(L1283-E1283-F1283+G1283+H1283+I1283-J1283-K1283, "")</f>
        <v/>
      </c>
      <c r="N1283" s="11">
        <f>IFERROR(_xll.ciqfunctions.udf.CIQ(mh_ticker, "IQ_EBITDA_EST", IQ_NTM, B1283, , , "USD"), "")</f>
        <v/>
      </c>
      <c r="O1283" s="13">
        <f>IFERROR(M1283/N1283, "")</f>
        <v/>
      </c>
    </row>
    <row r="1284">
      <c r="B1284" s="8" t="n"/>
      <c r="C1284" s="9">
        <f>IFERROR(_xll.ciqfunctions.udf.CIQ(mh_ticker, "IQ_LASTSALEPRICE", B1284), "")</f>
        <v/>
      </c>
      <c r="D1284" s="10">
        <f>IFERROR(_xll.ciqfunctions.udf.CIQ(mh_ticker, "IQ_SHARESOUTSTANDING_OUT", B1284), "")</f>
        <v/>
      </c>
      <c r="E1284" s="11">
        <f>IFERROR(_xll.ciqfunctions.udf.CIQ(mh_ticker, "IQ_CASH_EQUIV", , B1284), "")</f>
        <v/>
      </c>
      <c r="F1284" s="11">
        <f>IFERROR(_xll.ciqfunctions.udf.CIQ(mh_ticker, "IQ_ST_INVEST", , B1284), "")</f>
        <v/>
      </c>
      <c r="G1284" s="11">
        <f>IFERROR(_xll.ciqfunctions.udf.CIQ(mh_ticker, "IQ_TOTAL_DEBT_EXCL_OPER_LEASES", , B1284), "")</f>
        <v/>
      </c>
      <c r="H1284" s="11">
        <f>IFERROR(_xll.ciqfunctions.udf.CIQ(mh_ticker, "IQ_PREF_EQUITY", , B1284), "")</f>
        <v/>
      </c>
      <c r="I1284" s="11">
        <f>IFERROR(_xll.ciqfunctions.udf.CIQ(mh_ticker, "IQ_MINORITY_INTEREST", , B1284), "")</f>
        <v/>
      </c>
      <c r="J1284" s="11">
        <f>IFERROR(_xll.ciqfunctions.udf.CIQ(mh_ticker, "IQ_EQUITY_METHOD", , B1284), "")</f>
        <v/>
      </c>
      <c r="K1284" s="11">
        <f>IFERROR(_xll.ciqfunctions.udf.CIQ(mh_ticker, "IQ_LT_Mark_Securities", , B1284), "")</f>
        <v/>
      </c>
      <c r="L1284" s="12">
        <f>IFERROR(C1284*D1284, "")</f>
        <v/>
      </c>
      <c r="M1284" s="12">
        <f>IFERROR(L1284-E1284-F1284+G1284+H1284+I1284-J1284-K1284, "")</f>
        <v/>
      </c>
      <c r="N1284" s="11">
        <f>IFERROR(_xll.ciqfunctions.udf.CIQ(mh_ticker, "IQ_EBITDA_EST", IQ_NTM, B1284, , , "USD"), "")</f>
        <v/>
      </c>
      <c r="O1284" s="13">
        <f>IFERROR(M1284/N1284, "")</f>
        <v/>
      </c>
    </row>
    <row r="1285">
      <c r="B1285" s="8" t="n"/>
      <c r="C1285" s="9">
        <f>IFERROR(_xll.ciqfunctions.udf.CIQ(mh_ticker, "IQ_LASTSALEPRICE", B1285), "")</f>
        <v/>
      </c>
      <c r="D1285" s="10">
        <f>IFERROR(_xll.ciqfunctions.udf.CIQ(mh_ticker, "IQ_SHARESOUTSTANDING_OUT", B1285), "")</f>
        <v/>
      </c>
      <c r="E1285" s="11">
        <f>IFERROR(_xll.ciqfunctions.udf.CIQ(mh_ticker, "IQ_CASH_EQUIV", , B1285), "")</f>
        <v/>
      </c>
      <c r="F1285" s="11">
        <f>IFERROR(_xll.ciqfunctions.udf.CIQ(mh_ticker, "IQ_ST_INVEST", , B1285), "")</f>
        <v/>
      </c>
      <c r="G1285" s="11">
        <f>IFERROR(_xll.ciqfunctions.udf.CIQ(mh_ticker, "IQ_TOTAL_DEBT_EXCL_OPER_LEASES", , B1285), "")</f>
        <v/>
      </c>
      <c r="H1285" s="11">
        <f>IFERROR(_xll.ciqfunctions.udf.CIQ(mh_ticker, "IQ_PREF_EQUITY", , B1285), "")</f>
        <v/>
      </c>
      <c r="I1285" s="11">
        <f>IFERROR(_xll.ciqfunctions.udf.CIQ(mh_ticker, "IQ_MINORITY_INTEREST", , B1285), "")</f>
        <v/>
      </c>
      <c r="J1285" s="11">
        <f>IFERROR(_xll.ciqfunctions.udf.CIQ(mh_ticker, "IQ_EQUITY_METHOD", , B1285), "")</f>
        <v/>
      </c>
      <c r="K1285" s="11">
        <f>IFERROR(_xll.ciqfunctions.udf.CIQ(mh_ticker, "IQ_LT_Mark_Securities", , B1285), "")</f>
        <v/>
      </c>
      <c r="L1285" s="12">
        <f>IFERROR(C1285*D1285, "")</f>
        <v/>
      </c>
      <c r="M1285" s="12">
        <f>IFERROR(L1285-E1285-F1285+G1285+H1285+I1285-J1285-K1285, "")</f>
        <v/>
      </c>
      <c r="N1285" s="11">
        <f>IFERROR(_xll.ciqfunctions.udf.CIQ(mh_ticker, "IQ_EBITDA_EST", IQ_NTM, B1285, , , "USD"), "")</f>
        <v/>
      </c>
      <c r="O1285" s="13">
        <f>IFERROR(M1285/N1285, "")</f>
        <v/>
      </c>
    </row>
    <row r="1286">
      <c r="B1286" s="8" t="n"/>
      <c r="C1286" s="9">
        <f>IFERROR(_xll.ciqfunctions.udf.CIQ(mh_ticker, "IQ_LASTSALEPRICE", B1286), "")</f>
        <v/>
      </c>
      <c r="D1286" s="10">
        <f>IFERROR(_xll.ciqfunctions.udf.CIQ(mh_ticker, "IQ_SHARESOUTSTANDING_OUT", B1286), "")</f>
        <v/>
      </c>
      <c r="E1286" s="11">
        <f>IFERROR(_xll.ciqfunctions.udf.CIQ(mh_ticker, "IQ_CASH_EQUIV", , B1286), "")</f>
        <v/>
      </c>
      <c r="F1286" s="11">
        <f>IFERROR(_xll.ciqfunctions.udf.CIQ(mh_ticker, "IQ_ST_INVEST", , B1286), "")</f>
        <v/>
      </c>
      <c r="G1286" s="11">
        <f>IFERROR(_xll.ciqfunctions.udf.CIQ(mh_ticker, "IQ_TOTAL_DEBT_EXCL_OPER_LEASES", , B1286), "")</f>
        <v/>
      </c>
      <c r="H1286" s="11">
        <f>IFERROR(_xll.ciqfunctions.udf.CIQ(mh_ticker, "IQ_PREF_EQUITY", , B1286), "")</f>
        <v/>
      </c>
      <c r="I1286" s="11">
        <f>IFERROR(_xll.ciqfunctions.udf.CIQ(mh_ticker, "IQ_MINORITY_INTEREST", , B1286), "")</f>
        <v/>
      </c>
      <c r="J1286" s="11">
        <f>IFERROR(_xll.ciqfunctions.udf.CIQ(mh_ticker, "IQ_EQUITY_METHOD", , B1286), "")</f>
        <v/>
      </c>
      <c r="K1286" s="11">
        <f>IFERROR(_xll.ciqfunctions.udf.CIQ(mh_ticker, "IQ_LT_Mark_Securities", , B1286), "")</f>
        <v/>
      </c>
      <c r="L1286" s="12">
        <f>IFERROR(C1286*D1286, "")</f>
        <v/>
      </c>
      <c r="M1286" s="12">
        <f>IFERROR(L1286-E1286-F1286+G1286+H1286+I1286-J1286-K1286, "")</f>
        <v/>
      </c>
      <c r="N1286" s="11">
        <f>IFERROR(_xll.ciqfunctions.udf.CIQ(mh_ticker, "IQ_EBITDA_EST", IQ_NTM, B1286, , , "USD"), "")</f>
        <v/>
      </c>
      <c r="O1286" s="13">
        <f>IFERROR(M1286/N1286, "")</f>
        <v/>
      </c>
    </row>
    <row r="1287">
      <c r="B1287" s="8" t="n"/>
      <c r="C1287" s="9">
        <f>IFERROR(_xll.ciqfunctions.udf.CIQ(mh_ticker, "IQ_LASTSALEPRICE", B1287), "")</f>
        <v/>
      </c>
      <c r="D1287" s="10">
        <f>IFERROR(_xll.ciqfunctions.udf.CIQ(mh_ticker, "IQ_SHARESOUTSTANDING_OUT", B1287), "")</f>
        <v/>
      </c>
      <c r="E1287" s="11">
        <f>IFERROR(_xll.ciqfunctions.udf.CIQ(mh_ticker, "IQ_CASH_EQUIV", , B1287), "")</f>
        <v/>
      </c>
      <c r="F1287" s="11">
        <f>IFERROR(_xll.ciqfunctions.udf.CIQ(mh_ticker, "IQ_ST_INVEST", , B1287), "")</f>
        <v/>
      </c>
      <c r="G1287" s="11">
        <f>IFERROR(_xll.ciqfunctions.udf.CIQ(mh_ticker, "IQ_TOTAL_DEBT_EXCL_OPER_LEASES", , B1287), "")</f>
        <v/>
      </c>
      <c r="H1287" s="11">
        <f>IFERROR(_xll.ciqfunctions.udf.CIQ(mh_ticker, "IQ_PREF_EQUITY", , B1287), "")</f>
        <v/>
      </c>
      <c r="I1287" s="11">
        <f>IFERROR(_xll.ciqfunctions.udf.CIQ(mh_ticker, "IQ_MINORITY_INTEREST", , B1287), "")</f>
        <v/>
      </c>
      <c r="J1287" s="11">
        <f>IFERROR(_xll.ciqfunctions.udf.CIQ(mh_ticker, "IQ_EQUITY_METHOD", , B1287), "")</f>
        <v/>
      </c>
      <c r="K1287" s="11">
        <f>IFERROR(_xll.ciqfunctions.udf.CIQ(mh_ticker, "IQ_LT_Mark_Securities", , B1287), "")</f>
        <v/>
      </c>
      <c r="L1287" s="12">
        <f>IFERROR(C1287*D1287, "")</f>
        <v/>
      </c>
      <c r="M1287" s="12">
        <f>IFERROR(L1287-E1287-F1287+G1287+H1287+I1287-J1287-K1287, "")</f>
        <v/>
      </c>
      <c r="N1287" s="11">
        <f>IFERROR(_xll.ciqfunctions.udf.CIQ(mh_ticker, "IQ_EBITDA_EST", IQ_NTM, B1287, , , "USD"), "")</f>
        <v/>
      </c>
      <c r="O1287" s="13">
        <f>IFERROR(M1287/N1287, "")</f>
        <v/>
      </c>
    </row>
    <row r="1288">
      <c r="B1288" s="8" t="n"/>
      <c r="C1288" s="9">
        <f>IFERROR(_xll.ciqfunctions.udf.CIQ(mh_ticker, "IQ_LASTSALEPRICE", B1288), "")</f>
        <v/>
      </c>
      <c r="D1288" s="10">
        <f>IFERROR(_xll.ciqfunctions.udf.CIQ(mh_ticker, "IQ_SHARESOUTSTANDING_OUT", B1288), "")</f>
        <v/>
      </c>
      <c r="E1288" s="11">
        <f>IFERROR(_xll.ciqfunctions.udf.CIQ(mh_ticker, "IQ_CASH_EQUIV", , B1288), "")</f>
        <v/>
      </c>
      <c r="F1288" s="11">
        <f>IFERROR(_xll.ciqfunctions.udf.CIQ(mh_ticker, "IQ_ST_INVEST", , B1288), "")</f>
        <v/>
      </c>
      <c r="G1288" s="11">
        <f>IFERROR(_xll.ciqfunctions.udf.CIQ(mh_ticker, "IQ_TOTAL_DEBT_EXCL_OPER_LEASES", , B1288), "")</f>
        <v/>
      </c>
      <c r="H1288" s="11">
        <f>IFERROR(_xll.ciqfunctions.udf.CIQ(mh_ticker, "IQ_PREF_EQUITY", , B1288), "")</f>
        <v/>
      </c>
      <c r="I1288" s="11">
        <f>IFERROR(_xll.ciqfunctions.udf.CIQ(mh_ticker, "IQ_MINORITY_INTEREST", , B1288), "")</f>
        <v/>
      </c>
      <c r="J1288" s="11">
        <f>IFERROR(_xll.ciqfunctions.udf.CIQ(mh_ticker, "IQ_EQUITY_METHOD", , B1288), "")</f>
        <v/>
      </c>
      <c r="K1288" s="11">
        <f>IFERROR(_xll.ciqfunctions.udf.CIQ(mh_ticker, "IQ_LT_Mark_Securities", , B1288), "")</f>
        <v/>
      </c>
      <c r="L1288" s="12">
        <f>IFERROR(C1288*D1288, "")</f>
        <v/>
      </c>
      <c r="M1288" s="12">
        <f>IFERROR(L1288-E1288-F1288+G1288+H1288+I1288-J1288-K1288, "")</f>
        <v/>
      </c>
      <c r="N1288" s="11">
        <f>IFERROR(_xll.ciqfunctions.udf.CIQ(mh_ticker, "IQ_EBITDA_EST", IQ_NTM, B1288, , , "USD"), "")</f>
        <v/>
      </c>
      <c r="O1288" s="13">
        <f>IFERROR(M1288/N1288, "")</f>
        <v/>
      </c>
    </row>
    <row r="1289">
      <c r="B1289" s="8" t="n"/>
      <c r="C1289" s="9">
        <f>IFERROR(_xll.ciqfunctions.udf.CIQ(mh_ticker, "IQ_LASTSALEPRICE", B1289), "")</f>
        <v/>
      </c>
      <c r="D1289" s="10">
        <f>IFERROR(_xll.ciqfunctions.udf.CIQ(mh_ticker, "IQ_SHARESOUTSTANDING_OUT", B1289), "")</f>
        <v/>
      </c>
      <c r="E1289" s="11">
        <f>IFERROR(_xll.ciqfunctions.udf.CIQ(mh_ticker, "IQ_CASH_EQUIV", , B1289), "")</f>
        <v/>
      </c>
      <c r="F1289" s="11">
        <f>IFERROR(_xll.ciqfunctions.udf.CIQ(mh_ticker, "IQ_ST_INVEST", , B1289), "")</f>
        <v/>
      </c>
      <c r="G1289" s="11">
        <f>IFERROR(_xll.ciqfunctions.udf.CIQ(mh_ticker, "IQ_TOTAL_DEBT_EXCL_OPER_LEASES", , B1289), "")</f>
        <v/>
      </c>
      <c r="H1289" s="11">
        <f>IFERROR(_xll.ciqfunctions.udf.CIQ(mh_ticker, "IQ_PREF_EQUITY", , B1289), "")</f>
        <v/>
      </c>
      <c r="I1289" s="11">
        <f>IFERROR(_xll.ciqfunctions.udf.CIQ(mh_ticker, "IQ_MINORITY_INTEREST", , B1289), "")</f>
        <v/>
      </c>
      <c r="J1289" s="11">
        <f>IFERROR(_xll.ciqfunctions.udf.CIQ(mh_ticker, "IQ_EQUITY_METHOD", , B1289), "")</f>
        <v/>
      </c>
      <c r="K1289" s="11">
        <f>IFERROR(_xll.ciqfunctions.udf.CIQ(mh_ticker, "IQ_LT_Mark_Securities", , B1289), "")</f>
        <v/>
      </c>
      <c r="L1289" s="12">
        <f>IFERROR(C1289*D1289, "")</f>
        <v/>
      </c>
      <c r="M1289" s="12">
        <f>IFERROR(L1289-E1289-F1289+G1289+H1289+I1289-J1289-K1289, "")</f>
        <v/>
      </c>
      <c r="N1289" s="11">
        <f>IFERROR(_xll.ciqfunctions.udf.CIQ(mh_ticker, "IQ_EBITDA_EST", IQ_NTM, B1289, , , "USD"), "")</f>
        <v/>
      </c>
      <c r="O1289" s="13">
        <f>IFERROR(M1289/N1289, "")</f>
        <v/>
      </c>
    </row>
    <row r="1290">
      <c r="B1290" s="8" t="n"/>
      <c r="C1290" s="9">
        <f>IFERROR(_xll.ciqfunctions.udf.CIQ(mh_ticker, "IQ_LASTSALEPRICE", B1290), "")</f>
        <v/>
      </c>
      <c r="D1290" s="10">
        <f>IFERROR(_xll.ciqfunctions.udf.CIQ(mh_ticker, "IQ_SHARESOUTSTANDING_OUT", B1290), "")</f>
        <v/>
      </c>
      <c r="E1290" s="11">
        <f>IFERROR(_xll.ciqfunctions.udf.CIQ(mh_ticker, "IQ_CASH_EQUIV", , B1290), "")</f>
        <v/>
      </c>
      <c r="F1290" s="11">
        <f>IFERROR(_xll.ciqfunctions.udf.CIQ(mh_ticker, "IQ_ST_INVEST", , B1290), "")</f>
        <v/>
      </c>
      <c r="G1290" s="11">
        <f>IFERROR(_xll.ciqfunctions.udf.CIQ(mh_ticker, "IQ_TOTAL_DEBT_EXCL_OPER_LEASES", , B1290), "")</f>
        <v/>
      </c>
      <c r="H1290" s="11">
        <f>IFERROR(_xll.ciqfunctions.udf.CIQ(mh_ticker, "IQ_PREF_EQUITY", , B1290), "")</f>
        <v/>
      </c>
      <c r="I1290" s="11">
        <f>IFERROR(_xll.ciqfunctions.udf.CIQ(mh_ticker, "IQ_MINORITY_INTEREST", , B1290), "")</f>
        <v/>
      </c>
      <c r="J1290" s="11">
        <f>IFERROR(_xll.ciqfunctions.udf.CIQ(mh_ticker, "IQ_EQUITY_METHOD", , B1290), "")</f>
        <v/>
      </c>
      <c r="K1290" s="11">
        <f>IFERROR(_xll.ciqfunctions.udf.CIQ(mh_ticker, "IQ_LT_Mark_Securities", , B1290), "")</f>
        <v/>
      </c>
      <c r="L1290" s="12">
        <f>IFERROR(C1290*D1290, "")</f>
        <v/>
      </c>
      <c r="M1290" s="12">
        <f>IFERROR(L1290-E1290-F1290+G1290+H1290+I1290-J1290-K1290, "")</f>
        <v/>
      </c>
      <c r="N1290" s="11">
        <f>IFERROR(_xll.ciqfunctions.udf.CIQ(mh_ticker, "IQ_EBITDA_EST", IQ_NTM, B1290, , , "USD"), "")</f>
        <v/>
      </c>
      <c r="O1290" s="13">
        <f>IFERROR(M1290/N1290, "")</f>
        <v/>
      </c>
    </row>
    <row r="1291">
      <c r="B1291" s="8" t="n"/>
      <c r="C1291" s="9">
        <f>IFERROR(_xll.ciqfunctions.udf.CIQ(mh_ticker, "IQ_LASTSALEPRICE", B1291), "")</f>
        <v/>
      </c>
      <c r="D1291" s="10">
        <f>IFERROR(_xll.ciqfunctions.udf.CIQ(mh_ticker, "IQ_SHARESOUTSTANDING_OUT", B1291), "")</f>
        <v/>
      </c>
      <c r="E1291" s="11">
        <f>IFERROR(_xll.ciqfunctions.udf.CIQ(mh_ticker, "IQ_CASH_EQUIV", , B1291), "")</f>
        <v/>
      </c>
      <c r="F1291" s="11">
        <f>IFERROR(_xll.ciqfunctions.udf.CIQ(mh_ticker, "IQ_ST_INVEST", , B1291), "")</f>
        <v/>
      </c>
      <c r="G1291" s="11">
        <f>IFERROR(_xll.ciqfunctions.udf.CIQ(mh_ticker, "IQ_TOTAL_DEBT_EXCL_OPER_LEASES", , B1291), "")</f>
        <v/>
      </c>
      <c r="H1291" s="11">
        <f>IFERROR(_xll.ciqfunctions.udf.CIQ(mh_ticker, "IQ_PREF_EQUITY", , B1291), "")</f>
        <v/>
      </c>
      <c r="I1291" s="11">
        <f>IFERROR(_xll.ciqfunctions.udf.CIQ(mh_ticker, "IQ_MINORITY_INTEREST", , B1291), "")</f>
        <v/>
      </c>
      <c r="J1291" s="11">
        <f>IFERROR(_xll.ciqfunctions.udf.CIQ(mh_ticker, "IQ_EQUITY_METHOD", , B1291), "")</f>
        <v/>
      </c>
      <c r="K1291" s="11">
        <f>IFERROR(_xll.ciqfunctions.udf.CIQ(mh_ticker, "IQ_LT_Mark_Securities", , B1291), "")</f>
        <v/>
      </c>
      <c r="L1291" s="12">
        <f>IFERROR(C1291*D1291, "")</f>
        <v/>
      </c>
      <c r="M1291" s="12">
        <f>IFERROR(L1291-E1291-F1291+G1291+H1291+I1291-J1291-K1291, "")</f>
        <v/>
      </c>
      <c r="N1291" s="11">
        <f>IFERROR(_xll.ciqfunctions.udf.CIQ(mh_ticker, "IQ_EBITDA_EST", IQ_NTM, B1291, , , "USD"), "")</f>
        <v/>
      </c>
      <c r="O1291" s="13">
        <f>IFERROR(M1291/N1291, "")</f>
        <v/>
      </c>
    </row>
    <row r="1292">
      <c r="B1292" s="8" t="n"/>
      <c r="C1292" s="9">
        <f>IFERROR(_xll.ciqfunctions.udf.CIQ(mh_ticker, "IQ_LASTSALEPRICE", B1292), "")</f>
        <v/>
      </c>
      <c r="D1292" s="10">
        <f>IFERROR(_xll.ciqfunctions.udf.CIQ(mh_ticker, "IQ_SHARESOUTSTANDING_OUT", B1292), "")</f>
        <v/>
      </c>
      <c r="E1292" s="11">
        <f>IFERROR(_xll.ciqfunctions.udf.CIQ(mh_ticker, "IQ_CASH_EQUIV", , B1292), "")</f>
        <v/>
      </c>
      <c r="F1292" s="11">
        <f>IFERROR(_xll.ciqfunctions.udf.CIQ(mh_ticker, "IQ_ST_INVEST", , B1292), "")</f>
        <v/>
      </c>
      <c r="G1292" s="11">
        <f>IFERROR(_xll.ciqfunctions.udf.CIQ(mh_ticker, "IQ_TOTAL_DEBT_EXCL_OPER_LEASES", , B1292), "")</f>
        <v/>
      </c>
      <c r="H1292" s="11">
        <f>IFERROR(_xll.ciqfunctions.udf.CIQ(mh_ticker, "IQ_PREF_EQUITY", , B1292), "")</f>
        <v/>
      </c>
      <c r="I1292" s="11">
        <f>IFERROR(_xll.ciqfunctions.udf.CIQ(mh_ticker, "IQ_MINORITY_INTEREST", , B1292), "")</f>
        <v/>
      </c>
      <c r="J1292" s="11">
        <f>IFERROR(_xll.ciqfunctions.udf.CIQ(mh_ticker, "IQ_EQUITY_METHOD", , B1292), "")</f>
        <v/>
      </c>
      <c r="K1292" s="11">
        <f>IFERROR(_xll.ciqfunctions.udf.CIQ(mh_ticker, "IQ_LT_Mark_Securities", , B1292), "")</f>
        <v/>
      </c>
      <c r="L1292" s="12">
        <f>IFERROR(C1292*D1292, "")</f>
        <v/>
      </c>
      <c r="M1292" s="12">
        <f>IFERROR(L1292-E1292-F1292+G1292+H1292+I1292-J1292-K1292, "")</f>
        <v/>
      </c>
      <c r="N1292" s="11">
        <f>IFERROR(_xll.ciqfunctions.udf.CIQ(mh_ticker, "IQ_EBITDA_EST", IQ_NTM, B1292, , , "USD"), "")</f>
        <v/>
      </c>
      <c r="O1292" s="13">
        <f>IFERROR(M1292/N1292, "")</f>
        <v/>
      </c>
    </row>
    <row r="1293">
      <c r="B1293" s="8" t="n"/>
      <c r="C1293" s="9">
        <f>IFERROR(_xll.ciqfunctions.udf.CIQ(mh_ticker, "IQ_LASTSALEPRICE", B1293), "")</f>
        <v/>
      </c>
      <c r="D1293" s="10">
        <f>IFERROR(_xll.ciqfunctions.udf.CIQ(mh_ticker, "IQ_SHARESOUTSTANDING_OUT", B1293), "")</f>
        <v/>
      </c>
      <c r="E1293" s="11">
        <f>IFERROR(_xll.ciqfunctions.udf.CIQ(mh_ticker, "IQ_CASH_EQUIV", , B1293), "")</f>
        <v/>
      </c>
      <c r="F1293" s="11">
        <f>IFERROR(_xll.ciqfunctions.udf.CIQ(mh_ticker, "IQ_ST_INVEST", , B1293), "")</f>
        <v/>
      </c>
      <c r="G1293" s="11">
        <f>IFERROR(_xll.ciqfunctions.udf.CIQ(mh_ticker, "IQ_TOTAL_DEBT_EXCL_OPER_LEASES", , B1293), "")</f>
        <v/>
      </c>
      <c r="H1293" s="11">
        <f>IFERROR(_xll.ciqfunctions.udf.CIQ(mh_ticker, "IQ_PREF_EQUITY", , B1293), "")</f>
        <v/>
      </c>
      <c r="I1293" s="11">
        <f>IFERROR(_xll.ciqfunctions.udf.CIQ(mh_ticker, "IQ_MINORITY_INTEREST", , B1293), "")</f>
        <v/>
      </c>
      <c r="J1293" s="11">
        <f>IFERROR(_xll.ciqfunctions.udf.CIQ(mh_ticker, "IQ_EQUITY_METHOD", , B1293), "")</f>
        <v/>
      </c>
      <c r="K1293" s="11">
        <f>IFERROR(_xll.ciqfunctions.udf.CIQ(mh_ticker, "IQ_LT_Mark_Securities", , B1293), "")</f>
        <v/>
      </c>
      <c r="L1293" s="12">
        <f>IFERROR(C1293*D1293, "")</f>
        <v/>
      </c>
      <c r="M1293" s="12">
        <f>IFERROR(L1293-E1293-F1293+G1293+H1293+I1293-J1293-K1293, "")</f>
        <v/>
      </c>
      <c r="N1293" s="11">
        <f>IFERROR(_xll.ciqfunctions.udf.CIQ(mh_ticker, "IQ_EBITDA_EST", IQ_NTM, B1293, , , "USD"), "")</f>
        <v/>
      </c>
      <c r="O1293" s="13">
        <f>IFERROR(M1293/N1293, "")</f>
        <v/>
      </c>
    </row>
    <row r="1294">
      <c r="B1294" s="8" t="n"/>
      <c r="C1294" s="9">
        <f>IFERROR(_xll.ciqfunctions.udf.CIQ(mh_ticker, "IQ_LASTSALEPRICE", B1294), "")</f>
        <v/>
      </c>
      <c r="D1294" s="10">
        <f>IFERROR(_xll.ciqfunctions.udf.CIQ(mh_ticker, "IQ_SHARESOUTSTANDING_OUT", B1294), "")</f>
        <v/>
      </c>
      <c r="E1294" s="11">
        <f>IFERROR(_xll.ciqfunctions.udf.CIQ(mh_ticker, "IQ_CASH_EQUIV", , B1294), "")</f>
        <v/>
      </c>
      <c r="F1294" s="11">
        <f>IFERROR(_xll.ciqfunctions.udf.CIQ(mh_ticker, "IQ_ST_INVEST", , B1294), "")</f>
        <v/>
      </c>
      <c r="G1294" s="11">
        <f>IFERROR(_xll.ciqfunctions.udf.CIQ(mh_ticker, "IQ_TOTAL_DEBT_EXCL_OPER_LEASES", , B1294), "")</f>
        <v/>
      </c>
      <c r="H1294" s="11">
        <f>IFERROR(_xll.ciqfunctions.udf.CIQ(mh_ticker, "IQ_PREF_EQUITY", , B1294), "")</f>
        <v/>
      </c>
      <c r="I1294" s="11">
        <f>IFERROR(_xll.ciqfunctions.udf.CIQ(mh_ticker, "IQ_MINORITY_INTEREST", , B1294), "")</f>
        <v/>
      </c>
      <c r="J1294" s="11">
        <f>IFERROR(_xll.ciqfunctions.udf.CIQ(mh_ticker, "IQ_EQUITY_METHOD", , B1294), "")</f>
        <v/>
      </c>
      <c r="K1294" s="11">
        <f>IFERROR(_xll.ciqfunctions.udf.CIQ(mh_ticker, "IQ_LT_Mark_Securities", , B1294), "")</f>
        <v/>
      </c>
      <c r="L1294" s="12">
        <f>IFERROR(C1294*D1294, "")</f>
        <v/>
      </c>
      <c r="M1294" s="12">
        <f>IFERROR(L1294-E1294-F1294+G1294+H1294+I1294-J1294-K1294, "")</f>
        <v/>
      </c>
      <c r="N1294" s="11">
        <f>IFERROR(_xll.ciqfunctions.udf.CIQ(mh_ticker, "IQ_EBITDA_EST", IQ_NTM, B1294, , , "USD"), "")</f>
        <v/>
      </c>
      <c r="O1294" s="13">
        <f>IFERROR(M1294/N1294, "")</f>
        <v/>
      </c>
    </row>
    <row r="1295">
      <c r="B1295" s="8" t="n"/>
      <c r="C1295" s="9">
        <f>IFERROR(_xll.ciqfunctions.udf.CIQ(mh_ticker, "IQ_LASTSALEPRICE", B1295), "")</f>
        <v/>
      </c>
      <c r="D1295" s="10">
        <f>IFERROR(_xll.ciqfunctions.udf.CIQ(mh_ticker, "IQ_SHARESOUTSTANDING_OUT", B1295), "")</f>
        <v/>
      </c>
      <c r="E1295" s="11">
        <f>IFERROR(_xll.ciqfunctions.udf.CIQ(mh_ticker, "IQ_CASH_EQUIV", , B1295), "")</f>
        <v/>
      </c>
      <c r="F1295" s="11">
        <f>IFERROR(_xll.ciqfunctions.udf.CIQ(mh_ticker, "IQ_ST_INVEST", , B1295), "")</f>
        <v/>
      </c>
      <c r="G1295" s="11">
        <f>IFERROR(_xll.ciqfunctions.udf.CIQ(mh_ticker, "IQ_TOTAL_DEBT_EXCL_OPER_LEASES", , B1295), "")</f>
        <v/>
      </c>
      <c r="H1295" s="11">
        <f>IFERROR(_xll.ciqfunctions.udf.CIQ(mh_ticker, "IQ_PREF_EQUITY", , B1295), "")</f>
        <v/>
      </c>
      <c r="I1295" s="11">
        <f>IFERROR(_xll.ciqfunctions.udf.CIQ(mh_ticker, "IQ_MINORITY_INTEREST", , B1295), "")</f>
        <v/>
      </c>
      <c r="J1295" s="11">
        <f>IFERROR(_xll.ciqfunctions.udf.CIQ(mh_ticker, "IQ_EQUITY_METHOD", , B1295), "")</f>
        <v/>
      </c>
      <c r="K1295" s="11">
        <f>IFERROR(_xll.ciqfunctions.udf.CIQ(mh_ticker, "IQ_LT_Mark_Securities", , B1295), "")</f>
        <v/>
      </c>
      <c r="L1295" s="12">
        <f>IFERROR(C1295*D1295, "")</f>
        <v/>
      </c>
      <c r="M1295" s="12">
        <f>IFERROR(L1295-E1295-F1295+G1295+H1295+I1295-J1295-K1295, "")</f>
        <v/>
      </c>
      <c r="N1295" s="11">
        <f>IFERROR(_xll.ciqfunctions.udf.CIQ(mh_ticker, "IQ_EBITDA_EST", IQ_NTM, B1295, , , "USD"), "")</f>
        <v/>
      </c>
      <c r="O1295" s="13">
        <f>IFERROR(M1295/N1295, "")</f>
        <v/>
      </c>
    </row>
    <row r="1296">
      <c r="B1296" s="8" t="n"/>
      <c r="C1296" s="9">
        <f>IFERROR(_xll.ciqfunctions.udf.CIQ(mh_ticker, "IQ_LASTSALEPRICE", B1296), "")</f>
        <v/>
      </c>
      <c r="D1296" s="10">
        <f>IFERROR(_xll.ciqfunctions.udf.CIQ(mh_ticker, "IQ_SHARESOUTSTANDING_OUT", B1296), "")</f>
        <v/>
      </c>
      <c r="E1296" s="11">
        <f>IFERROR(_xll.ciqfunctions.udf.CIQ(mh_ticker, "IQ_CASH_EQUIV", , B1296), "")</f>
        <v/>
      </c>
      <c r="F1296" s="11">
        <f>IFERROR(_xll.ciqfunctions.udf.CIQ(mh_ticker, "IQ_ST_INVEST", , B1296), "")</f>
        <v/>
      </c>
      <c r="G1296" s="11">
        <f>IFERROR(_xll.ciqfunctions.udf.CIQ(mh_ticker, "IQ_TOTAL_DEBT_EXCL_OPER_LEASES", , B1296), "")</f>
        <v/>
      </c>
      <c r="H1296" s="11">
        <f>IFERROR(_xll.ciqfunctions.udf.CIQ(mh_ticker, "IQ_PREF_EQUITY", , B1296), "")</f>
        <v/>
      </c>
      <c r="I1296" s="11">
        <f>IFERROR(_xll.ciqfunctions.udf.CIQ(mh_ticker, "IQ_MINORITY_INTEREST", , B1296), "")</f>
        <v/>
      </c>
      <c r="J1296" s="11">
        <f>IFERROR(_xll.ciqfunctions.udf.CIQ(mh_ticker, "IQ_EQUITY_METHOD", , B1296), "")</f>
        <v/>
      </c>
      <c r="K1296" s="11">
        <f>IFERROR(_xll.ciqfunctions.udf.CIQ(mh_ticker, "IQ_LT_Mark_Securities", , B1296), "")</f>
        <v/>
      </c>
      <c r="L1296" s="12">
        <f>IFERROR(C1296*D1296, "")</f>
        <v/>
      </c>
      <c r="M1296" s="12">
        <f>IFERROR(L1296-E1296-F1296+G1296+H1296+I1296-J1296-K1296, "")</f>
        <v/>
      </c>
      <c r="N1296" s="11">
        <f>IFERROR(_xll.ciqfunctions.udf.CIQ(mh_ticker, "IQ_EBITDA_EST", IQ_NTM, B1296, , , "USD"), "")</f>
        <v/>
      </c>
      <c r="O1296" s="13">
        <f>IFERROR(M1296/N1296, "")</f>
        <v/>
      </c>
    </row>
    <row r="1297">
      <c r="B1297" s="8" t="n"/>
      <c r="C1297" s="9">
        <f>IFERROR(_xll.ciqfunctions.udf.CIQ(mh_ticker, "IQ_LASTSALEPRICE", B1297), "")</f>
        <v/>
      </c>
      <c r="D1297" s="10">
        <f>IFERROR(_xll.ciqfunctions.udf.CIQ(mh_ticker, "IQ_SHARESOUTSTANDING_OUT", B1297), "")</f>
        <v/>
      </c>
      <c r="E1297" s="11">
        <f>IFERROR(_xll.ciqfunctions.udf.CIQ(mh_ticker, "IQ_CASH_EQUIV", , B1297), "")</f>
        <v/>
      </c>
      <c r="F1297" s="11">
        <f>IFERROR(_xll.ciqfunctions.udf.CIQ(mh_ticker, "IQ_ST_INVEST", , B1297), "")</f>
        <v/>
      </c>
      <c r="G1297" s="11">
        <f>IFERROR(_xll.ciqfunctions.udf.CIQ(mh_ticker, "IQ_TOTAL_DEBT_EXCL_OPER_LEASES", , B1297), "")</f>
        <v/>
      </c>
      <c r="H1297" s="11">
        <f>IFERROR(_xll.ciqfunctions.udf.CIQ(mh_ticker, "IQ_PREF_EQUITY", , B1297), "")</f>
        <v/>
      </c>
      <c r="I1297" s="11">
        <f>IFERROR(_xll.ciqfunctions.udf.CIQ(mh_ticker, "IQ_MINORITY_INTEREST", , B1297), "")</f>
        <v/>
      </c>
      <c r="J1297" s="11">
        <f>IFERROR(_xll.ciqfunctions.udf.CIQ(mh_ticker, "IQ_EQUITY_METHOD", , B1297), "")</f>
        <v/>
      </c>
      <c r="K1297" s="11">
        <f>IFERROR(_xll.ciqfunctions.udf.CIQ(mh_ticker, "IQ_LT_Mark_Securities", , B1297), "")</f>
        <v/>
      </c>
      <c r="L1297" s="12">
        <f>IFERROR(C1297*D1297, "")</f>
        <v/>
      </c>
      <c r="M1297" s="12">
        <f>IFERROR(L1297-E1297-F1297+G1297+H1297+I1297-J1297-K1297, "")</f>
        <v/>
      </c>
      <c r="N1297" s="11">
        <f>IFERROR(_xll.ciqfunctions.udf.CIQ(mh_ticker, "IQ_EBITDA_EST", IQ_NTM, B1297, , , "USD"), "")</f>
        <v/>
      </c>
      <c r="O1297" s="13">
        <f>IFERROR(M1297/N1297, "")</f>
        <v/>
      </c>
    </row>
    <row r="1298">
      <c r="B1298" s="8" t="n"/>
      <c r="C1298" s="9">
        <f>IFERROR(_xll.ciqfunctions.udf.CIQ(mh_ticker, "IQ_LASTSALEPRICE", B1298), "")</f>
        <v/>
      </c>
      <c r="D1298" s="10">
        <f>IFERROR(_xll.ciqfunctions.udf.CIQ(mh_ticker, "IQ_SHARESOUTSTANDING_OUT", B1298), "")</f>
        <v/>
      </c>
      <c r="E1298" s="11">
        <f>IFERROR(_xll.ciqfunctions.udf.CIQ(mh_ticker, "IQ_CASH_EQUIV", , B1298), "")</f>
        <v/>
      </c>
      <c r="F1298" s="11">
        <f>IFERROR(_xll.ciqfunctions.udf.CIQ(mh_ticker, "IQ_ST_INVEST", , B1298), "")</f>
        <v/>
      </c>
      <c r="G1298" s="11">
        <f>IFERROR(_xll.ciqfunctions.udf.CIQ(mh_ticker, "IQ_TOTAL_DEBT_EXCL_OPER_LEASES", , B1298), "")</f>
        <v/>
      </c>
      <c r="H1298" s="11">
        <f>IFERROR(_xll.ciqfunctions.udf.CIQ(mh_ticker, "IQ_PREF_EQUITY", , B1298), "")</f>
        <v/>
      </c>
      <c r="I1298" s="11">
        <f>IFERROR(_xll.ciqfunctions.udf.CIQ(mh_ticker, "IQ_MINORITY_INTEREST", , B1298), "")</f>
        <v/>
      </c>
      <c r="J1298" s="11">
        <f>IFERROR(_xll.ciqfunctions.udf.CIQ(mh_ticker, "IQ_EQUITY_METHOD", , B1298), "")</f>
        <v/>
      </c>
      <c r="K1298" s="11">
        <f>IFERROR(_xll.ciqfunctions.udf.CIQ(mh_ticker, "IQ_LT_Mark_Securities", , B1298), "")</f>
        <v/>
      </c>
      <c r="L1298" s="12">
        <f>IFERROR(C1298*D1298, "")</f>
        <v/>
      </c>
      <c r="M1298" s="12">
        <f>IFERROR(L1298-E1298-F1298+G1298+H1298+I1298-J1298-K1298, "")</f>
        <v/>
      </c>
      <c r="N1298" s="11">
        <f>IFERROR(_xll.ciqfunctions.udf.CIQ(mh_ticker, "IQ_EBITDA_EST", IQ_NTM, B1298, , , "USD"), "")</f>
        <v/>
      </c>
      <c r="O1298" s="13">
        <f>IFERROR(M1298/N1298, "")</f>
        <v/>
      </c>
    </row>
    <row r="1299">
      <c r="B1299" s="8" t="n"/>
      <c r="C1299" s="9">
        <f>IFERROR(_xll.ciqfunctions.udf.CIQ(mh_ticker, "IQ_LASTSALEPRICE", B1299), "")</f>
        <v/>
      </c>
      <c r="D1299" s="10">
        <f>IFERROR(_xll.ciqfunctions.udf.CIQ(mh_ticker, "IQ_SHARESOUTSTANDING_OUT", B1299), "")</f>
        <v/>
      </c>
      <c r="E1299" s="11">
        <f>IFERROR(_xll.ciqfunctions.udf.CIQ(mh_ticker, "IQ_CASH_EQUIV", , B1299), "")</f>
        <v/>
      </c>
      <c r="F1299" s="11">
        <f>IFERROR(_xll.ciqfunctions.udf.CIQ(mh_ticker, "IQ_ST_INVEST", , B1299), "")</f>
        <v/>
      </c>
      <c r="G1299" s="11">
        <f>IFERROR(_xll.ciqfunctions.udf.CIQ(mh_ticker, "IQ_TOTAL_DEBT_EXCL_OPER_LEASES", , B1299), "")</f>
        <v/>
      </c>
      <c r="H1299" s="11">
        <f>IFERROR(_xll.ciqfunctions.udf.CIQ(mh_ticker, "IQ_PREF_EQUITY", , B1299), "")</f>
        <v/>
      </c>
      <c r="I1299" s="11">
        <f>IFERROR(_xll.ciqfunctions.udf.CIQ(mh_ticker, "IQ_MINORITY_INTEREST", , B1299), "")</f>
        <v/>
      </c>
      <c r="J1299" s="11">
        <f>IFERROR(_xll.ciqfunctions.udf.CIQ(mh_ticker, "IQ_EQUITY_METHOD", , B1299), "")</f>
        <v/>
      </c>
      <c r="K1299" s="11">
        <f>IFERROR(_xll.ciqfunctions.udf.CIQ(mh_ticker, "IQ_LT_Mark_Securities", , B1299), "")</f>
        <v/>
      </c>
      <c r="L1299" s="12">
        <f>IFERROR(C1299*D1299, "")</f>
        <v/>
      </c>
      <c r="M1299" s="12">
        <f>IFERROR(L1299-E1299-F1299+G1299+H1299+I1299-J1299-K1299, "")</f>
        <v/>
      </c>
      <c r="N1299" s="11">
        <f>IFERROR(_xll.ciqfunctions.udf.CIQ(mh_ticker, "IQ_EBITDA_EST", IQ_NTM, B1299, , , "USD"), "")</f>
        <v/>
      </c>
      <c r="O1299" s="13">
        <f>IFERROR(M1299/N1299, "")</f>
        <v/>
      </c>
    </row>
    <row r="1300">
      <c r="B1300" s="8" t="n"/>
      <c r="C1300" s="9">
        <f>IFERROR(_xll.ciqfunctions.udf.CIQ(mh_ticker, "IQ_LASTSALEPRICE", B1300), "")</f>
        <v/>
      </c>
      <c r="D1300" s="10">
        <f>IFERROR(_xll.ciqfunctions.udf.CIQ(mh_ticker, "IQ_SHARESOUTSTANDING_OUT", B1300), "")</f>
        <v/>
      </c>
      <c r="E1300" s="11">
        <f>IFERROR(_xll.ciqfunctions.udf.CIQ(mh_ticker, "IQ_CASH_EQUIV", , B1300), "")</f>
        <v/>
      </c>
      <c r="F1300" s="11">
        <f>IFERROR(_xll.ciqfunctions.udf.CIQ(mh_ticker, "IQ_ST_INVEST", , B1300), "")</f>
        <v/>
      </c>
      <c r="G1300" s="11">
        <f>IFERROR(_xll.ciqfunctions.udf.CIQ(mh_ticker, "IQ_TOTAL_DEBT_EXCL_OPER_LEASES", , B1300), "")</f>
        <v/>
      </c>
      <c r="H1300" s="11">
        <f>IFERROR(_xll.ciqfunctions.udf.CIQ(mh_ticker, "IQ_PREF_EQUITY", , B1300), "")</f>
        <v/>
      </c>
      <c r="I1300" s="11">
        <f>IFERROR(_xll.ciqfunctions.udf.CIQ(mh_ticker, "IQ_MINORITY_INTEREST", , B1300), "")</f>
        <v/>
      </c>
      <c r="J1300" s="11">
        <f>IFERROR(_xll.ciqfunctions.udf.CIQ(mh_ticker, "IQ_EQUITY_METHOD", , B1300), "")</f>
        <v/>
      </c>
      <c r="K1300" s="11">
        <f>IFERROR(_xll.ciqfunctions.udf.CIQ(mh_ticker, "IQ_LT_Mark_Securities", , B1300), "")</f>
        <v/>
      </c>
      <c r="L1300" s="12">
        <f>IFERROR(C1300*D1300, "")</f>
        <v/>
      </c>
      <c r="M1300" s="12">
        <f>IFERROR(L1300-E1300-F1300+G1300+H1300+I1300-J1300-K1300, "")</f>
        <v/>
      </c>
      <c r="N1300" s="11">
        <f>IFERROR(_xll.ciqfunctions.udf.CIQ(mh_ticker, "IQ_EBITDA_EST", IQ_NTM, B1300, , , "USD"), "")</f>
        <v/>
      </c>
      <c r="O1300" s="13">
        <f>IFERROR(M1300/N1300, "")</f>
        <v/>
      </c>
    </row>
    <row r="1301">
      <c r="B1301" s="8" t="n"/>
      <c r="C1301" s="9">
        <f>IFERROR(_xll.ciqfunctions.udf.CIQ(mh_ticker, "IQ_LASTSALEPRICE", B1301), "")</f>
        <v/>
      </c>
      <c r="D1301" s="10">
        <f>IFERROR(_xll.ciqfunctions.udf.CIQ(mh_ticker, "IQ_SHARESOUTSTANDING_OUT", B1301), "")</f>
        <v/>
      </c>
      <c r="E1301" s="11">
        <f>IFERROR(_xll.ciqfunctions.udf.CIQ(mh_ticker, "IQ_CASH_EQUIV", , B1301), "")</f>
        <v/>
      </c>
      <c r="F1301" s="11">
        <f>IFERROR(_xll.ciqfunctions.udf.CIQ(mh_ticker, "IQ_ST_INVEST", , B1301), "")</f>
        <v/>
      </c>
      <c r="G1301" s="11">
        <f>IFERROR(_xll.ciqfunctions.udf.CIQ(mh_ticker, "IQ_TOTAL_DEBT_EXCL_OPER_LEASES", , B1301), "")</f>
        <v/>
      </c>
      <c r="H1301" s="11">
        <f>IFERROR(_xll.ciqfunctions.udf.CIQ(mh_ticker, "IQ_PREF_EQUITY", , B1301), "")</f>
        <v/>
      </c>
      <c r="I1301" s="11">
        <f>IFERROR(_xll.ciqfunctions.udf.CIQ(mh_ticker, "IQ_MINORITY_INTEREST", , B1301), "")</f>
        <v/>
      </c>
      <c r="J1301" s="11">
        <f>IFERROR(_xll.ciqfunctions.udf.CIQ(mh_ticker, "IQ_EQUITY_METHOD", , B1301), "")</f>
        <v/>
      </c>
      <c r="K1301" s="11">
        <f>IFERROR(_xll.ciqfunctions.udf.CIQ(mh_ticker, "IQ_LT_Mark_Securities", , B1301), "")</f>
        <v/>
      </c>
      <c r="L1301" s="12">
        <f>IFERROR(C1301*D1301, "")</f>
        <v/>
      </c>
      <c r="M1301" s="12">
        <f>IFERROR(L1301-E1301-F1301+G1301+H1301+I1301-J1301-K1301, "")</f>
        <v/>
      </c>
      <c r="N1301" s="11">
        <f>IFERROR(_xll.ciqfunctions.udf.CIQ(mh_ticker, "IQ_EBITDA_EST", IQ_NTM, B1301, , , "USD"), "")</f>
        <v/>
      </c>
      <c r="O1301" s="13">
        <f>IFERROR(M1301/N1301, "")</f>
        <v/>
      </c>
    </row>
    <row r="1302">
      <c r="B1302" s="8" t="n"/>
      <c r="C1302" s="9">
        <f>IFERROR(_xll.ciqfunctions.udf.CIQ(mh_ticker, "IQ_LASTSALEPRICE", B1302), "")</f>
        <v/>
      </c>
      <c r="D1302" s="10">
        <f>IFERROR(_xll.ciqfunctions.udf.CIQ(mh_ticker, "IQ_SHARESOUTSTANDING_OUT", B1302), "")</f>
        <v/>
      </c>
      <c r="E1302" s="11">
        <f>IFERROR(_xll.ciqfunctions.udf.CIQ(mh_ticker, "IQ_CASH_EQUIV", , B1302), "")</f>
        <v/>
      </c>
      <c r="F1302" s="11">
        <f>IFERROR(_xll.ciqfunctions.udf.CIQ(mh_ticker, "IQ_ST_INVEST", , B1302), "")</f>
        <v/>
      </c>
      <c r="G1302" s="11">
        <f>IFERROR(_xll.ciqfunctions.udf.CIQ(mh_ticker, "IQ_TOTAL_DEBT_EXCL_OPER_LEASES", , B1302), "")</f>
        <v/>
      </c>
      <c r="H1302" s="11">
        <f>IFERROR(_xll.ciqfunctions.udf.CIQ(mh_ticker, "IQ_PREF_EQUITY", , B1302), "")</f>
        <v/>
      </c>
      <c r="I1302" s="11">
        <f>IFERROR(_xll.ciqfunctions.udf.CIQ(mh_ticker, "IQ_MINORITY_INTEREST", , B1302), "")</f>
        <v/>
      </c>
      <c r="J1302" s="11">
        <f>IFERROR(_xll.ciqfunctions.udf.CIQ(mh_ticker, "IQ_EQUITY_METHOD", , B1302), "")</f>
        <v/>
      </c>
      <c r="K1302" s="11">
        <f>IFERROR(_xll.ciqfunctions.udf.CIQ(mh_ticker, "IQ_LT_Mark_Securities", , B1302), "")</f>
        <v/>
      </c>
      <c r="L1302" s="12">
        <f>IFERROR(C1302*D1302, "")</f>
        <v/>
      </c>
      <c r="M1302" s="12">
        <f>IFERROR(L1302-E1302-F1302+G1302+H1302+I1302-J1302-K1302, "")</f>
        <v/>
      </c>
      <c r="N1302" s="11">
        <f>IFERROR(_xll.ciqfunctions.udf.CIQ(mh_ticker, "IQ_EBITDA_EST", IQ_NTM, B1302, , , "USD"), "")</f>
        <v/>
      </c>
      <c r="O1302" s="13">
        <f>IFERROR(M1302/N1302, "")</f>
        <v/>
      </c>
    </row>
    <row r="1303">
      <c r="B1303" s="8" t="n"/>
      <c r="C1303" s="9">
        <f>IFERROR(_xll.ciqfunctions.udf.CIQ(mh_ticker, "IQ_LASTSALEPRICE", B1303), "")</f>
        <v/>
      </c>
      <c r="D1303" s="10">
        <f>IFERROR(_xll.ciqfunctions.udf.CIQ(mh_ticker, "IQ_SHARESOUTSTANDING_OUT", B1303), "")</f>
        <v/>
      </c>
      <c r="E1303" s="11">
        <f>IFERROR(_xll.ciqfunctions.udf.CIQ(mh_ticker, "IQ_CASH_EQUIV", , B1303), "")</f>
        <v/>
      </c>
      <c r="F1303" s="11">
        <f>IFERROR(_xll.ciqfunctions.udf.CIQ(mh_ticker, "IQ_ST_INVEST", , B1303), "")</f>
        <v/>
      </c>
      <c r="G1303" s="11">
        <f>IFERROR(_xll.ciqfunctions.udf.CIQ(mh_ticker, "IQ_TOTAL_DEBT_EXCL_OPER_LEASES", , B1303), "")</f>
        <v/>
      </c>
      <c r="H1303" s="11">
        <f>IFERROR(_xll.ciqfunctions.udf.CIQ(mh_ticker, "IQ_PREF_EQUITY", , B1303), "")</f>
        <v/>
      </c>
      <c r="I1303" s="11">
        <f>IFERROR(_xll.ciqfunctions.udf.CIQ(mh_ticker, "IQ_MINORITY_INTEREST", , B1303), "")</f>
        <v/>
      </c>
      <c r="J1303" s="11">
        <f>IFERROR(_xll.ciqfunctions.udf.CIQ(mh_ticker, "IQ_EQUITY_METHOD", , B1303), "")</f>
        <v/>
      </c>
      <c r="K1303" s="11">
        <f>IFERROR(_xll.ciqfunctions.udf.CIQ(mh_ticker, "IQ_LT_Mark_Securities", , B1303), "")</f>
        <v/>
      </c>
      <c r="L1303" s="12">
        <f>IFERROR(C1303*D1303, "")</f>
        <v/>
      </c>
      <c r="M1303" s="12">
        <f>IFERROR(L1303-E1303-F1303+G1303+H1303+I1303-J1303-K1303, "")</f>
        <v/>
      </c>
      <c r="N1303" s="11">
        <f>IFERROR(_xll.ciqfunctions.udf.CIQ(mh_ticker, "IQ_EBITDA_EST", IQ_NTM, B1303, , , "USD"), "")</f>
        <v/>
      </c>
      <c r="O1303" s="13">
        <f>IFERROR(M1303/N1303, "")</f>
        <v/>
      </c>
    </row>
    <row r="1304">
      <c r="B1304" s="8" t="n"/>
      <c r="C1304" s="9">
        <f>IFERROR(_xll.ciqfunctions.udf.CIQ(mh_ticker, "IQ_LASTSALEPRICE", B1304), "")</f>
        <v/>
      </c>
      <c r="D1304" s="10">
        <f>IFERROR(_xll.ciqfunctions.udf.CIQ(mh_ticker, "IQ_SHARESOUTSTANDING_OUT", B1304), "")</f>
        <v/>
      </c>
      <c r="E1304" s="11">
        <f>IFERROR(_xll.ciqfunctions.udf.CIQ(mh_ticker, "IQ_CASH_EQUIV", , B1304), "")</f>
        <v/>
      </c>
      <c r="F1304" s="11">
        <f>IFERROR(_xll.ciqfunctions.udf.CIQ(mh_ticker, "IQ_ST_INVEST", , B1304), "")</f>
        <v/>
      </c>
      <c r="G1304" s="11">
        <f>IFERROR(_xll.ciqfunctions.udf.CIQ(mh_ticker, "IQ_TOTAL_DEBT_EXCL_OPER_LEASES", , B1304), "")</f>
        <v/>
      </c>
      <c r="H1304" s="11">
        <f>IFERROR(_xll.ciqfunctions.udf.CIQ(mh_ticker, "IQ_PREF_EQUITY", , B1304), "")</f>
        <v/>
      </c>
      <c r="I1304" s="11">
        <f>IFERROR(_xll.ciqfunctions.udf.CIQ(mh_ticker, "IQ_MINORITY_INTEREST", , B1304), "")</f>
        <v/>
      </c>
      <c r="J1304" s="11">
        <f>IFERROR(_xll.ciqfunctions.udf.CIQ(mh_ticker, "IQ_EQUITY_METHOD", , B1304), "")</f>
        <v/>
      </c>
      <c r="K1304" s="11">
        <f>IFERROR(_xll.ciqfunctions.udf.CIQ(mh_ticker, "IQ_LT_Mark_Securities", , B1304), "")</f>
        <v/>
      </c>
      <c r="L1304" s="12">
        <f>IFERROR(C1304*D1304, "")</f>
        <v/>
      </c>
      <c r="M1304" s="12">
        <f>IFERROR(L1304-E1304-F1304+G1304+H1304+I1304-J1304-K1304, "")</f>
        <v/>
      </c>
      <c r="N1304" s="11">
        <f>IFERROR(_xll.ciqfunctions.udf.CIQ(mh_ticker, "IQ_EBITDA_EST", IQ_NTM, B1304, , , "USD"), "")</f>
        <v/>
      </c>
      <c r="O1304" s="13">
        <f>IFERROR(M1304/N1304, "")</f>
        <v/>
      </c>
    </row>
    <row r="1305">
      <c r="B1305" s="8" t="n"/>
      <c r="C1305" s="9">
        <f>IFERROR(_xll.ciqfunctions.udf.CIQ(mh_ticker, "IQ_LASTSALEPRICE", B1305), "")</f>
        <v/>
      </c>
      <c r="D1305" s="10">
        <f>IFERROR(_xll.ciqfunctions.udf.CIQ(mh_ticker, "IQ_SHARESOUTSTANDING_OUT", B1305), "")</f>
        <v/>
      </c>
      <c r="E1305" s="11">
        <f>IFERROR(_xll.ciqfunctions.udf.CIQ(mh_ticker, "IQ_CASH_EQUIV", , B1305), "")</f>
        <v/>
      </c>
      <c r="F1305" s="11">
        <f>IFERROR(_xll.ciqfunctions.udf.CIQ(mh_ticker, "IQ_ST_INVEST", , B1305), "")</f>
        <v/>
      </c>
      <c r="G1305" s="11">
        <f>IFERROR(_xll.ciqfunctions.udf.CIQ(mh_ticker, "IQ_TOTAL_DEBT_EXCL_OPER_LEASES", , B1305), "")</f>
        <v/>
      </c>
      <c r="H1305" s="11">
        <f>IFERROR(_xll.ciqfunctions.udf.CIQ(mh_ticker, "IQ_PREF_EQUITY", , B1305), "")</f>
        <v/>
      </c>
      <c r="I1305" s="11">
        <f>IFERROR(_xll.ciqfunctions.udf.CIQ(mh_ticker, "IQ_MINORITY_INTEREST", , B1305), "")</f>
        <v/>
      </c>
      <c r="J1305" s="11">
        <f>IFERROR(_xll.ciqfunctions.udf.CIQ(mh_ticker, "IQ_EQUITY_METHOD", , B1305), "")</f>
        <v/>
      </c>
      <c r="K1305" s="11">
        <f>IFERROR(_xll.ciqfunctions.udf.CIQ(mh_ticker, "IQ_LT_Mark_Securities", , B1305), "")</f>
        <v/>
      </c>
      <c r="L1305" s="12">
        <f>IFERROR(C1305*D1305, "")</f>
        <v/>
      </c>
      <c r="M1305" s="12">
        <f>IFERROR(L1305-E1305-F1305+G1305+H1305+I1305-J1305-K1305, "")</f>
        <v/>
      </c>
      <c r="N1305" s="11">
        <f>IFERROR(_xll.ciqfunctions.udf.CIQ(mh_ticker, "IQ_EBITDA_EST", IQ_NTM, B1305, , , "USD"), "")</f>
        <v/>
      </c>
      <c r="O1305" s="13">
        <f>IFERROR(M1305/N1305, "")</f>
        <v/>
      </c>
    </row>
    <row r="1306">
      <c r="B1306" s="8" t="n"/>
      <c r="C1306" s="9">
        <f>IFERROR(_xll.ciqfunctions.udf.CIQ(mh_ticker, "IQ_LASTSALEPRICE", B1306), "")</f>
        <v/>
      </c>
      <c r="D1306" s="10">
        <f>IFERROR(_xll.ciqfunctions.udf.CIQ(mh_ticker, "IQ_SHARESOUTSTANDING_OUT", B1306), "")</f>
        <v/>
      </c>
      <c r="E1306" s="11">
        <f>IFERROR(_xll.ciqfunctions.udf.CIQ(mh_ticker, "IQ_CASH_EQUIV", , B1306), "")</f>
        <v/>
      </c>
      <c r="F1306" s="11">
        <f>IFERROR(_xll.ciqfunctions.udf.CIQ(mh_ticker, "IQ_ST_INVEST", , B1306), "")</f>
        <v/>
      </c>
      <c r="G1306" s="11">
        <f>IFERROR(_xll.ciqfunctions.udf.CIQ(mh_ticker, "IQ_TOTAL_DEBT_EXCL_OPER_LEASES", , B1306), "")</f>
        <v/>
      </c>
      <c r="H1306" s="11">
        <f>IFERROR(_xll.ciqfunctions.udf.CIQ(mh_ticker, "IQ_PREF_EQUITY", , B1306), "")</f>
        <v/>
      </c>
      <c r="I1306" s="11">
        <f>IFERROR(_xll.ciqfunctions.udf.CIQ(mh_ticker, "IQ_MINORITY_INTEREST", , B1306), "")</f>
        <v/>
      </c>
      <c r="J1306" s="11">
        <f>IFERROR(_xll.ciqfunctions.udf.CIQ(mh_ticker, "IQ_EQUITY_METHOD", , B1306), "")</f>
        <v/>
      </c>
      <c r="K1306" s="11">
        <f>IFERROR(_xll.ciqfunctions.udf.CIQ(mh_ticker, "IQ_LT_Mark_Securities", , B1306), "")</f>
        <v/>
      </c>
      <c r="L1306" s="12">
        <f>IFERROR(C1306*D1306, "")</f>
        <v/>
      </c>
      <c r="M1306" s="12">
        <f>IFERROR(L1306-E1306-F1306+G1306+H1306+I1306-J1306-K1306, "")</f>
        <v/>
      </c>
      <c r="N1306" s="11">
        <f>IFERROR(_xll.ciqfunctions.udf.CIQ(mh_ticker, "IQ_EBITDA_EST", IQ_NTM, B1306, , , "USD"), "")</f>
        <v/>
      </c>
      <c r="O1306" s="13">
        <f>IFERROR(M1306/N1306, "")</f>
        <v/>
      </c>
    </row>
    <row r="1307">
      <c r="B1307" s="8" t="n"/>
      <c r="C1307" s="9">
        <f>IFERROR(_xll.ciqfunctions.udf.CIQ(mh_ticker, "IQ_LASTSALEPRICE", B1307), "")</f>
        <v/>
      </c>
      <c r="D1307" s="10">
        <f>IFERROR(_xll.ciqfunctions.udf.CIQ(mh_ticker, "IQ_SHARESOUTSTANDING_OUT", B1307), "")</f>
        <v/>
      </c>
      <c r="E1307" s="11">
        <f>IFERROR(_xll.ciqfunctions.udf.CIQ(mh_ticker, "IQ_CASH_EQUIV", , B1307), "")</f>
        <v/>
      </c>
      <c r="F1307" s="11">
        <f>IFERROR(_xll.ciqfunctions.udf.CIQ(mh_ticker, "IQ_ST_INVEST", , B1307), "")</f>
        <v/>
      </c>
      <c r="G1307" s="11">
        <f>IFERROR(_xll.ciqfunctions.udf.CIQ(mh_ticker, "IQ_TOTAL_DEBT_EXCL_OPER_LEASES", , B1307), "")</f>
        <v/>
      </c>
      <c r="H1307" s="11">
        <f>IFERROR(_xll.ciqfunctions.udf.CIQ(mh_ticker, "IQ_PREF_EQUITY", , B1307), "")</f>
        <v/>
      </c>
      <c r="I1307" s="11">
        <f>IFERROR(_xll.ciqfunctions.udf.CIQ(mh_ticker, "IQ_MINORITY_INTEREST", , B1307), "")</f>
        <v/>
      </c>
      <c r="J1307" s="11">
        <f>IFERROR(_xll.ciqfunctions.udf.CIQ(mh_ticker, "IQ_EQUITY_METHOD", , B1307), "")</f>
        <v/>
      </c>
      <c r="K1307" s="11">
        <f>IFERROR(_xll.ciqfunctions.udf.CIQ(mh_ticker, "IQ_LT_Mark_Securities", , B1307), "")</f>
        <v/>
      </c>
      <c r="L1307" s="12">
        <f>IFERROR(C1307*D1307, "")</f>
        <v/>
      </c>
      <c r="M1307" s="12">
        <f>IFERROR(L1307-E1307-F1307+G1307+H1307+I1307-J1307-K1307, "")</f>
        <v/>
      </c>
      <c r="N1307" s="11">
        <f>IFERROR(_xll.ciqfunctions.udf.CIQ(mh_ticker, "IQ_EBITDA_EST", IQ_NTM, B1307, , , "USD"), "")</f>
        <v/>
      </c>
      <c r="O1307" s="13">
        <f>IFERROR(M1307/N1307, "")</f>
        <v/>
      </c>
    </row>
    <row r="1308">
      <c r="B1308" s="8" t="n"/>
      <c r="C1308" s="9">
        <f>IFERROR(_xll.ciqfunctions.udf.CIQ(mh_ticker, "IQ_LASTSALEPRICE", B1308), "")</f>
        <v/>
      </c>
      <c r="D1308" s="10">
        <f>IFERROR(_xll.ciqfunctions.udf.CIQ(mh_ticker, "IQ_SHARESOUTSTANDING_OUT", B1308), "")</f>
        <v/>
      </c>
      <c r="E1308" s="11">
        <f>IFERROR(_xll.ciqfunctions.udf.CIQ(mh_ticker, "IQ_CASH_EQUIV", , B1308), "")</f>
        <v/>
      </c>
      <c r="F1308" s="11">
        <f>IFERROR(_xll.ciqfunctions.udf.CIQ(mh_ticker, "IQ_ST_INVEST", , B1308), "")</f>
        <v/>
      </c>
      <c r="G1308" s="11">
        <f>IFERROR(_xll.ciqfunctions.udf.CIQ(mh_ticker, "IQ_TOTAL_DEBT_EXCL_OPER_LEASES", , B1308), "")</f>
        <v/>
      </c>
      <c r="H1308" s="11">
        <f>IFERROR(_xll.ciqfunctions.udf.CIQ(mh_ticker, "IQ_PREF_EQUITY", , B1308), "")</f>
        <v/>
      </c>
      <c r="I1308" s="11">
        <f>IFERROR(_xll.ciqfunctions.udf.CIQ(mh_ticker, "IQ_MINORITY_INTEREST", , B1308), "")</f>
        <v/>
      </c>
      <c r="J1308" s="11">
        <f>IFERROR(_xll.ciqfunctions.udf.CIQ(mh_ticker, "IQ_EQUITY_METHOD", , B1308), "")</f>
        <v/>
      </c>
      <c r="K1308" s="11">
        <f>IFERROR(_xll.ciqfunctions.udf.CIQ(mh_ticker, "IQ_LT_Mark_Securities", , B1308), "")</f>
        <v/>
      </c>
      <c r="L1308" s="12">
        <f>IFERROR(C1308*D1308, "")</f>
        <v/>
      </c>
      <c r="M1308" s="12">
        <f>IFERROR(L1308-E1308-F1308+G1308+H1308+I1308-J1308-K1308, "")</f>
        <v/>
      </c>
      <c r="N1308" s="11">
        <f>IFERROR(_xll.ciqfunctions.udf.CIQ(mh_ticker, "IQ_EBITDA_EST", IQ_NTM, B1308, , , "USD"), "")</f>
        <v/>
      </c>
      <c r="O1308" s="13">
        <f>IFERROR(M1308/N1308, "")</f>
        <v/>
      </c>
    </row>
    <row r="1309">
      <c r="B1309" s="8" t="n"/>
      <c r="C1309" s="9">
        <f>IFERROR(_xll.ciqfunctions.udf.CIQ(mh_ticker, "IQ_LASTSALEPRICE", B1309), "")</f>
        <v/>
      </c>
      <c r="D1309" s="10">
        <f>IFERROR(_xll.ciqfunctions.udf.CIQ(mh_ticker, "IQ_SHARESOUTSTANDING_OUT", B1309), "")</f>
        <v/>
      </c>
      <c r="E1309" s="11">
        <f>IFERROR(_xll.ciqfunctions.udf.CIQ(mh_ticker, "IQ_CASH_EQUIV", , B1309), "")</f>
        <v/>
      </c>
      <c r="F1309" s="11">
        <f>IFERROR(_xll.ciqfunctions.udf.CIQ(mh_ticker, "IQ_ST_INVEST", , B1309), "")</f>
        <v/>
      </c>
      <c r="G1309" s="11">
        <f>IFERROR(_xll.ciqfunctions.udf.CIQ(mh_ticker, "IQ_TOTAL_DEBT_EXCL_OPER_LEASES", , B1309), "")</f>
        <v/>
      </c>
      <c r="H1309" s="11">
        <f>IFERROR(_xll.ciqfunctions.udf.CIQ(mh_ticker, "IQ_PREF_EQUITY", , B1309), "")</f>
        <v/>
      </c>
      <c r="I1309" s="11">
        <f>IFERROR(_xll.ciqfunctions.udf.CIQ(mh_ticker, "IQ_MINORITY_INTEREST", , B1309), "")</f>
        <v/>
      </c>
      <c r="J1309" s="11">
        <f>IFERROR(_xll.ciqfunctions.udf.CIQ(mh_ticker, "IQ_EQUITY_METHOD", , B1309), "")</f>
        <v/>
      </c>
      <c r="K1309" s="11">
        <f>IFERROR(_xll.ciqfunctions.udf.CIQ(mh_ticker, "IQ_LT_Mark_Securities", , B1309), "")</f>
        <v/>
      </c>
      <c r="L1309" s="12">
        <f>IFERROR(C1309*D1309, "")</f>
        <v/>
      </c>
      <c r="M1309" s="12">
        <f>IFERROR(L1309-E1309-F1309+G1309+H1309+I1309-J1309-K1309, "")</f>
        <v/>
      </c>
      <c r="N1309" s="11">
        <f>IFERROR(_xll.ciqfunctions.udf.CIQ(mh_ticker, "IQ_EBITDA_EST", IQ_NTM, B1309, , , "USD"), "")</f>
        <v/>
      </c>
      <c r="O1309" s="13">
        <f>IFERROR(M1309/N1309, "")</f>
        <v/>
      </c>
    </row>
    <row r="1310">
      <c r="B1310" s="8" t="n"/>
      <c r="C1310" s="9">
        <f>IFERROR(_xll.ciqfunctions.udf.CIQ(mh_ticker, "IQ_LASTSALEPRICE", B1310), "")</f>
        <v/>
      </c>
      <c r="D1310" s="10">
        <f>IFERROR(_xll.ciqfunctions.udf.CIQ(mh_ticker, "IQ_SHARESOUTSTANDING_OUT", B1310), "")</f>
        <v/>
      </c>
      <c r="E1310" s="11">
        <f>IFERROR(_xll.ciqfunctions.udf.CIQ(mh_ticker, "IQ_CASH_EQUIV", , B1310), "")</f>
        <v/>
      </c>
      <c r="F1310" s="11">
        <f>IFERROR(_xll.ciqfunctions.udf.CIQ(mh_ticker, "IQ_ST_INVEST", , B1310), "")</f>
        <v/>
      </c>
      <c r="G1310" s="11">
        <f>IFERROR(_xll.ciqfunctions.udf.CIQ(mh_ticker, "IQ_TOTAL_DEBT_EXCL_OPER_LEASES", , B1310), "")</f>
        <v/>
      </c>
      <c r="H1310" s="11">
        <f>IFERROR(_xll.ciqfunctions.udf.CIQ(mh_ticker, "IQ_PREF_EQUITY", , B1310), "")</f>
        <v/>
      </c>
      <c r="I1310" s="11">
        <f>IFERROR(_xll.ciqfunctions.udf.CIQ(mh_ticker, "IQ_MINORITY_INTEREST", , B1310), "")</f>
        <v/>
      </c>
      <c r="J1310" s="11">
        <f>IFERROR(_xll.ciqfunctions.udf.CIQ(mh_ticker, "IQ_EQUITY_METHOD", , B1310), "")</f>
        <v/>
      </c>
      <c r="K1310" s="11">
        <f>IFERROR(_xll.ciqfunctions.udf.CIQ(mh_ticker, "IQ_LT_Mark_Securities", , B1310), "")</f>
        <v/>
      </c>
      <c r="L1310" s="12">
        <f>IFERROR(C1310*D1310, "")</f>
        <v/>
      </c>
      <c r="M1310" s="12">
        <f>IFERROR(L1310-E1310-F1310+G1310+H1310+I1310-J1310-K1310, "")</f>
        <v/>
      </c>
      <c r="N1310" s="11">
        <f>IFERROR(_xll.ciqfunctions.udf.CIQ(mh_ticker, "IQ_EBITDA_EST", IQ_NTM, B1310, , , "USD"), "")</f>
        <v/>
      </c>
      <c r="O1310" s="13">
        <f>IFERROR(M1310/N1310, "")</f>
        <v/>
      </c>
    </row>
    <row r="1311">
      <c r="B1311" s="8" t="n"/>
      <c r="C1311" s="9">
        <f>IFERROR(_xll.ciqfunctions.udf.CIQ(mh_ticker, "IQ_LASTSALEPRICE", B1311), "")</f>
        <v/>
      </c>
      <c r="D1311" s="10">
        <f>IFERROR(_xll.ciqfunctions.udf.CIQ(mh_ticker, "IQ_SHARESOUTSTANDING_OUT", B1311), "")</f>
        <v/>
      </c>
      <c r="E1311" s="11">
        <f>IFERROR(_xll.ciqfunctions.udf.CIQ(mh_ticker, "IQ_CASH_EQUIV", , B1311), "")</f>
        <v/>
      </c>
      <c r="F1311" s="11">
        <f>IFERROR(_xll.ciqfunctions.udf.CIQ(mh_ticker, "IQ_ST_INVEST", , B1311), "")</f>
        <v/>
      </c>
      <c r="G1311" s="11">
        <f>IFERROR(_xll.ciqfunctions.udf.CIQ(mh_ticker, "IQ_TOTAL_DEBT_EXCL_OPER_LEASES", , B1311), "")</f>
        <v/>
      </c>
      <c r="H1311" s="11">
        <f>IFERROR(_xll.ciqfunctions.udf.CIQ(mh_ticker, "IQ_PREF_EQUITY", , B1311), "")</f>
        <v/>
      </c>
      <c r="I1311" s="11">
        <f>IFERROR(_xll.ciqfunctions.udf.CIQ(mh_ticker, "IQ_MINORITY_INTEREST", , B1311), "")</f>
        <v/>
      </c>
      <c r="J1311" s="11">
        <f>IFERROR(_xll.ciqfunctions.udf.CIQ(mh_ticker, "IQ_EQUITY_METHOD", , B1311), "")</f>
        <v/>
      </c>
      <c r="K1311" s="11">
        <f>IFERROR(_xll.ciqfunctions.udf.CIQ(mh_ticker, "IQ_LT_Mark_Securities", , B1311), "")</f>
        <v/>
      </c>
      <c r="L1311" s="12">
        <f>IFERROR(C1311*D1311, "")</f>
        <v/>
      </c>
      <c r="M1311" s="12">
        <f>IFERROR(L1311-E1311-F1311+G1311+H1311+I1311-J1311-K1311, "")</f>
        <v/>
      </c>
      <c r="N1311" s="11">
        <f>IFERROR(_xll.ciqfunctions.udf.CIQ(mh_ticker, "IQ_EBITDA_EST", IQ_NTM, B1311, , , "USD"), "")</f>
        <v/>
      </c>
      <c r="O1311" s="13">
        <f>IFERROR(M1311/N1311, "")</f>
        <v/>
      </c>
    </row>
    <row r="1312">
      <c r="B1312" s="8" t="n"/>
      <c r="C1312" s="9">
        <f>IFERROR(_xll.ciqfunctions.udf.CIQ(mh_ticker, "IQ_LASTSALEPRICE", B1312), "")</f>
        <v/>
      </c>
      <c r="D1312" s="10">
        <f>IFERROR(_xll.ciqfunctions.udf.CIQ(mh_ticker, "IQ_SHARESOUTSTANDING_OUT", B1312), "")</f>
        <v/>
      </c>
      <c r="E1312" s="11">
        <f>IFERROR(_xll.ciqfunctions.udf.CIQ(mh_ticker, "IQ_CASH_EQUIV", , B1312), "")</f>
        <v/>
      </c>
      <c r="F1312" s="11">
        <f>IFERROR(_xll.ciqfunctions.udf.CIQ(mh_ticker, "IQ_ST_INVEST", , B1312), "")</f>
        <v/>
      </c>
      <c r="G1312" s="11">
        <f>IFERROR(_xll.ciqfunctions.udf.CIQ(mh_ticker, "IQ_TOTAL_DEBT_EXCL_OPER_LEASES", , B1312), "")</f>
        <v/>
      </c>
      <c r="H1312" s="11">
        <f>IFERROR(_xll.ciqfunctions.udf.CIQ(mh_ticker, "IQ_PREF_EQUITY", , B1312), "")</f>
        <v/>
      </c>
      <c r="I1312" s="11">
        <f>IFERROR(_xll.ciqfunctions.udf.CIQ(mh_ticker, "IQ_MINORITY_INTEREST", , B1312), "")</f>
        <v/>
      </c>
      <c r="J1312" s="11">
        <f>IFERROR(_xll.ciqfunctions.udf.CIQ(mh_ticker, "IQ_EQUITY_METHOD", , B1312), "")</f>
        <v/>
      </c>
      <c r="K1312" s="11">
        <f>IFERROR(_xll.ciqfunctions.udf.CIQ(mh_ticker, "IQ_LT_Mark_Securities", , B1312), "")</f>
        <v/>
      </c>
      <c r="L1312" s="12">
        <f>IFERROR(C1312*D1312, "")</f>
        <v/>
      </c>
      <c r="M1312" s="12">
        <f>IFERROR(L1312-E1312-F1312+G1312+H1312+I1312-J1312-K1312, "")</f>
        <v/>
      </c>
      <c r="N1312" s="11">
        <f>IFERROR(_xll.ciqfunctions.udf.CIQ(mh_ticker, "IQ_EBITDA_EST", IQ_NTM, B1312, , , "USD"), "")</f>
        <v/>
      </c>
      <c r="O1312" s="13">
        <f>IFERROR(M1312/N1312, "")</f>
        <v/>
      </c>
    </row>
    <row r="1313">
      <c r="B1313" s="8" t="n"/>
      <c r="C1313" s="9">
        <f>IFERROR(_xll.ciqfunctions.udf.CIQ(mh_ticker, "IQ_LASTSALEPRICE", B1313), "")</f>
        <v/>
      </c>
      <c r="D1313" s="10">
        <f>IFERROR(_xll.ciqfunctions.udf.CIQ(mh_ticker, "IQ_SHARESOUTSTANDING_OUT", B1313), "")</f>
        <v/>
      </c>
      <c r="E1313" s="11">
        <f>IFERROR(_xll.ciqfunctions.udf.CIQ(mh_ticker, "IQ_CASH_EQUIV", , B1313), "")</f>
        <v/>
      </c>
      <c r="F1313" s="11">
        <f>IFERROR(_xll.ciqfunctions.udf.CIQ(mh_ticker, "IQ_ST_INVEST", , B1313), "")</f>
        <v/>
      </c>
      <c r="G1313" s="11">
        <f>IFERROR(_xll.ciqfunctions.udf.CIQ(mh_ticker, "IQ_TOTAL_DEBT_EXCL_OPER_LEASES", , B1313), "")</f>
        <v/>
      </c>
      <c r="H1313" s="11">
        <f>IFERROR(_xll.ciqfunctions.udf.CIQ(mh_ticker, "IQ_PREF_EQUITY", , B1313), "")</f>
        <v/>
      </c>
      <c r="I1313" s="11">
        <f>IFERROR(_xll.ciqfunctions.udf.CIQ(mh_ticker, "IQ_MINORITY_INTEREST", , B1313), "")</f>
        <v/>
      </c>
      <c r="J1313" s="11">
        <f>IFERROR(_xll.ciqfunctions.udf.CIQ(mh_ticker, "IQ_EQUITY_METHOD", , B1313), "")</f>
        <v/>
      </c>
      <c r="K1313" s="11">
        <f>IFERROR(_xll.ciqfunctions.udf.CIQ(mh_ticker, "IQ_LT_Mark_Securities", , B1313), "")</f>
        <v/>
      </c>
      <c r="L1313" s="12">
        <f>IFERROR(C1313*D1313, "")</f>
        <v/>
      </c>
      <c r="M1313" s="12">
        <f>IFERROR(L1313-E1313-F1313+G1313+H1313+I1313-J1313-K1313, "")</f>
        <v/>
      </c>
      <c r="N1313" s="11">
        <f>IFERROR(_xll.ciqfunctions.udf.CIQ(mh_ticker, "IQ_EBITDA_EST", IQ_NTM, B1313, , , "USD"), "")</f>
        <v/>
      </c>
      <c r="O1313" s="13">
        <f>IFERROR(M1313/N1313, "")</f>
        <v/>
      </c>
    </row>
    <row r="1314">
      <c r="B1314" s="8" t="n"/>
      <c r="C1314" s="9">
        <f>IFERROR(_xll.ciqfunctions.udf.CIQ(mh_ticker, "IQ_LASTSALEPRICE", B1314), "")</f>
        <v/>
      </c>
      <c r="D1314" s="10">
        <f>IFERROR(_xll.ciqfunctions.udf.CIQ(mh_ticker, "IQ_SHARESOUTSTANDING_OUT", B1314), "")</f>
        <v/>
      </c>
      <c r="E1314" s="11">
        <f>IFERROR(_xll.ciqfunctions.udf.CIQ(mh_ticker, "IQ_CASH_EQUIV", , B1314), "")</f>
        <v/>
      </c>
      <c r="F1314" s="11">
        <f>IFERROR(_xll.ciqfunctions.udf.CIQ(mh_ticker, "IQ_ST_INVEST", , B1314), "")</f>
        <v/>
      </c>
      <c r="G1314" s="11">
        <f>IFERROR(_xll.ciqfunctions.udf.CIQ(mh_ticker, "IQ_TOTAL_DEBT_EXCL_OPER_LEASES", , B1314), "")</f>
        <v/>
      </c>
      <c r="H1314" s="11">
        <f>IFERROR(_xll.ciqfunctions.udf.CIQ(mh_ticker, "IQ_PREF_EQUITY", , B1314), "")</f>
        <v/>
      </c>
      <c r="I1314" s="11">
        <f>IFERROR(_xll.ciqfunctions.udf.CIQ(mh_ticker, "IQ_MINORITY_INTEREST", , B1314), "")</f>
        <v/>
      </c>
      <c r="J1314" s="11">
        <f>IFERROR(_xll.ciqfunctions.udf.CIQ(mh_ticker, "IQ_EQUITY_METHOD", , B1314), "")</f>
        <v/>
      </c>
      <c r="K1314" s="11">
        <f>IFERROR(_xll.ciqfunctions.udf.CIQ(mh_ticker, "IQ_LT_Mark_Securities", , B1314), "")</f>
        <v/>
      </c>
      <c r="L1314" s="12">
        <f>IFERROR(C1314*D1314, "")</f>
        <v/>
      </c>
      <c r="M1314" s="12">
        <f>IFERROR(L1314-E1314-F1314+G1314+H1314+I1314-J1314-K1314, "")</f>
        <v/>
      </c>
      <c r="N1314" s="11">
        <f>IFERROR(_xll.ciqfunctions.udf.CIQ(mh_ticker, "IQ_EBITDA_EST", IQ_NTM, B1314, , , "USD"), "")</f>
        <v/>
      </c>
      <c r="O1314" s="13">
        <f>IFERROR(M1314/N1314, "")</f>
        <v/>
      </c>
    </row>
    <row r="1315">
      <c r="B1315" s="8" t="n"/>
      <c r="C1315" s="9">
        <f>IFERROR(_xll.ciqfunctions.udf.CIQ(mh_ticker, "IQ_LASTSALEPRICE", B1315), "")</f>
        <v/>
      </c>
      <c r="D1315" s="10">
        <f>IFERROR(_xll.ciqfunctions.udf.CIQ(mh_ticker, "IQ_SHARESOUTSTANDING_OUT", B1315), "")</f>
        <v/>
      </c>
      <c r="E1315" s="11">
        <f>IFERROR(_xll.ciqfunctions.udf.CIQ(mh_ticker, "IQ_CASH_EQUIV", , B1315), "")</f>
        <v/>
      </c>
      <c r="F1315" s="11">
        <f>IFERROR(_xll.ciqfunctions.udf.CIQ(mh_ticker, "IQ_ST_INVEST", , B1315), "")</f>
        <v/>
      </c>
      <c r="G1315" s="11">
        <f>IFERROR(_xll.ciqfunctions.udf.CIQ(mh_ticker, "IQ_TOTAL_DEBT_EXCL_OPER_LEASES", , B1315), "")</f>
        <v/>
      </c>
      <c r="H1315" s="11">
        <f>IFERROR(_xll.ciqfunctions.udf.CIQ(mh_ticker, "IQ_PREF_EQUITY", , B1315), "")</f>
        <v/>
      </c>
      <c r="I1315" s="11">
        <f>IFERROR(_xll.ciqfunctions.udf.CIQ(mh_ticker, "IQ_MINORITY_INTEREST", , B1315), "")</f>
        <v/>
      </c>
      <c r="J1315" s="11">
        <f>IFERROR(_xll.ciqfunctions.udf.CIQ(mh_ticker, "IQ_EQUITY_METHOD", , B1315), "")</f>
        <v/>
      </c>
      <c r="K1315" s="11">
        <f>IFERROR(_xll.ciqfunctions.udf.CIQ(mh_ticker, "IQ_LT_Mark_Securities", , B1315), "")</f>
        <v/>
      </c>
      <c r="L1315" s="12">
        <f>IFERROR(C1315*D1315, "")</f>
        <v/>
      </c>
      <c r="M1315" s="12">
        <f>IFERROR(L1315-E1315-F1315+G1315+H1315+I1315-J1315-K1315, "")</f>
        <v/>
      </c>
      <c r="N1315" s="11">
        <f>IFERROR(_xll.ciqfunctions.udf.CIQ(mh_ticker, "IQ_EBITDA_EST", IQ_NTM, B1315, , , "USD"), "")</f>
        <v/>
      </c>
      <c r="O1315" s="13">
        <f>IFERROR(M1315/N1315, "")</f>
        <v/>
      </c>
    </row>
    <row r="1316">
      <c r="B1316" s="8" t="n"/>
      <c r="C1316" s="9">
        <f>IFERROR(_xll.ciqfunctions.udf.CIQ(mh_ticker, "IQ_LASTSALEPRICE", B1316), "")</f>
        <v/>
      </c>
      <c r="D1316" s="10">
        <f>IFERROR(_xll.ciqfunctions.udf.CIQ(mh_ticker, "IQ_SHARESOUTSTANDING_OUT", B1316), "")</f>
        <v/>
      </c>
      <c r="E1316" s="11">
        <f>IFERROR(_xll.ciqfunctions.udf.CIQ(mh_ticker, "IQ_CASH_EQUIV", , B1316), "")</f>
        <v/>
      </c>
      <c r="F1316" s="11">
        <f>IFERROR(_xll.ciqfunctions.udf.CIQ(mh_ticker, "IQ_ST_INVEST", , B1316), "")</f>
        <v/>
      </c>
      <c r="G1316" s="11">
        <f>IFERROR(_xll.ciqfunctions.udf.CIQ(mh_ticker, "IQ_TOTAL_DEBT_EXCL_OPER_LEASES", , B1316), "")</f>
        <v/>
      </c>
      <c r="H1316" s="11">
        <f>IFERROR(_xll.ciqfunctions.udf.CIQ(mh_ticker, "IQ_PREF_EQUITY", , B1316), "")</f>
        <v/>
      </c>
      <c r="I1316" s="11">
        <f>IFERROR(_xll.ciqfunctions.udf.CIQ(mh_ticker, "IQ_MINORITY_INTEREST", , B1316), "")</f>
        <v/>
      </c>
      <c r="J1316" s="11">
        <f>IFERROR(_xll.ciqfunctions.udf.CIQ(mh_ticker, "IQ_EQUITY_METHOD", , B1316), "")</f>
        <v/>
      </c>
      <c r="K1316" s="11">
        <f>IFERROR(_xll.ciqfunctions.udf.CIQ(mh_ticker, "IQ_LT_Mark_Securities", , B1316), "")</f>
        <v/>
      </c>
      <c r="L1316" s="12">
        <f>IFERROR(C1316*D1316, "")</f>
        <v/>
      </c>
      <c r="M1316" s="12">
        <f>IFERROR(L1316-E1316-F1316+G1316+H1316+I1316-J1316-K1316, "")</f>
        <v/>
      </c>
      <c r="N1316" s="11">
        <f>IFERROR(_xll.ciqfunctions.udf.CIQ(mh_ticker, "IQ_EBITDA_EST", IQ_NTM, B1316, , , "USD"), "")</f>
        <v/>
      </c>
      <c r="O1316" s="13">
        <f>IFERROR(M1316/N1316, "")</f>
        <v/>
      </c>
    </row>
    <row r="1317">
      <c r="B1317" s="8" t="n"/>
      <c r="C1317" s="9">
        <f>IFERROR(_xll.ciqfunctions.udf.CIQ(mh_ticker, "IQ_LASTSALEPRICE", B1317), "")</f>
        <v/>
      </c>
      <c r="D1317" s="10">
        <f>IFERROR(_xll.ciqfunctions.udf.CIQ(mh_ticker, "IQ_SHARESOUTSTANDING_OUT", B1317), "")</f>
        <v/>
      </c>
      <c r="E1317" s="11">
        <f>IFERROR(_xll.ciqfunctions.udf.CIQ(mh_ticker, "IQ_CASH_EQUIV", , B1317), "")</f>
        <v/>
      </c>
      <c r="F1317" s="11">
        <f>IFERROR(_xll.ciqfunctions.udf.CIQ(mh_ticker, "IQ_ST_INVEST", , B1317), "")</f>
        <v/>
      </c>
      <c r="G1317" s="11">
        <f>IFERROR(_xll.ciqfunctions.udf.CIQ(mh_ticker, "IQ_TOTAL_DEBT_EXCL_OPER_LEASES", , B1317), "")</f>
        <v/>
      </c>
      <c r="H1317" s="11">
        <f>IFERROR(_xll.ciqfunctions.udf.CIQ(mh_ticker, "IQ_PREF_EQUITY", , B1317), "")</f>
        <v/>
      </c>
      <c r="I1317" s="11">
        <f>IFERROR(_xll.ciqfunctions.udf.CIQ(mh_ticker, "IQ_MINORITY_INTEREST", , B1317), "")</f>
        <v/>
      </c>
      <c r="J1317" s="11">
        <f>IFERROR(_xll.ciqfunctions.udf.CIQ(mh_ticker, "IQ_EQUITY_METHOD", , B1317), "")</f>
        <v/>
      </c>
      <c r="K1317" s="11">
        <f>IFERROR(_xll.ciqfunctions.udf.CIQ(mh_ticker, "IQ_LT_Mark_Securities", , B1317), "")</f>
        <v/>
      </c>
      <c r="L1317" s="12">
        <f>IFERROR(C1317*D1317, "")</f>
        <v/>
      </c>
      <c r="M1317" s="12">
        <f>IFERROR(L1317-E1317-F1317+G1317+H1317+I1317-J1317-K1317, "")</f>
        <v/>
      </c>
      <c r="N1317" s="11">
        <f>IFERROR(_xll.ciqfunctions.udf.CIQ(mh_ticker, "IQ_EBITDA_EST", IQ_NTM, B1317, , , "USD"), "")</f>
        <v/>
      </c>
      <c r="O1317" s="13">
        <f>IFERROR(M1317/N1317, "")</f>
        <v/>
      </c>
    </row>
    <row r="1318">
      <c r="B1318" s="8" t="n"/>
      <c r="C1318" s="9">
        <f>IFERROR(_xll.ciqfunctions.udf.CIQ(mh_ticker, "IQ_LASTSALEPRICE", B1318), "")</f>
        <v/>
      </c>
      <c r="D1318" s="10">
        <f>IFERROR(_xll.ciqfunctions.udf.CIQ(mh_ticker, "IQ_SHARESOUTSTANDING_OUT", B1318), "")</f>
        <v/>
      </c>
      <c r="E1318" s="11">
        <f>IFERROR(_xll.ciqfunctions.udf.CIQ(mh_ticker, "IQ_CASH_EQUIV", , B1318), "")</f>
        <v/>
      </c>
      <c r="F1318" s="11">
        <f>IFERROR(_xll.ciqfunctions.udf.CIQ(mh_ticker, "IQ_ST_INVEST", , B1318), "")</f>
        <v/>
      </c>
      <c r="G1318" s="11">
        <f>IFERROR(_xll.ciqfunctions.udf.CIQ(mh_ticker, "IQ_TOTAL_DEBT_EXCL_OPER_LEASES", , B1318), "")</f>
        <v/>
      </c>
      <c r="H1318" s="11">
        <f>IFERROR(_xll.ciqfunctions.udf.CIQ(mh_ticker, "IQ_PREF_EQUITY", , B1318), "")</f>
        <v/>
      </c>
      <c r="I1318" s="11">
        <f>IFERROR(_xll.ciqfunctions.udf.CIQ(mh_ticker, "IQ_MINORITY_INTEREST", , B1318), "")</f>
        <v/>
      </c>
      <c r="J1318" s="11">
        <f>IFERROR(_xll.ciqfunctions.udf.CIQ(mh_ticker, "IQ_EQUITY_METHOD", , B1318), "")</f>
        <v/>
      </c>
      <c r="K1318" s="11">
        <f>IFERROR(_xll.ciqfunctions.udf.CIQ(mh_ticker, "IQ_LT_Mark_Securities", , B1318), "")</f>
        <v/>
      </c>
      <c r="L1318" s="12">
        <f>IFERROR(C1318*D1318, "")</f>
        <v/>
      </c>
      <c r="M1318" s="12">
        <f>IFERROR(L1318-E1318-F1318+G1318+H1318+I1318-J1318-K1318, "")</f>
        <v/>
      </c>
      <c r="N1318" s="11">
        <f>IFERROR(_xll.ciqfunctions.udf.CIQ(mh_ticker, "IQ_EBITDA_EST", IQ_NTM, B1318, , , "USD"), "")</f>
        <v/>
      </c>
      <c r="O1318" s="13">
        <f>IFERROR(M1318/N1318, "")</f>
        <v/>
      </c>
    </row>
    <row r="1319">
      <c r="B1319" s="8" t="n"/>
      <c r="C1319" s="9">
        <f>IFERROR(_xll.ciqfunctions.udf.CIQ(mh_ticker, "IQ_LASTSALEPRICE", B1319), "")</f>
        <v/>
      </c>
      <c r="D1319" s="10">
        <f>IFERROR(_xll.ciqfunctions.udf.CIQ(mh_ticker, "IQ_SHARESOUTSTANDING_OUT", B1319), "")</f>
        <v/>
      </c>
      <c r="E1319" s="11">
        <f>IFERROR(_xll.ciqfunctions.udf.CIQ(mh_ticker, "IQ_CASH_EQUIV", , B1319), "")</f>
        <v/>
      </c>
      <c r="F1319" s="11">
        <f>IFERROR(_xll.ciqfunctions.udf.CIQ(mh_ticker, "IQ_ST_INVEST", , B1319), "")</f>
        <v/>
      </c>
      <c r="G1319" s="11">
        <f>IFERROR(_xll.ciqfunctions.udf.CIQ(mh_ticker, "IQ_TOTAL_DEBT_EXCL_OPER_LEASES", , B1319), "")</f>
        <v/>
      </c>
      <c r="H1319" s="11">
        <f>IFERROR(_xll.ciqfunctions.udf.CIQ(mh_ticker, "IQ_PREF_EQUITY", , B1319), "")</f>
        <v/>
      </c>
      <c r="I1319" s="11">
        <f>IFERROR(_xll.ciqfunctions.udf.CIQ(mh_ticker, "IQ_MINORITY_INTEREST", , B1319), "")</f>
        <v/>
      </c>
      <c r="J1319" s="11">
        <f>IFERROR(_xll.ciqfunctions.udf.CIQ(mh_ticker, "IQ_EQUITY_METHOD", , B1319), "")</f>
        <v/>
      </c>
      <c r="K1319" s="11">
        <f>IFERROR(_xll.ciqfunctions.udf.CIQ(mh_ticker, "IQ_LT_Mark_Securities", , B1319), "")</f>
        <v/>
      </c>
      <c r="L1319" s="12">
        <f>IFERROR(C1319*D1319, "")</f>
        <v/>
      </c>
      <c r="M1319" s="12">
        <f>IFERROR(L1319-E1319-F1319+G1319+H1319+I1319-J1319-K1319, "")</f>
        <v/>
      </c>
      <c r="N1319" s="11">
        <f>IFERROR(_xll.ciqfunctions.udf.CIQ(mh_ticker, "IQ_EBITDA_EST", IQ_NTM, B1319, , , "USD"), "")</f>
        <v/>
      </c>
      <c r="O1319" s="13">
        <f>IFERROR(M1319/N1319, "")</f>
        <v/>
      </c>
    </row>
    <row r="1320">
      <c r="B1320" s="8" t="n"/>
      <c r="C1320" s="9">
        <f>IFERROR(_xll.ciqfunctions.udf.CIQ(mh_ticker, "IQ_LASTSALEPRICE", B1320), "")</f>
        <v/>
      </c>
      <c r="D1320" s="10">
        <f>IFERROR(_xll.ciqfunctions.udf.CIQ(mh_ticker, "IQ_SHARESOUTSTANDING_OUT", B1320), "")</f>
        <v/>
      </c>
      <c r="E1320" s="11">
        <f>IFERROR(_xll.ciqfunctions.udf.CIQ(mh_ticker, "IQ_CASH_EQUIV", , B1320), "")</f>
        <v/>
      </c>
      <c r="F1320" s="11">
        <f>IFERROR(_xll.ciqfunctions.udf.CIQ(mh_ticker, "IQ_ST_INVEST", , B1320), "")</f>
        <v/>
      </c>
      <c r="G1320" s="11">
        <f>IFERROR(_xll.ciqfunctions.udf.CIQ(mh_ticker, "IQ_TOTAL_DEBT_EXCL_OPER_LEASES", , B1320), "")</f>
        <v/>
      </c>
      <c r="H1320" s="11">
        <f>IFERROR(_xll.ciqfunctions.udf.CIQ(mh_ticker, "IQ_PREF_EQUITY", , B1320), "")</f>
        <v/>
      </c>
      <c r="I1320" s="11">
        <f>IFERROR(_xll.ciqfunctions.udf.CIQ(mh_ticker, "IQ_MINORITY_INTEREST", , B1320), "")</f>
        <v/>
      </c>
      <c r="J1320" s="11">
        <f>IFERROR(_xll.ciqfunctions.udf.CIQ(mh_ticker, "IQ_EQUITY_METHOD", , B1320), "")</f>
        <v/>
      </c>
      <c r="K1320" s="11">
        <f>IFERROR(_xll.ciqfunctions.udf.CIQ(mh_ticker, "IQ_LT_Mark_Securities", , B1320), "")</f>
        <v/>
      </c>
      <c r="L1320" s="12">
        <f>IFERROR(C1320*D1320, "")</f>
        <v/>
      </c>
      <c r="M1320" s="12">
        <f>IFERROR(L1320-E1320-F1320+G1320+H1320+I1320-J1320-K1320, "")</f>
        <v/>
      </c>
      <c r="N1320" s="11">
        <f>IFERROR(_xll.ciqfunctions.udf.CIQ(mh_ticker, "IQ_EBITDA_EST", IQ_NTM, B1320, , , "USD"), "")</f>
        <v/>
      </c>
      <c r="O1320" s="13">
        <f>IFERROR(M1320/N1320, "")</f>
        <v/>
      </c>
    </row>
    <row r="1321">
      <c r="B1321" s="8" t="n"/>
      <c r="C1321" s="9">
        <f>IFERROR(_xll.ciqfunctions.udf.CIQ(mh_ticker, "IQ_LASTSALEPRICE", B1321), "")</f>
        <v/>
      </c>
      <c r="D1321" s="10">
        <f>IFERROR(_xll.ciqfunctions.udf.CIQ(mh_ticker, "IQ_SHARESOUTSTANDING_OUT", B1321), "")</f>
        <v/>
      </c>
      <c r="E1321" s="11">
        <f>IFERROR(_xll.ciqfunctions.udf.CIQ(mh_ticker, "IQ_CASH_EQUIV", , B1321), "")</f>
        <v/>
      </c>
      <c r="F1321" s="11">
        <f>IFERROR(_xll.ciqfunctions.udf.CIQ(mh_ticker, "IQ_ST_INVEST", , B1321), "")</f>
        <v/>
      </c>
      <c r="G1321" s="11">
        <f>IFERROR(_xll.ciqfunctions.udf.CIQ(mh_ticker, "IQ_TOTAL_DEBT_EXCL_OPER_LEASES", , B1321), "")</f>
        <v/>
      </c>
      <c r="H1321" s="11">
        <f>IFERROR(_xll.ciqfunctions.udf.CIQ(mh_ticker, "IQ_PREF_EQUITY", , B1321), "")</f>
        <v/>
      </c>
      <c r="I1321" s="11">
        <f>IFERROR(_xll.ciqfunctions.udf.CIQ(mh_ticker, "IQ_MINORITY_INTEREST", , B1321), "")</f>
        <v/>
      </c>
      <c r="J1321" s="11">
        <f>IFERROR(_xll.ciqfunctions.udf.CIQ(mh_ticker, "IQ_EQUITY_METHOD", , B1321), "")</f>
        <v/>
      </c>
      <c r="K1321" s="11">
        <f>IFERROR(_xll.ciqfunctions.udf.CIQ(mh_ticker, "IQ_LT_Mark_Securities", , B1321), "")</f>
        <v/>
      </c>
      <c r="L1321" s="12">
        <f>IFERROR(C1321*D1321, "")</f>
        <v/>
      </c>
      <c r="M1321" s="12">
        <f>IFERROR(L1321-E1321-F1321+G1321+H1321+I1321-J1321-K1321, "")</f>
        <v/>
      </c>
      <c r="N1321" s="11">
        <f>IFERROR(_xll.ciqfunctions.udf.CIQ(mh_ticker, "IQ_EBITDA_EST", IQ_NTM, B1321, , , "USD"), "")</f>
        <v/>
      </c>
      <c r="O1321" s="13">
        <f>IFERROR(M1321/N1321, "")</f>
        <v/>
      </c>
    </row>
    <row r="1322">
      <c r="B1322" s="8" t="n"/>
      <c r="C1322" s="9">
        <f>IFERROR(_xll.ciqfunctions.udf.CIQ(mh_ticker, "IQ_LASTSALEPRICE", B1322), "")</f>
        <v/>
      </c>
      <c r="D1322" s="10">
        <f>IFERROR(_xll.ciqfunctions.udf.CIQ(mh_ticker, "IQ_SHARESOUTSTANDING_OUT", B1322), "")</f>
        <v/>
      </c>
      <c r="E1322" s="11">
        <f>IFERROR(_xll.ciqfunctions.udf.CIQ(mh_ticker, "IQ_CASH_EQUIV", , B1322), "")</f>
        <v/>
      </c>
      <c r="F1322" s="11">
        <f>IFERROR(_xll.ciqfunctions.udf.CIQ(mh_ticker, "IQ_ST_INVEST", , B1322), "")</f>
        <v/>
      </c>
      <c r="G1322" s="11">
        <f>IFERROR(_xll.ciqfunctions.udf.CIQ(mh_ticker, "IQ_TOTAL_DEBT_EXCL_OPER_LEASES", , B1322), "")</f>
        <v/>
      </c>
      <c r="H1322" s="11">
        <f>IFERROR(_xll.ciqfunctions.udf.CIQ(mh_ticker, "IQ_PREF_EQUITY", , B1322), "")</f>
        <v/>
      </c>
      <c r="I1322" s="11">
        <f>IFERROR(_xll.ciqfunctions.udf.CIQ(mh_ticker, "IQ_MINORITY_INTEREST", , B1322), "")</f>
        <v/>
      </c>
      <c r="J1322" s="11">
        <f>IFERROR(_xll.ciqfunctions.udf.CIQ(mh_ticker, "IQ_EQUITY_METHOD", , B1322), "")</f>
        <v/>
      </c>
      <c r="K1322" s="11">
        <f>IFERROR(_xll.ciqfunctions.udf.CIQ(mh_ticker, "IQ_LT_Mark_Securities", , B1322), "")</f>
        <v/>
      </c>
      <c r="L1322" s="12">
        <f>IFERROR(C1322*D1322, "")</f>
        <v/>
      </c>
      <c r="M1322" s="12">
        <f>IFERROR(L1322-E1322-F1322+G1322+H1322+I1322-J1322-K1322, "")</f>
        <v/>
      </c>
      <c r="N1322" s="11">
        <f>IFERROR(_xll.ciqfunctions.udf.CIQ(mh_ticker, "IQ_EBITDA_EST", IQ_NTM, B1322, , , "USD"), "")</f>
        <v/>
      </c>
      <c r="O1322" s="13">
        <f>IFERROR(M1322/N1322, "")</f>
        <v/>
      </c>
    </row>
    <row r="1323">
      <c r="B1323" s="8" t="n"/>
      <c r="C1323" s="9">
        <f>IFERROR(_xll.ciqfunctions.udf.CIQ(mh_ticker, "IQ_LASTSALEPRICE", B1323), "")</f>
        <v/>
      </c>
      <c r="D1323" s="10">
        <f>IFERROR(_xll.ciqfunctions.udf.CIQ(mh_ticker, "IQ_SHARESOUTSTANDING_OUT", B1323), "")</f>
        <v/>
      </c>
      <c r="E1323" s="11">
        <f>IFERROR(_xll.ciqfunctions.udf.CIQ(mh_ticker, "IQ_CASH_EQUIV", , B1323), "")</f>
        <v/>
      </c>
      <c r="F1323" s="11">
        <f>IFERROR(_xll.ciqfunctions.udf.CIQ(mh_ticker, "IQ_ST_INVEST", , B1323), "")</f>
        <v/>
      </c>
      <c r="G1323" s="11">
        <f>IFERROR(_xll.ciqfunctions.udf.CIQ(mh_ticker, "IQ_TOTAL_DEBT_EXCL_OPER_LEASES", , B1323), "")</f>
        <v/>
      </c>
      <c r="H1323" s="11">
        <f>IFERROR(_xll.ciqfunctions.udf.CIQ(mh_ticker, "IQ_PREF_EQUITY", , B1323), "")</f>
        <v/>
      </c>
      <c r="I1323" s="11">
        <f>IFERROR(_xll.ciqfunctions.udf.CIQ(mh_ticker, "IQ_MINORITY_INTEREST", , B1323), "")</f>
        <v/>
      </c>
      <c r="J1323" s="11">
        <f>IFERROR(_xll.ciqfunctions.udf.CIQ(mh_ticker, "IQ_EQUITY_METHOD", , B1323), "")</f>
        <v/>
      </c>
      <c r="K1323" s="11">
        <f>IFERROR(_xll.ciqfunctions.udf.CIQ(mh_ticker, "IQ_LT_Mark_Securities", , B1323), "")</f>
        <v/>
      </c>
      <c r="L1323" s="12">
        <f>IFERROR(C1323*D1323, "")</f>
        <v/>
      </c>
      <c r="M1323" s="12">
        <f>IFERROR(L1323-E1323-F1323+G1323+H1323+I1323-J1323-K1323, "")</f>
        <v/>
      </c>
      <c r="N1323" s="11">
        <f>IFERROR(_xll.ciqfunctions.udf.CIQ(mh_ticker, "IQ_EBITDA_EST", IQ_NTM, B1323, , , "USD"), "")</f>
        <v/>
      </c>
      <c r="O1323" s="13">
        <f>IFERROR(M1323/N1323, "")</f>
        <v/>
      </c>
    </row>
    <row r="1324">
      <c r="B1324" s="8" t="n"/>
      <c r="C1324" s="9">
        <f>IFERROR(_xll.ciqfunctions.udf.CIQ(mh_ticker, "IQ_LASTSALEPRICE", B1324), "")</f>
        <v/>
      </c>
      <c r="D1324" s="10">
        <f>IFERROR(_xll.ciqfunctions.udf.CIQ(mh_ticker, "IQ_SHARESOUTSTANDING_OUT", B1324), "")</f>
        <v/>
      </c>
      <c r="E1324" s="11">
        <f>IFERROR(_xll.ciqfunctions.udf.CIQ(mh_ticker, "IQ_CASH_EQUIV", , B1324), "")</f>
        <v/>
      </c>
      <c r="F1324" s="11">
        <f>IFERROR(_xll.ciqfunctions.udf.CIQ(mh_ticker, "IQ_ST_INVEST", , B1324), "")</f>
        <v/>
      </c>
      <c r="G1324" s="11">
        <f>IFERROR(_xll.ciqfunctions.udf.CIQ(mh_ticker, "IQ_TOTAL_DEBT_EXCL_OPER_LEASES", , B1324), "")</f>
        <v/>
      </c>
      <c r="H1324" s="11">
        <f>IFERROR(_xll.ciqfunctions.udf.CIQ(mh_ticker, "IQ_PREF_EQUITY", , B1324), "")</f>
        <v/>
      </c>
      <c r="I1324" s="11">
        <f>IFERROR(_xll.ciqfunctions.udf.CIQ(mh_ticker, "IQ_MINORITY_INTEREST", , B1324), "")</f>
        <v/>
      </c>
      <c r="J1324" s="11">
        <f>IFERROR(_xll.ciqfunctions.udf.CIQ(mh_ticker, "IQ_EQUITY_METHOD", , B1324), "")</f>
        <v/>
      </c>
      <c r="K1324" s="11">
        <f>IFERROR(_xll.ciqfunctions.udf.CIQ(mh_ticker, "IQ_LT_Mark_Securities", , B1324), "")</f>
        <v/>
      </c>
      <c r="L1324" s="12">
        <f>IFERROR(C1324*D1324, "")</f>
        <v/>
      </c>
      <c r="M1324" s="12">
        <f>IFERROR(L1324-E1324-F1324+G1324+H1324+I1324-J1324-K1324, "")</f>
        <v/>
      </c>
      <c r="N1324" s="11">
        <f>IFERROR(_xll.ciqfunctions.udf.CIQ(mh_ticker, "IQ_EBITDA_EST", IQ_NTM, B1324, , , "USD"), "")</f>
        <v/>
      </c>
      <c r="O1324" s="13">
        <f>IFERROR(M1324/N1324, "")</f>
        <v/>
      </c>
    </row>
    <row r="1325">
      <c r="B1325" s="8" t="n"/>
      <c r="C1325" s="9">
        <f>IFERROR(_xll.ciqfunctions.udf.CIQ(mh_ticker, "IQ_LASTSALEPRICE", B1325), "")</f>
        <v/>
      </c>
      <c r="D1325" s="10">
        <f>IFERROR(_xll.ciqfunctions.udf.CIQ(mh_ticker, "IQ_SHARESOUTSTANDING_OUT", B1325), "")</f>
        <v/>
      </c>
      <c r="E1325" s="11">
        <f>IFERROR(_xll.ciqfunctions.udf.CIQ(mh_ticker, "IQ_CASH_EQUIV", , B1325), "")</f>
        <v/>
      </c>
      <c r="F1325" s="11">
        <f>IFERROR(_xll.ciqfunctions.udf.CIQ(mh_ticker, "IQ_ST_INVEST", , B1325), "")</f>
        <v/>
      </c>
      <c r="G1325" s="11">
        <f>IFERROR(_xll.ciqfunctions.udf.CIQ(mh_ticker, "IQ_TOTAL_DEBT_EXCL_OPER_LEASES", , B1325), "")</f>
        <v/>
      </c>
      <c r="H1325" s="11">
        <f>IFERROR(_xll.ciqfunctions.udf.CIQ(mh_ticker, "IQ_PREF_EQUITY", , B1325), "")</f>
        <v/>
      </c>
      <c r="I1325" s="11">
        <f>IFERROR(_xll.ciqfunctions.udf.CIQ(mh_ticker, "IQ_MINORITY_INTEREST", , B1325), "")</f>
        <v/>
      </c>
      <c r="J1325" s="11">
        <f>IFERROR(_xll.ciqfunctions.udf.CIQ(mh_ticker, "IQ_EQUITY_METHOD", , B1325), "")</f>
        <v/>
      </c>
      <c r="K1325" s="11">
        <f>IFERROR(_xll.ciqfunctions.udf.CIQ(mh_ticker, "IQ_LT_Mark_Securities", , B1325), "")</f>
        <v/>
      </c>
      <c r="L1325" s="12">
        <f>IFERROR(C1325*D1325, "")</f>
        <v/>
      </c>
      <c r="M1325" s="12">
        <f>IFERROR(L1325-E1325-F1325+G1325+H1325+I1325-J1325-K1325, "")</f>
        <v/>
      </c>
      <c r="N1325" s="11">
        <f>IFERROR(_xll.ciqfunctions.udf.CIQ(mh_ticker, "IQ_EBITDA_EST", IQ_NTM, B1325, , , "USD"), "")</f>
        <v/>
      </c>
      <c r="O1325" s="13">
        <f>IFERROR(M1325/N1325, "")</f>
        <v/>
      </c>
    </row>
    <row r="1326">
      <c r="B1326" s="8" t="n"/>
      <c r="C1326" s="9">
        <f>IFERROR(_xll.ciqfunctions.udf.CIQ(mh_ticker, "IQ_LASTSALEPRICE", B1326), "")</f>
        <v/>
      </c>
      <c r="D1326" s="10">
        <f>IFERROR(_xll.ciqfunctions.udf.CIQ(mh_ticker, "IQ_SHARESOUTSTANDING_OUT", B1326), "")</f>
        <v/>
      </c>
      <c r="E1326" s="11">
        <f>IFERROR(_xll.ciqfunctions.udf.CIQ(mh_ticker, "IQ_CASH_EQUIV", , B1326), "")</f>
        <v/>
      </c>
      <c r="F1326" s="11">
        <f>IFERROR(_xll.ciqfunctions.udf.CIQ(mh_ticker, "IQ_ST_INVEST", , B1326), "")</f>
        <v/>
      </c>
      <c r="G1326" s="11">
        <f>IFERROR(_xll.ciqfunctions.udf.CIQ(mh_ticker, "IQ_TOTAL_DEBT_EXCL_OPER_LEASES", , B1326), "")</f>
        <v/>
      </c>
      <c r="H1326" s="11">
        <f>IFERROR(_xll.ciqfunctions.udf.CIQ(mh_ticker, "IQ_PREF_EQUITY", , B1326), "")</f>
        <v/>
      </c>
      <c r="I1326" s="11">
        <f>IFERROR(_xll.ciqfunctions.udf.CIQ(mh_ticker, "IQ_MINORITY_INTEREST", , B1326), "")</f>
        <v/>
      </c>
      <c r="J1326" s="11">
        <f>IFERROR(_xll.ciqfunctions.udf.CIQ(mh_ticker, "IQ_EQUITY_METHOD", , B1326), "")</f>
        <v/>
      </c>
      <c r="K1326" s="11">
        <f>IFERROR(_xll.ciqfunctions.udf.CIQ(mh_ticker, "IQ_LT_Mark_Securities", , B1326), "")</f>
        <v/>
      </c>
      <c r="L1326" s="12">
        <f>IFERROR(C1326*D1326, "")</f>
        <v/>
      </c>
      <c r="M1326" s="12">
        <f>IFERROR(L1326-E1326-F1326+G1326+H1326+I1326-J1326-K1326, "")</f>
        <v/>
      </c>
      <c r="N1326" s="11">
        <f>IFERROR(_xll.ciqfunctions.udf.CIQ(mh_ticker, "IQ_EBITDA_EST", IQ_NTM, B1326, , , "USD"), "")</f>
        <v/>
      </c>
      <c r="O1326" s="13">
        <f>IFERROR(M1326/N1326, "")</f>
        <v/>
      </c>
    </row>
    <row r="1327">
      <c r="B1327" s="8" t="n"/>
      <c r="C1327" s="9">
        <f>IFERROR(_xll.ciqfunctions.udf.CIQ(mh_ticker, "IQ_LASTSALEPRICE", B1327), "")</f>
        <v/>
      </c>
      <c r="D1327" s="10">
        <f>IFERROR(_xll.ciqfunctions.udf.CIQ(mh_ticker, "IQ_SHARESOUTSTANDING_OUT", B1327), "")</f>
        <v/>
      </c>
      <c r="E1327" s="11">
        <f>IFERROR(_xll.ciqfunctions.udf.CIQ(mh_ticker, "IQ_CASH_EQUIV", , B1327), "")</f>
        <v/>
      </c>
      <c r="F1327" s="11">
        <f>IFERROR(_xll.ciqfunctions.udf.CIQ(mh_ticker, "IQ_ST_INVEST", , B1327), "")</f>
        <v/>
      </c>
      <c r="G1327" s="11">
        <f>IFERROR(_xll.ciqfunctions.udf.CIQ(mh_ticker, "IQ_TOTAL_DEBT_EXCL_OPER_LEASES", , B1327), "")</f>
        <v/>
      </c>
      <c r="H1327" s="11">
        <f>IFERROR(_xll.ciqfunctions.udf.CIQ(mh_ticker, "IQ_PREF_EQUITY", , B1327), "")</f>
        <v/>
      </c>
      <c r="I1327" s="11">
        <f>IFERROR(_xll.ciqfunctions.udf.CIQ(mh_ticker, "IQ_MINORITY_INTEREST", , B1327), "")</f>
        <v/>
      </c>
      <c r="J1327" s="11">
        <f>IFERROR(_xll.ciqfunctions.udf.CIQ(mh_ticker, "IQ_EQUITY_METHOD", , B1327), "")</f>
        <v/>
      </c>
      <c r="K1327" s="11">
        <f>IFERROR(_xll.ciqfunctions.udf.CIQ(mh_ticker, "IQ_LT_Mark_Securities", , B1327), "")</f>
        <v/>
      </c>
      <c r="L1327" s="12">
        <f>IFERROR(C1327*D1327, "")</f>
        <v/>
      </c>
      <c r="M1327" s="12">
        <f>IFERROR(L1327-E1327-F1327+G1327+H1327+I1327-J1327-K1327, "")</f>
        <v/>
      </c>
      <c r="N1327" s="11">
        <f>IFERROR(_xll.ciqfunctions.udf.CIQ(mh_ticker, "IQ_EBITDA_EST", IQ_NTM, B1327, , , "USD"), "")</f>
        <v/>
      </c>
      <c r="O1327" s="13">
        <f>IFERROR(M1327/N1327, "")</f>
        <v/>
      </c>
    </row>
    <row r="1328">
      <c r="B1328" s="8" t="n"/>
      <c r="C1328" s="9">
        <f>IFERROR(_xll.ciqfunctions.udf.CIQ(mh_ticker, "IQ_LASTSALEPRICE", B1328), "")</f>
        <v/>
      </c>
      <c r="D1328" s="10">
        <f>IFERROR(_xll.ciqfunctions.udf.CIQ(mh_ticker, "IQ_SHARESOUTSTANDING_OUT", B1328), "")</f>
        <v/>
      </c>
      <c r="E1328" s="11">
        <f>IFERROR(_xll.ciqfunctions.udf.CIQ(mh_ticker, "IQ_CASH_EQUIV", , B1328), "")</f>
        <v/>
      </c>
      <c r="F1328" s="11">
        <f>IFERROR(_xll.ciqfunctions.udf.CIQ(mh_ticker, "IQ_ST_INVEST", , B1328), "")</f>
        <v/>
      </c>
      <c r="G1328" s="11">
        <f>IFERROR(_xll.ciqfunctions.udf.CIQ(mh_ticker, "IQ_TOTAL_DEBT_EXCL_OPER_LEASES", , B1328), "")</f>
        <v/>
      </c>
      <c r="H1328" s="11">
        <f>IFERROR(_xll.ciqfunctions.udf.CIQ(mh_ticker, "IQ_PREF_EQUITY", , B1328), "")</f>
        <v/>
      </c>
      <c r="I1328" s="11">
        <f>IFERROR(_xll.ciqfunctions.udf.CIQ(mh_ticker, "IQ_MINORITY_INTEREST", , B1328), "")</f>
        <v/>
      </c>
      <c r="J1328" s="11">
        <f>IFERROR(_xll.ciqfunctions.udf.CIQ(mh_ticker, "IQ_EQUITY_METHOD", , B1328), "")</f>
        <v/>
      </c>
      <c r="K1328" s="11">
        <f>IFERROR(_xll.ciqfunctions.udf.CIQ(mh_ticker, "IQ_LT_Mark_Securities", , B1328), "")</f>
        <v/>
      </c>
      <c r="L1328" s="12">
        <f>IFERROR(C1328*D1328, "")</f>
        <v/>
      </c>
      <c r="M1328" s="12">
        <f>IFERROR(L1328-E1328-F1328+G1328+H1328+I1328-J1328-K1328, "")</f>
        <v/>
      </c>
      <c r="N1328" s="11">
        <f>IFERROR(_xll.ciqfunctions.udf.CIQ(mh_ticker, "IQ_EBITDA_EST", IQ_NTM, B1328, , , "USD"), "")</f>
        <v/>
      </c>
      <c r="O1328" s="13">
        <f>IFERROR(M1328/N1328, "")</f>
        <v/>
      </c>
    </row>
    <row r="1329">
      <c r="B1329" s="8" t="n"/>
      <c r="C1329" s="9">
        <f>IFERROR(_xll.ciqfunctions.udf.CIQ(mh_ticker, "IQ_LASTSALEPRICE", B1329), "")</f>
        <v/>
      </c>
      <c r="D1329" s="10">
        <f>IFERROR(_xll.ciqfunctions.udf.CIQ(mh_ticker, "IQ_SHARESOUTSTANDING_OUT", B1329), "")</f>
        <v/>
      </c>
      <c r="E1329" s="11">
        <f>IFERROR(_xll.ciqfunctions.udf.CIQ(mh_ticker, "IQ_CASH_EQUIV", , B1329), "")</f>
        <v/>
      </c>
      <c r="F1329" s="11">
        <f>IFERROR(_xll.ciqfunctions.udf.CIQ(mh_ticker, "IQ_ST_INVEST", , B1329), "")</f>
        <v/>
      </c>
      <c r="G1329" s="11">
        <f>IFERROR(_xll.ciqfunctions.udf.CIQ(mh_ticker, "IQ_TOTAL_DEBT_EXCL_OPER_LEASES", , B1329), "")</f>
        <v/>
      </c>
      <c r="H1329" s="11">
        <f>IFERROR(_xll.ciqfunctions.udf.CIQ(mh_ticker, "IQ_PREF_EQUITY", , B1329), "")</f>
        <v/>
      </c>
      <c r="I1329" s="11">
        <f>IFERROR(_xll.ciqfunctions.udf.CIQ(mh_ticker, "IQ_MINORITY_INTEREST", , B1329), "")</f>
        <v/>
      </c>
      <c r="J1329" s="11">
        <f>IFERROR(_xll.ciqfunctions.udf.CIQ(mh_ticker, "IQ_EQUITY_METHOD", , B1329), "")</f>
        <v/>
      </c>
      <c r="K1329" s="11">
        <f>IFERROR(_xll.ciqfunctions.udf.CIQ(mh_ticker, "IQ_LT_Mark_Securities", , B1329), "")</f>
        <v/>
      </c>
      <c r="L1329" s="12">
        <f>IFERROR(C1329*D1329, "")</f>
        <v/>
      </c>
      <c r="M1329" s="12">
        <f>IFERROR(L1329-E1329-F1329+G1329+H1329+I1329-J1329-K1329, "")</f>
        <v/>
      </c>
      <c r="N1329" s="11">
        <f>IFERROR(_xll.ciqfunctions.udf.CIQ(mh_ticker, "IQ_EBITDA_EST", IQ_NTM, B1329, , , "USD"), "")</f>
        <v/>
      </c>
      <c r="O1329" s="13">
        <f>IFERROR(M1329/N1329, "")</f>
        <v/>
      </c>
    </row>
    <row r="1330">
      <c r="B1330" s="8" t="n"/>
      <c r="C1330" s="9">
        <f>IFERROR(_xll.ciqfunctions.udf.CIQ(mh_ticker, "IQ_LASTSALEPRICE", B1330), "")</f>
        <v/>
      </c>
      <c r="D1330" s="10">
        <f>IFERROR(_xll.ciqfunctions.udf.CIQ(mh_ticker, "IQ_SHARESOUTSTANDING_OUT", B1330), "")</f>
        <v/>
      </c>
      <c r="E1330" s="11">
        <f>IFERROR(_xll.ciqfunctions.udf.CIQ(mh_ticker, "IQ_CASH_EQUIV", , B1330), "")</f>
        <v/>
      </c>
      <c r="F1330" s="11">
        <f>IFERROR(_xll.ciqfunctions.udf.CIQ(mh_ticker, "IQ_ST_INVEST", , B1330), "")</f>
        <v/>
      </c>
      <c r="G1330" s="11">
        <f>IFERROR(_xll.ciqfunctions.udf.CIQ(mh_ticker, "IQ_TOTAL_DEBT_EXCL_OPER_LEASES", , B1330), "")</f>
        <v/>
      </c>
      <c r="H1330" s="11">
        <f>IFERROR(_xll.ciqfunctions.udf.CIQ(mh_ticker, "IQ_PREF_EQUITY", , B1330), "")</f>
        <v/>
      </c>
      <c r="I1330" s="11">
        <f>IFERROR(_xll.ciqfunctions.udf.CIQ(mh_ticker, "IQ_MINORITY_INTEREST", , B1330), "")</f>
        <v/>
      </c>
      <c r="J1330" s="11">
        <f>IFERROR(_xll.ciqfunctions.udf.CIQ(mh_ticker, "IQ_EQUITY_METHOD", , B1330), "")</f>
        <v/>
      </c>
      <c r="K1330" s="11">
        <f>IFERROR(_xll.ciqfunctions.udf.CIQ(mh_ticker, "IQ_LT_Mark_Securities", , B1330), "")</f>
        <v/>
      </c>
      <c r="L1330" s="12">
        <f>IFERROR(C1330*D1330, "")</f>
        <v/>
      </c>
      <c r="M1330" s="12">
        <f>IFERROR(L1330-E1330-F1330+G1330+H1330+I1330-J1330-K1330, "")</f>
        <v/>
      </c>
      <c r="N1330" s="11">
        <f>IFERROR(_xll.ciqfunctions.udf.CIQ(mh_ticker, "IQ_EBITDA_EST", IQ_NTM, B1330, , , "USD"), "")</f>
        <v/>
      </c>
      <c r="O1330" s="13">
        <f>IFERROR(M1330/N1330, "")</f>
        <v/>
      </c>
    </row>
    <row r="1331">
      <c r="B1331" s="8" t="n"/>
      <c r="C1331" s="9">
        <f>IFERROR(_xll.ciqfunctions.udf.CIQ(mh_ticker, "IQ_LASTSALEPRICE", B1331), "")</f>
        <v/>
      </c>
      <c r="D1331" s="10">
        <f>IFERROR(_xll.ciqfunctions.udf.CIQ(mh_ticker, "IQ_SHARESOUTSTANDING_OUT", B1331), "")</f>
        <v/>
      </c>
      <c r="E1331" s="11">
        <f>IFERROR(_xll.ciqfunctions.udf.CIQ(mh_ticker, "IQ_CASH_EQUIV", , B1331), "")</f>
        <v/>
      </c>
      <c r="F1331" s="11">
        <f>IFERROR(_xll.ciqfunctions.udf.CIQ(mh_ticker, "IQ_ST_INVEST", , B1331), "")</f>
        <v/>
      </c>
      <c r="G1331" s="11">
        <f>IFERROR(_xll.ciqfunctions.udf.CIQ(mh_ticker, "IQ_TOTAL_DEBT_EXCL_OPER_LEASES", , B1331), "")</f>
        <v/>
      </c>
      <c r="H1331" s="11">
        <f>IFERROR(_xll.ciqfunctions.udf.CIQ(mh_ticker, "IQ_PREF_EQUITY", , B1331), "")</f>
        <v/>
      </c>
      <c r="I1331" s="11">
        <f>IFERROR(_xll.ciqfunctions.udf.CIQ(mh_ticker, "IQ_MINORITY_INTEREST", , B1331), "")</f>
        <v/>
      </c>
      <c r="J1331" s="11">
        <f>IFERROR(_xll.ciqfunctions.udf.CIQ(mh_ticker, "IQ_EQUITY_METHOD", , B1331), "")</f>
        <v/>
      </c>
      <c r="K1331" s="11">
        <f>IFERROR(_xll.ciqfunctions.udf.CIQ(mh_ticker, "IQ_LT_Mark_Securities", , B1331), "")</f>
        <v/>
      </c>
      <c r="L1331" s="12">
        <f>IFERROR(C1331*D1331, "")</f>
        <v/>
      </c>
      <c r="M1331" s="12">
        <f>IFERROR(L1331-E1331-F1331+G1331+H1331+I1331-J1331-K1331, "")</f>
        <v/>
      </c>
      <c r="N1331" s="11">
        <f>IFERROR(_xll.ciqfunctions.udf.CIQ(mh_ticker, "IQ_EBITDA_EST", IQ_NTM, B1331, , , "USD"), "")</f>
        <v/>
      </c>
      <c r="O1331" s="13">
        <f>IFERROR(M1331/N1331, "")</f>
        <v/>
      </c>
    </row>
    <row r="1332">
      <c r="B1332" s="8" t="n"/>
      <c r="C1332" s="9">
        <f>IFERROR(_xll.ciqfunctions.udf.CIQ(mh_ticker, "IQ_LASTSALEPRICE", B1332), "")</f>
        <v/>
      </c>
      <c r="D1332" s="10">
        <f>IFERROR(_xll.ciqfunctions.udf.CIQ(mh_ticker, "IQ_SHARESOUTSTANDING_OUT", B1332), "")</f>
        <v/>
      </c>
      <c r="E1332" s="11">
        <f>IFERROR(_xll.ciqfunctions.udf.CIQ(mh_ticker, "IQ_CASH_EQUIV", , B1332), "")</f>
        <v/>
      </c>
      <c r="F1332" s="11">
        <f>IFERROR(_xll.ciqfunctions.udf.CIQ(mh_ticker, "IQ_ST_INVEST", , B1332), "")</f>
        <v/>
      </c>
      <c r="G1332" s="11">
        <f>IFERROR(_xll.ciqfunctions.udf.CIQ(mh_ticker, "IQ_TOTAL_DEBT_EXCL_OPER_LEASES", , B1332), "")</f>
        <v/>
      </c>
      <c r="H1332" s="11">
        <f>IFERROR(_xll.ciqfunctions.udf.CIQ(mh_ticker, "IQ_PREF_EQUITY", , B1332), "")</f>
        <v/>
      </c>
      <c r="I1332" s="11">
        <f>IFERROR(_xll.ciqfunctions.udf.CIQ(mh_ticker, "IQ_MINORITY_INTEREST", , B1332), "")</f>
        <v/>
      </c>
      <c r="J1332" s="11">
        <f>IFERROR(_xll.ciqfunctions.udf.CIQ(mh_ticker, "IQ_EQUITY_METHOD", , B1332), "")</f>
        <v/>
      </c>
      <c r="K1332" s="11">
        <f>IFERROR(_xll.ciqfunctions.udf.CIQ(mh_ticker, "IQ_LT_Mark_Securities", , B1332), "")</f>
        <v/>
      </c>
      <c r="L1332" s="12">
        <f>IFERROR(C1332*D1332, "")</f>
        <v/>
      </c>
      <c r="M1332" s="12">
        <f>IFERROR(L1332-E1332-F1332+G1332+H1332+I1332-J1332-K1332, "")</f>
        <v/>
      </c>
      <c r="N1332" s="11">
        <f>IFERROR(_xll.ciqfunctions.udf.CIQ(mh_ticker, "IQ_EBITDA_EST", IQ_NTM, B1332, , , "USD"), "")</f>
        <v/>
      </c>
      <c r="O1332" s="13">
        <f>IFERROR(M1332/N1332, "")</f>
        <v/>
      </c>
    </row>
    <row r="1333">
      <c r="B1333" s="8" t="n"/>
      <c r="C1333" s="9">
        <f>IFERROR(_xll.ciqfunctions.udf.CIQ(mh_ticker, "IQ_LASTSALEPRICE", B1333), "")</f>
        <v/>
      </c>
      <c r="D1333" s="10">
        <f>IFERROR(_xll.ciqfunctions.udf.CIQ(mh_ticker, "IQ_SHARESOUTSTANDING_OUT", B1333), "")</f>
        <v/>
      </c>
      <c r="E1333" s="11">
        <f>IFERROR(_xll.ciqfunctions.udf.CIQ(mh_ticker, "IQ_CASH_EQUIV", , B1333), "")</f>
        <v/>
      </c>
      <c r="F1333" s="11">
        <f>IFERROR(_xll.ciqfunctions.udf.CIQ(mh_ticker, "IQ_ST_INVEST", , B1333), "")</f>
        <v/>
      </c>
      <c r="G1333" s="11">
        <f>IFERROR(_xll.ciqfunctions.udf.CIQ(mh_ticker, "IQ_TOTAL_DEBT_EXCL_OPER_LEASES", , B1333), "")</f>
        <v/>
      </c>
      <c r="H1333" s="11">
        <f>IFERROR(_xll.ciqfunctions.udf.CIQ(mh_ticker, "IQ_PREF_EQUITY", , B1333), "")</f>
        <v/>
      </c>
      <c r="I1333" s="11">
        <f>IFERROR(_xll.ciqfunctions.udf.CIQ(mh_ticker, "IQ_MINORITY_INTEREST", , B1333), "")</f>
        <v/>
      </c>
      <c r="J1333" s="11">
        <f>IFERROR(_xll.ciqfunctions.udf.CIQ(mh_ticker, "IQ_EQUITY_METHOD", , B1333), "")</f>
        <v/>
      </c>
      <c r="K1333" s="11">
        <f>IFERROR(_xll.ciqfunctions.udf.CIQ(mh_ticker, "IQ_LT_Mark_Securities", , B1333), "")</f>
        <v/>
      </c>
      <c r="L1333" s="12">
        <f>IFERROR(C1333*D1333, "")</f>
        <v/>
      </c>
      <c r="M1333" s="12">
        <f>IFERROR(L1333-E1333-F1333+G1333+H1333+I1333-J1333-K1333, "")</f>
        <v/>
      </c>
      <c r="N1333" s="11">
        <f>IFERROR(_xll.ciqfunctions.udf.CIQ(mh_ticker, "IQ_EBITDA_EST", IQ_NTM, B1333, , , "USD"), "")</f>
        <v/>
      </c>
      <c r="O1333" s="13">
        <f>IFERROR(M1333/N1333, "")</f>
        <v/>
      </c>
    </row>
    <row r="1334">
      <c r="B1334" s="8" t="n"/>
      <c r="C1334" s="9">
        <f>IFERROR(_xll.ciqfunctions.udf.CIQ(mh_ticker, "IQ_LASTSALEPRICE", B1334), "")</f>
        <v/>
      </c>
      <c r="D1334" s="10">
        <f>IFERROR(_xll.ciqfunctions.udf.CIQ(mh_ticker, "IQ_SHARESOUTSTANDING_OUT", B1334), "")</f>
        <v/>
      </c>
      <c r="E1334" s="11">
        <f>IFERROR(_xll.ciqfunctions.udf.CIQ(mh_ticker, "IQ_CASH_EQUIV", , B1334), "")</f>
        <v/>
      </c>
      <c r="F1334" s="11">
        <f>IFERROR(_xll.ciqfunctions.udf.CIQ(mh_ticker, "IQ_ST_INVEST", , B1334), "")</f>
        <v/>
      </c>
      <c r="G1334" s="11">
        <f>IFERROR(_xll.ciqfunctions.udf.CIQ(mh_ticker, "IQ_TOTAL_DEBT_EXCL_OPER_LEASES", , B1334), "")</f>
        <v/>
      </c>
      <c r="H1334" s="11">
        <f>IFERROR(_xll.ciqfunctions.udf.CIQ(mh_ticker, "IQ_PREF_EQUITY", , B1334), "")</f>
        <v/>
      </c>
      <c r="I1334" s="11">
        <f>IFERROR(_xll.ciqfunctions.udf.CIQ(mh_ticker, "IQ_MINORITY_INTEREST", , B1334), "")</f>
        <v/>
      </c>
      <c r="J1334" s="11">
        <f>IFERROR(_xll.ciqfunctions.udf.CIQ(mh_ticker, "IQ_EQUITY_METHOD", , B1334), "")</f>
        <v/>
      </c>
      <c r="K1334" s="11">
        <f>IFERROR(_xll.ciqfunctions.udf.CIQ(mh_ticker, "IQ_LT_Mark_Securities", , B1334), "")</f>
        <v/>
      </c>
      <c r="L1334" s="12">
        <f>IFERROR(C1334*D1334, "")</f>
        <v/>
      </c>
      <c r="M1334" s="12">
        <f>IFERROR(L1334-E1334-F1334+G1334+H1334+I1334-J1334-K1334, "")</f>
        <v/>
      </c>
      <c r="N1334" s="11">
        <f>IFERROR(_xll.ciqfunctions.udf.CIQ(mh_ticker, "IQ_EBITDA_EST", IQ_NTM, B1334, , , "USD"), "")</f>
        <v/>
      </c>
      <c r="O1334" s="13">
        <f>IFERROR(M1334/N1334, "")</f>
        <v/>
      </c>
    </row>
    <row r="1335">
      <c r="B1335" s="8" t="n"/>
      <c r="C1335" s="9">
        <f>IFERROR(_xll.ciqfunctions.udf.CIQ(mh_ticker, "IQ_LASTSALEPRICE", B1335), "")</f>
        <v/>
      </c>
      <c r="D1335" s="10">
        <f>IFERROR(_xll.ciqfunctions.udf.CIQ(mh_ticker, "IQ_SHARESOUTSTANDING_OUT", B1335), "")</f>
        <v/>
      </c>
      <c r="E1335" s="11">
        <f>IFERROR(_xll.ciqfunctions.udf.CIQ(mh_ticker, "IQ_CASH_EQUIV", , B1335), "")</f>
        <v/>
      </c>
      <c r="F1335" s="11">
        <f>IFERROR(_xll.ciqfunctions.udf.CIQ(mh_ticker, "IQ_ST_INVEST", , B1335), "")</f>
        <v/>
      </c>
      <c r="G1335" s="11">
        <f>IFERROR(_xll.ciqfunctions.udf.CIQ(mh_ticker, "IQ_TOTAL_DEBT_EXCL_OPER_LEASES", , B1335), "")</f>
        <v/>
      </c>
      <c r="H1335" s="11">
        <f>IFERROR(_xll.ciqfunctions.udf.CIQ(mh_ticker, "IQ_PREF_EQUITY", , B1335), "")</f>
        <v/>
      </c>
      <c r="I1335" s="11">
        <f>IFERROR(_xll.ciqfunctions.udf.CIQ(mh_ticker, "IQ_MINORITY_INTEREST", , B1335), "")</f>
        <v/>
      </c>
      <c r="J1335" s="11">
        <f>IFERROR(_xll.ciqfunctions.udf.CIQ(mh_ticker, "IQ_EQUITY_METHOD", , B1335), "")</f>
        <v/>
      </c>
      <c r="K1335" s="11">
        <f>IFERROR(_xll.ciqfunctions.udf.CIQ(mh_ticker, "IQ_LT_Mark_Securities", , B1335), "")</f>
        <v/>
      </c>
      <c r="L1335" s="12">
        <f>IFERROR(C1335*D1335, "")</f>
        <v/>
      </c>
      <c r="M1335" s="12">
        <f>IFERROR(L1335-E1335-F1335+G1335+H1335+I1335-J1335-K1335, "")</f>
        <v/>
      </c>
      <c r="N1335" s="11">
        <f>IFERROR(_xll.ciqfunctions.udf.CIQ(mh_ticker, "IQ_EBITDA_EST", IQ_NTM, B1335, , , "USD"), "")</f>
        <v/>
      </c>
      <c r="O1335" s="13">
        <f>IFERROR(M1335/N1335, "")</f>
        <v/>
      </c>
    </row>
    <row r="1336">
      <c r="B1336" s="8" t="n"/>
      <c r="C1336" s="9">
        <f>IFERROR(_xll.ciqfunctions.udf.CIQ(mh_ticker, "IQ_LASTSALEPRICE", B1336), "")</f>
        <v/>
      </c>
      <c r="D1336" s="10">
        <f>IFERROR(_xll.ciqfunctions.udf.CIQ(mh_ticker, "IQ_SHARESOUTSTANDING_OUT", B1336), "")</f>
        <v/>
      </c>
      <c r="E1336" s="11">
        <f>IFERROR(_xll.ciqfunctions.udf.CIQ(mh_ticker, "IQ_CASH_EQUIV", , B1336), "")</f>
        <v/>
      </c>
      <c r="F1336" s="11">
        <f>IFERROR(_xll.ciqfunctions.udf.CIQ(mh_ticker, "IQ_ST_INVEST", , B1336), "")</f>
        <v/>
      </c>
      <c r="G1336" s="11">
        <f>IFERROR(_xll.ciqfunctions.udf.CIQ(mh_ticker, "IQ_TOTAL_DEBT_EXCL_OPER_LEASES", , B1336), "")</f>
        <v/>
      </c>
      <c r="H1336" s="11">
        <f>IFERROR(_xll.ciqfunctions.udf.CIQ(mh_ticker, "IQ_PREF_EQUITY", , B1336), "")</f>
        <v/>
      </c>
      <c r="I1336" s="11">
        <f>IFERROR(_xll.ciqfunctions.udf.CIQ(mh_ticker, "IQ_MINORITY_INTEREST", , B1336), "")</f>
        <v/>
      </c>
      <c r="J1336" s="11">
        <f>IFERROR(_xll.ciqfunctions.udf.CIQ(mh_ticker, "IQ_EQUITY_METHOD", , B1336), "")</f>
        <v/>
      </c>
      <c r="K1336" s="11">
        <f>IFERROR(_xll.ciqfunctions.udf.CIQ(mh_ticker, "IQ_LT_Mark_Securities", , B1336), "")</f>
        <v/>
      </c>
      <c r="L1336" s="12">
        <f>IFERROR(C1336*D1336, "")</f>
        <v/>
      </c>
      <c r="M1336" s="12">
        <f>IFERROR(L1336-E1336-F1336+G1336+H1336+I1336-J1336-K1336, "")</f>
        <v/>
      </c>
      <c r="N1336" s="11">
        <f>IFERROR(_xll.ciqfunctions.udf.CIQ(mh_ticker, "IQ_EBITDA_EST", IQ_NTM, B1336, , , "USD"), "")</f>
        <v/>
      </c>
      <c r="O1336" s="13">
        <f>IFERROR(M1336/N1336, "")</f>
        <v/>
      </c>
    </row>
    <row r="1337">
      <c r="B1337" s="8" t="n"/>
      <c r="C1337" s="9">
        <f>IFERROR(_xll.ciqfunctions.udf.CIQ(mh_ticker, "IQ_LASTSALEPRICE", B1337), "")</f>
        <v/>
      </c>
      <c r="D1337" s="10">
        <f>IFERROR(_xll.ciqfunctions.udf.CIQ(mh_ticker, "IQ_SHARESOUTSTANDING_OUT", B1337), "")</f>
        <v/>
      </c>
      <c r="E1337" s="11">
        <f>IFERROR(_xll.ciqfunctions.udf.CIQ(mh_ticker, "IQ_CASH_EQUIV", , B1337), "")</f>
        <v/>
      </c>
      <c r="F1337" s="11">
        <f>IFERROR(_xll.ciqfunctions.udf.CIQ(mh_ticker, "IQ_ST_INVEST", , B1337), "")</f>
        <v/>
      </c>
      <c r="G1337" s="11">
        <f>IFERROR(_xll.ciqfunctions.udf.CIQ(mh_ticker, "IQ_TOTAL_DEBT_EXCL_OPER_LEASES", , B1337), "")</f>
        <v/>
      </c>
      <c r="H1337" s="11">
        <f>IFERROR(_xll.ciqfunctions.udf.CIQ(mh_ticker, "IQ_PREF_EQUITY", , B1337), "")</f>
        <v/>
      </c>
      <c r="I1337" s="11">
        <f>IFERROR(_xll.ciqfunctions.udf.CIQ(mh_ticker, "IQ_MINORITY_INTEREST", , B1337), "")</f>
        <v/>
      </c>
      <c r="J1337" s="11">
        <f>IFERROR(_xll.ciqfunctions.udf.CIQ(mh_ticker, "IQ_EQUITY_METHOD", , B1337), "")</f>
        <v/>
      </c>
      <c r="K1337" s="11">
        <f>IFERROR(_xll.ciqfunctions.udf.CIQ(mh_ticker, "IQ_LT_Mark_Securities", , B1337), "")</f>
        <v/>
      </c>
      <c r="L1337" s="12">
        <f>IFERROR(C1337*D1337, "")</f>
        <v/>
      </c>
      <c r="M1337" s="12">
        <f>IFERROR(L1337-E1337-F1337+G1337+H1337+I1337-J1337-K1337, "")</f>
        <v/>
      </c>
      <c r="N1337" s="11">
        <f>IFERROR(_xll.ciqfunctions.udf.CIQ(mh_ticker, "IQ_EBITDA_EST", IQ_NTM, B1337, , , "USD"), "")</f>
        <v/>
      </c>
      <c r="O1337" s="13">
        <f>IFERROR(M1337/N1337, "")</f>
        <v/>
      </c>
    </row>
    <row r="1338">
      <c r="B1338" s="8" t="n"/>
      <c r="C1338" s="9">
        <f>IFERROR(_xll.ciqfunctions.udf.CIQ(mh_ticker, "IQ_LASTSALEPRICE", B1338), "")</f>
        <v/>
      </c>
      <c r="D1338" s="10">
        <f>IFERROR(_xll.ciqfunctions.udf.CIQ(mh_ticker, "IQ_SHARESOUTSTANDING_OUT", B1338), "")</f>
        <v/>
      </c>
      <c r="E1338" s="11">
        <f>IFERROR(_xll.ciqfunctions.udf.CIQ(mh_ticker, "IQ_CASH_EQUIV", , B1338), "")</f>
        <v/>
      </c>
      <c r="F1338" s="11">
        <f>IFERROR(_xll.ciqfunctions.udf.CIQ(mh_ticker, "IQ_ST_INVEST", , B1338), "")</f>
        <v/>
      </c>
      <c r="G1338" s="11">
        <f>IFERROR(_xll.ciqfunctions.udf.CIQ(mh_ticker, "IQ_TOTAL_DEBT_EXCL_OPER_LEASES", , B1338), "")</f>
        <v/>
      </c>
      <c r="H1338" s="11">
        <f>IFERROR(_xll.ciqfunctions.udf.CIQ(mh_ticker, "IQ_PREF_EQUITY", , B1338), "")</f>
        <v/>
      </c>
      <c r="I1338" s="11">
        <f>IFERROR(_xll.ciqfunctions.udf.CIQ(mh_ticker, "IQ_MINORITY_INTEREST", , B1338), "")</f>
        <v/>
      </c>
      <c r="J1338" s="11">
        <f>IFERROR(_xll.ciqfunctions.udf.CIQ(mh_ticker, "IQ_EQUITY_METHOD", , B1338), "")</f>
        <v/>
      </c>
      <c r="K1338" s="11">
        <f>IFERROR(_xll.ciqfunctions.udf.CIQ(mh_ticker, "IQ_LT_Mark_Securities", , B1338), "")</f>
        <v/>
      </c>
      <c r="L1338" s="12">
        <f>IFERROR(C1338*D1338, "")</f>
        <v/>
      </c>
      <c r="M1338" s="12">
        <f>IFERROR(L1338-E1338-F1338+G1338+H1338+I1338-J1338-K1338, "")</f>
        <v/>
      </c>
      <c r="N1338" s="11">
        <f>IFERROR(_xll.ciqfunctions.udf.CIQ(mh_ticker, "IQ_EBITDA_EST", IQ_NTM, B1338, , , "USD"), "")</f>
        <v/>
      </c>
      <c r="O1338" s="13">
        <f>IFERROR(M1338/N1338, "")</f>
        <v/>
      </c>
    </row>
    <row r="1339">
      <c r="B1339" s="8" t="n"/>
      <c r="C1339" s="9">
        <f>IFERROR(_xll.ciqfunctions.udf.CIQ(mh_ticker, "IQ_LASTSALEPRICE", B1339), "")</f>
        <v/>
      </c>
      <c r="D1339" s="10">
        <f>IFERROR(_xll.ciqfunctions.udf.CIQ(mh_ticker, "IQ_SHARESOUTSTANDING_OUT", B1339), "")</f>
        <v/>
      </c>
      <c r="E1339" s="11">
        <f>IFERROR(_xll.ciqfunctions.udf.CIQ(mh_ticker, "IQ_CASH_EQUIV", , B1339), "")</f>
        <v/>
      </c>
      <c r="F1339" s="11">
        <f>IFERROR(_xll.ciqfunctions.udf.CIQ(mh_ticker, "IQ_ST_INVEST", , B1339), "")</f>
        <v/>
      </c>
      <c r="G1339" s="11">
        <f>IFERROR(_xll.ciqfunctions.udf.CIQ(mh_ticker, "IQ_TOTAL_DEBT_EXCL_OPER_LEASES", , B1339), "")</f>
        <v/>
      </c>
      <c r="H1339" s="11">
        <f>IFERROR(_xll.ciqfunctions.udf.CIQ(mh_ticker, "IQ_PREF_EQUITY", , B1339), "")</f>
        <v/>
      </c>
      <c r="I1339" s="11">
        <f>IFERROR(_xll.ciqfunctions.udf.CIQ(mh_ticker, "IQ_MINORITY_INTEREST", , B1339), "")</f>
        <v/>
      </c>
      <c r="J1339" s="11">
        <f>IFERROR(_xll.ciqfunctions.udf.CIQ(mh_ticker, "IQ_EQUITY_METHOD", , B1339), "")</f>
        <v/>
      </c>
      <c r="K1339" s="11">
        <f>IFERROR(_xll.ciqfunctions.udf.CIQ(mh_ticker, "IQ_LT_Mark_Securities", , B1339), "")</f>
        <v/>
      </c>
      <c r="L1339" s="12">
        <f>IFERROR(C1339*D1339, "")</f>
        <v/>
      </c>
      <c r="M1339" s="12">
        <f>IFERROR(L1339-E1339-F1339+G1339+H1339+I1339-J1339-K1339, "")</f>
        <v/>
      </c>
      <c r="N1339" s="11">
        <f>IFERROR(_xll.ciqfunctions.udf.CIQ(mh_ticker, "IQ_EBITDA_EST", IQ_NTM, B1339, , , "USD"), "")</f>
        <v/>
      </c>
      <c r="O1339" s="13">
        <f>IFERROR(M1339/N1339, "")</f>
        <v/>
      </c>
    </row>
    <row r="1340">
      <c r="B1340" s="8" t="n"/>
      <c r="C1340" s="9">
        <f>IFERROR(_xll.ciqfunctions.udf.CIQ(mh_ticker, "IQ_LASTSALEPRICE", B1340), "")</f>
        <v/>
      </c>
      <c r="D1340" s="10">
        <f>IFERROR(_xll.ciqfunctions.udf.CIQ(mh_ticker, "IQ_SHARESOUTSTANDING_OUT", B1340), "")</f>
        <v/>
      </c>
      <c r="E1340" s="11">
        <f>IFERROR(_xll.ciqfunctions.udf.CIQ(mh_ticker, "IQ_CASH_EQUIV", , B1340), "")</f>
        <v/>
      </c>
      <c r="F1340" s="11">
        <f>IFERROR(_xll.ciqfunctions.udf.CIQ(mh_ticker, "IQ_ST_INVEST", , B1340), "")</f>
        <v/>
      </c>
      <c r="G1340" s="11">
        <f>IFERROR(_xll.ciqfunctions.udf.CIQ(mh_ticker, "IQ_TOTAL_DEBT_EXCL_OPER_LEASES", , B1340), "")</f>
        <v/>
      </c>
      <c r="H1340" s="11">
        <f>IFERROR(_xll.ciqfunctions.udf.CIQ(mh_ticker, "IQ_PREF_EQUITY", , B1340), "")</f>
        <v/>
      </c>
      <c r="I1340" s="11">
        <f>IFERROR(_xll.ciqfunctions.udf.CIQ(mh_ticker, "IQ_MINORITY_INTEREST", , B1340), "")</f>
        <v/>
      </c>
      <c r="J1340" s="11">
        <f>IFERROR(_xll.ciqfunctions.udf.CIQ(mh_ticker, "IQ_EQUITY_METHOD", , B1340), "")</f>
        <v/>
      </c>
      <c r="K1340" s="11">
        <f>IFERROR(_xll.ciqfunctions.udf.CIQ(mh_ticker, "IQ_LT_Mark_Securities", , B1340), "")</f>
        <v/>
      </c>
      <c r="L1340" s="12">
        <f>IFERROR(C1340*D1340, "")</f>
        <v/>
      </c>
      <c r="M1340" s="12">
        <f>IFERROR(L1340-E1340-F1340+G1340+H1340+I1340-J1340-K1340, "")</f>
        <v/>
      </c>
      <c r="N1340" s="11">
        <f>IFERROR(_xll.ciqfunctions.udf.CIQ(mh_ticker, "IQ_EBITDA_EST", IQ_NTM, B1340, , , "USD"), "")</f>
        <v/>
      </c>
      <c r="O1340" s="13">
        <f>IFERROR(M1340/N1340, "")</f>
        <v/>
      </c>
    </row>
    <row r="1341">
      <c r="B1341" s="8" t="n"/>
      <c r="C1341" s="9">
        <f>IFERROR(_xll.ciqfunctions.udf.CIQ(mh_ticker, "IQ_LASTSALEPRICE", B1341), "")</f>
        <v/>
      </c>
      <c r="D1341" s="10">
        <f>IFERROR(_xll.ciqfunctions.udf.CIQ(mh_ticker, "IQ_SHARESOUTSTANDING_OUT", B1341), "")</f>
        <v/>
      </c>
      <c r="E1341" s="11">
        <f>IFERROR(_xll.ciqfunctions.udf.CIQ(mh_ticker, "IQ_CASH_EQUIV", , B1341), "")</f>
        <v/>
      </c>
      <c r="F1341" s="11">
        <f>IFERROR(_xll.ciqfunctions.udf.CIQ(mh_ticker, "IQ_ST_INVEST", , B1341), "")</f>
        <v/>
      </c>
      <c r="G1341" s="11">
        <f>IFERROR(_xll.ciqfunctions.udf.CIQ(mh_ticker, "IQ_TOTAL_DEBT_EXCL_OPER_LEASES", , B1341), "")</f>
        <v/>
      </c>
      <c r="H1341" s="11">
        <f>IFERROR(_xll.ciqfunctions.udf.CIQ(mh_ticker, "IQ_PREF_EQUITY", , B1341), "")</f>
        <v/>
      </c>
      <c r="I1341" s="11">
        <f>IFERROR(_xll.ciqfunctions.udf.CIQ(mh_ticker, "IQ_MINORITY_INTEREST", , B1341), "")</f>
        <v/>
      </c>
      <c r="J1341" s="11">
        <f>IFERROR(_xll.ciqfunctions.udf.CIQ(mh_ticker, "IQ_EQUITY_METHOD", , B1341), "")</f>
        <v/>
      </c>
      <c r="K1341" s="11">
        <f>IFERROR(_xll.ciqfunctions.udf.CIQ(mh_ticker, "IQ_LT_Mark_Securities", , B1341), "")</f>
        <v/>
      </c>
      <c r="L1341" s="12">
        <f>IFERROR(C1341*D1341, "")</f>
        <v/>
      </c>
      <c r="M1341" s="12">
        <f>IFERROR(L1341-E1341-F1341+G1341+H1341+I1341-J1341-K1341, "")</f>
        <v/>
      </c>
      <c r="N1341" s="11">
        <f>IFERROR(_xll.ciqfunctions.udf.CIQ(mh_ticker, "IQ_EBITDA_EST", IQ_NTM, B1341, , , "USD"), "")</f>
        <v/>
      </c>
      <c r="O1341" s="13">
        <f>IFERROR(M1341/N1341, "")</f>
        <v/>
      </c>
    </row>
    <row r="1342">
      <c r="B1342" s="8" t="n"/>
      <c r="C1342" s="9">
        <f>IFERROR(_xll.ciqfunctions.udf.CIQ(mh_ticker, "IQ_LASTSALEPRICE", B1342), "")</f>
        <v/>
      </c>
      <c r="D1342" s="10">
        <f>IFERROR(_xll.ciqfunctions.udf.CIQ(mh_ticker, "IQ_SHARESOUTSTANDING_OUT", B1342), "")</f>
        <v/>
      </c>
      <c r="E1342" s="11">
        <f>IFERROR(_xll.ciqfunctions.udf.CIQ(mh_ticker, "IQ_CASH_EQUIV", , B1342), "")</f>
        <v/>
      </c>
      <c r="F1342" s="11">
        <f>IFERROR(_xll.ciqfunctions.udf.CIQ(mh_ticker, "IQ_ST_INVEST", , B1342), "")</f>
        <v/>
      </c>
      <c r="G1342" s="11">
        <f>IFERROR(_xll.ciqfunctions.udf.CIQ(mh_ticker, "IQ_TOTAL_DEBT_EXCL_OPER_LEASES", , B1342), "")</f>
        <v/>
      </c>
      <c r="H1342" s="11">
        <f>IFERROR(_xll.ciqfunctions.udf.CIQ(mh_ticker, "IQ_PREF_EQUITY", , B1342), "")</f>
        <v/>
      </c>
      <c r="I1342" s="11">
        <f>IFERROR(_xll.ciqfunctions.udf.CIQ(mh_ticker, "IQ_MINORITY_INTEREST", , B1342), "")</f>
        <v/>
      </c>
      <c r="J1342" s="11">
        <f>IFERROR(_xll.ciqfunctions.udf.CIQ(mh_ticker, "IQ_EQUITY_METHOD", , B1342), "")</f>
        <v/>
      </c>
      <c r="K1342" s="11">
        <f>IFERROR(_xll.ciqfunctions.udf.CIQ(mh_ticker, "IQ_LT_Mark_Securities", , B1342), "")</f>
        <v/>
      </c>
      <c r="L1342" s="12">
        <f>IFERROR(C1342*D1342, "")</f>
        <v/>
      </c>
      <c r="M1342" s="12">
        <f>IFERROR(L1342-E1342-F1342+G1342+H1342+I1342-J1342-K1342, "")</f>
        <v/>
      </c>
      <c r="N1342" s="11">
        <f>IFERROR(_xll.ciqfunctions.udf.CIQ(mh_ticker, "IQ_EBITDA_EST", IQ_NTM, B1342, , , "USD"), "")</f>
        <v/>
      </c>
      <c r="O1342" s="13">
        <f>IFERROR(M1342/N1342, "")</f>
        <v/>
      </c>
    </row>
    <row r="1343">
      <c r="B1343" s="8" t="n"/>
      <c r="C1343" s="9">
        <f>IFERROR(_xll.ciqfunctions.udf.CIQ(mh_ticker, "IQ_LASTSALEPRICE", B1343), "")</f>
        <v/>
      </c>
      <c r="D1343" s="10">
        <f>IFERROR(_xll.ciqfunctions.udf.CIQ(mh_ticker, "IQ_SHARESOUTSTANDING_OUT", B1343), "")</f>
        <v/>
      </c>
      <c r="E1343" s="11">
        <f>IFERROR(_xll.ciqfunctions.udf.CIQ(mh_ticker, "IQ_CASH_EQUIV", , B1343), "")</f>
        <v/>
      </c>
      <c r="F1343" s="11">
        <f>IFERROR(_xll.ciqfunctions.udf.CIQ(mh_ticker, "IQ_ST_INVEST", , B1343), "")</f>
        <v/>
      </c>
      <c r="G1343" s="11">
        <f>IFERROR(_xll.ciqfunctions.udf.CIQ(mh_ticker, "IQ_TOTAL_DEBT_EXCL_OPER_LEASES", , B1343), "")</f>
        <v/>
      </c>
      <c r="H1343" s="11">
        <f>IFERROR(_xll.ciqfunctions.udf.CIQ(mh_ticker, "IQ_PREF_EQUITY", , B1343), "")</f>
        <v/>
      </c>
      <c r="I1343" s="11">
        <f>IFERROR(_xll.ciqfunctions.udf.CIQ(mh_ticker, "IQ_MINORITY_INTEREST", , B1343), "")</f>
        <v/>
      </c>
      <c r="J1343" s="11">
        <f>IFERROR(_xll.ciqfunctions.udf.CIQ(mh_ticker, "IQ_EQUITY_METHOD", , B1343), "")</f>
        <v/>
      </c>
      <c r="K1343" s="11">
        <f>IFERROR(_xll.ciqfunctions.udf.CIQ(mh_ticker, "IQ_LT_Mark_Securities", , B1343), "")</f>
        <v/>
      </c>
      <c r="L1343" s="12">
        <f>IFERROR(C1343*D1343, "")</f>
        <v/>
      </c>
      <c r="M1343" s="12">
        <f>IFERROR(L1343-E1343-F1343+G1343+H1343+I1343-J1343-K1343, "")</f>
        <v/>
      </c>
      <c r="N1343" s="11">
        <f>IFERROR(_xll.ciqfunctions.udf.CIQ(mh_ticker, "IQ_EBITDA_EST", IQ_NTM, B1343, , , "USD"), "")</f>
        <v/>
      </c>
      <c r="O1343" s="13">
        <f>IFERROR(M1343/N1343, "")</f>
        <v/>
      </c>
    </row>
    <row r="1344">
      <c r="B1344" s="8" t="n"/>
      <c r="C1344" s="9">
        <f>IFERROR(_xll.ciqfunctions.udf.CIQ(mh_ticker, "IQ_LASTSALEPRICE", B1344), "")</f>
        <v/>
      </c>
      <c r="D1344" s="10">
        <f>IFERROR(_xll.ciqfunctions.udf.CIQ(mh_ticker, "IQ_SHARESOUTSTANDING_OUT", B1344), "")</f>
        <v/>
      </c>
      <c r="E1344" s="11">
        <f>IFERROR(_xll.ciqfunctions.udf.CIQ(mh_ticker, "IQ_CASH_EQUIV", , B1344), "")</f>
        <v/>
      </c>
      <c r="F1344" s="11">
        <f>IFERROR(_xll.ciqfunctions.udf.CIQ(mh_ticker, "IQ_ST_INVEST", , B1344), "")</f>
        <v/>
      </c>
      <c r="G1344" s="11">
        <f>IFERROR(_xll.ciqfunctions.udf.CIQ(mh_ticker, "IQ_TOTAL_DEBT_EXCL_OPER_LEASES", , B1344), "")</f>
        <v/>
      </c>
      <c r="H1344" s="11">
        <f>IFERROR(_xll.ciqfunctions.udf.CIQ(mh_ticker, "IQ_PREF_EQUITY", , B1344), "")</f>
        <v/>
      </c>
      <c r="I1344" s="11">
        <f>IFERROR(_xll.ciqfunctions.udf.CIQ(mh_ticker, "IQ_MINORITY_INTEREST", , B1344), "")</f>
        <v/>
      </c>
      <c r="J1344" s="11">
        <f>IFERROR(_xll.ciqfunctions.udf.CIQ(mh_ticker, "IQ_EQUITY_METHOD", , B1344), "")</f>
        <v/>
      </c>
      <c r="K1344" s="11">
        <f>IFERROR(_xll.ciqfunctions.udf.CIQ(mh_ticker, "IQ_LT_Mark_Securities", , B1344), "")</f>
        <v/>
      </c>
      <c r="L1344" s="12">
        <f>IFERROR(C1344*D1344, "")</f>
        <v/>
      </c>
      <c r="M1344" s="12">
        <f>IFERROR(L1344-E1344-F1344+G1344+H1344+I1344-J1344-K1344, "")</f>
        <v/>
      </c>
      <c r="N1344" s="11">
        <f>IFERROR(_xll.ciqfunctions.udf.CIQ(mh_ticker, "IQ_EBITDA_EST", IQ_NTM, B1344, , , "USD"), "")</f>
        <v/>
      </c>
      <c r="O1344" s="13">
        <f>IFERROR(M1344/N1344, "")</f>
        <v/>
      </c>
    </row>
    <row r="1345">
      <c r="B1345" s="8" t="n"/>
      <c r="C1345" s="9">
        <f>IFERROR(_xll.ciqfunctions.udf.CIQ(mh_ticker, "IQ_LASTSALEPRICE", B1345), "")</f>
        <v/>
      </c>
      <c r="D1345" s="10">
        <f>IFERROR(_xll.ciqfunctions.udf.CIQ(mh_ticker, "IQ_SHARESOUTSTANDING_OUT", B1345), "")</f>
        <v/>
      </c>
      <c r="E1345" s="11">
        <f>IFERROR(_xll.ciqfunctions.udf.CIQ(mh_ticker, "IQ_CASH_EQUIV", , B1345), "")</f>
        <v/>
      </c>
      <c r="F1345" s="11">
        <f>IFERROR(_xll.ciqfunctions.udf.CIQ(mh_ticker, "IQ_ST_INVEST", , B1345), "")</f>
        <v/>
      </c>
      <c r="G1345" s="11">
        <f>IFERROR(_xll.ciqfunctions.udf.CIQ(mh_ticker, "IQ_TOTAL_DEBT_EXCL_OPER_LEASES", , B1345), "")</f>
        <v/>
      </c>
      <c r="H1345" s="11">
        <f>IFERROR(_xll.ciqfunctions.udf.CIQ(mh_ticker, "IQ_PREF_EQUITY", , B1345), "")</f>
        <v/>
      </c>
      <c r="I1345" s="11">
        <f>IFERROR(_xll.ciqfunctions.udf.CIQ(mh_ticker, "IQ_MINORITY_INTEREST", , B1345), "")</f>
        <v/>
      </c>
      <c r="J1345" s="11">
        <f>IFERROR(_xll.ciqfunctions.udf.CIQ(mh_ticker, "IQ_EQUITY_METHOD", , B1345), "")</f>
        <v/>
      </c>
      <c r="K1345" s="11">
        <f>IFERROR(_xll.ciqfunctions.udf.CIQ(mh_ticker, "IQ_LT_Mark_Securities", , B1345), "")</f>
        <v/>
      </c>
      <c r="L1345" s="12">
        <f>IFERROR(C1345*D1345, "")</f>
        <v/>
      </c>
      <c r="M1345" s="12">
        <f>IFERROR(L1345-E1345-F1345+G1345+H1345+I1345-J1345-K1345, "")</f>
        <v/>
      </c>
      <c r="N1345" s="11">
        <f>IFERROR(_xll.ciqfunctions.udf.CIQ(mh_ticker, "IQ_EBITDA_EST", IQ_NTM, B1345, , , "USD"), "")</f>
        <v/>
      </c>
      <c r="O1345" s="13">
        <f>IFERROR(M1345/N1345, "")</f>
        <v/>
      </c>
    </row>
    <row r="1346">
      <c r="B1346" s="8" t="n"/>
      <c r="C1346" s="9">
        <f>IFERROR(_xll.ciqfunctions.udf.CIQ(mh_ticker, "IQ_LASTSALEPRICE", B1346), "")</f>
        <v/>
      </c>
      <c r="D1346" s="10">
        <f>IFERROR(_xll.ciqfunctions.udf.CIQ(mh_ticker, "IQ_SHARESOUTSTANDING_OUT", B1346), "")</f>
        <v/>
      </c>
      <c r="E1346" s="11">
        <f>IFERROR(_xll.ciqfunctions.udf.CIQ(mh_ticker, "IQ_CASH_EQUIV", , B1346), "")</f>
        <v/>
      </c>
      <c r="F1346" s="11">
        <f>IFERROR(_xll.ciqfunctions.udf.CIQ(mh_ticker, "IQ_ST_INVEST", , B1346), "")</f>
        <v/>
      </c>
      <c r="G1346" s="11">
        <f>IFERROR(_xll.ciqfunctions.udf.CIQ(mh_ticker, "IQ_TOTAL_DEBT_EXCL_OPER_LEASES", , B1346), "")</f>
        <v/>
      </c>
      <c r="H1346" s="11">
        <f>IFERROR(_xll.ciqfunctions.udf.CIQ(mh_ticker, "IQ_PREF_EQUITY", , B1346), "")</f>
        <v/>
      </c>
      <c r="I1346" s="11">
        <f>IFERROR(_xll.ciqfunctions.udf.CIQ(mh_ticker, "IQ_MINORITY_INTEREST", , B1346), "")</f>
        <v/>
      </c>
      <c r="J1346" s="11">
        <f>IFERROR(_xll.ciqfunctions.udf.CIQ(mh_ticker, "IQ_EQUITY_METHOD", , B1346), "")</f>
        <v/>
      </c>
      <c r="K1346" s="11">
        <f>IFERROR(_xll.ciqfunctions.udf.CIQ(mh_ticker, "IQ_LT_Mark_Securities", , B1346), "")</f>
        <v/>
      </c>
      <c r="L1346" s="12">
        <f>IFERROR(C1346*D1346, "")</f>
        <v/>
      </c>
      <c r="M1346" s="12">
        <f>IFERROR(L1346-E1346-F1346+G1346+H1346+I1346-J1346-K1346, "")</f>
        <v/>
      </c>
      <c r="N1346" s="11">
        <f>IFERROR(_xll.ciqfunctions.udf.CIQ(mh_ticker, "IQ_EBITDA_EST", IQ_NTM, B1346, , , "USD"), "")</f>
        <v/>
      </c>
      <c r="O1346" s="13">
        <f>IFERROR(M1346/N1346, "")</f>
        <v/>
      </c>
    </row>
    <row r="1347">
      <c r="B1347" s="8" t="n"/>
      <c r="C1347" s="9">
        <f>IFERROR(_xll.ciqfunctions.udf.CIQ(mh_ticker, "IQ_LASTSALEPRICE", B1347), "")</f>
        <v/>
      </c>
      <c r="D1347" s="10">
        <f>IFERROR(_xll.ciqfunctions.udf.CIQ(mh_ticker, "IQ_SHARESOUTSTANDING_OUT", B1347), "")</f>
        <v/>
      </c>
      <c r="E1347" s="11">
        <f>IFERROR(_xll.ciqfunctions.udf.CIQ(mh_ticker, "IQ_CASH_EQUIV", , B1347), "")</f>
        <v/>
      </c>
      <c r="F1347" s="11">
        <f>IFERROR(_xll.ciqfunctions.udf.CIQ(mh_ticker, "IQ_ST_INVEST", , B1347), "")</f>
        <v/>
      </c>
      <c r="G1347" s="11">
        <f>IFERROR(_xll.ciqfunctions.udf.CIQ(mh_ticker, "IQ_TOTAL_DEBT_EXCL_OPER_LEASES", , B1347), "")</f>
        <v/>
      </c>
      <c r="H1347" s="11">
        <f>IFERROR(_xll.ciqfunctions.udf.CIQ(mh_ticker, "IQ_PREF_EQUITY", , B1347), "")</f>
        <v/>
      </c>
      <c r="I1347" s="11">
        <f>IFERROR(_xll.ciqfunctions.udf.CIQ(mh_ticker, "IQ_MINORITY_INTEREST", , B1347), "")</f>
        <v/>
      </c>
      <c r="J1347" s="11">
        <f>IFERROR(_xll.ciqfunctions.udf.CIQ(mh_ticker, "IQ_EQUITY_METHOD", , B1347), "")</f>
        <v/>
      </c>
      <c r="K1347" s="11">
        <f>IFERROR(_xll.ciqfunctions.udf.CIQ(mh_ticker, "IQ_LT_Mark_Securities", , B1347), "")</f>
        <v/>
      </c>
      <c r="L1347" s="12">
        <f>IFERROR(C1347*D1347, "")</f>
        <v/>
      </c>
      <c r="M1347" s="12">
        <f>IFERROR(L1347-E1347-F1347+G1347+H1347+I1347-J1347-K1347, "")</f>
        <v/>
      </c>
      <c r="N1347" s="11">
        <f>IFERROR(_xll.ciqfunctions.udf.CIQ(mh_ticker, "IQ_EBITDA_EST", IQ_NTM, B1347, , , "USD"), "")</f>
        <v/>
      </c>
      <c r="O1347" s="13">
        <f>IFERROR(M1347/N1347, "")</f>
        <v/>
      </c>
    </row>
    <row r="1348">
      <c r="B1348" s="8" t="n"/>
      <c r="C1348" s="9">
        <f>IFERROR(_xll.ciqfunctions.udf.CIQ(mh_ticker, "IQ_LASTSALEPRICE", B1348), "")</f>
        <v/>
      </c>
      <c r="D1348" s="10">
        <f>IFERROR(_xll.ciqfunctions.udf.CIQ(mh_ticker, "IQ_SHARESOUTSTANDING_OUT", B1348), "")</f>
        <v/>
      </c>
      <c r="E1348" s="11">
        <f>IFERROR(_xll.ciqfunctions.udf.CIQ(mh_ticker, "IQ_CASH_EQUIV", , B1348), "")</f>
        <v/>
      </c>
      <c r="F1348" s="11">
        <f>IFERROR(_xll.ciqfunctions.udf.CIQ(mh_ticker, "IQ_ST_INVEST", , B1348), "")</f>
        <v/>
      </c>
      <c r="G1348" s="11">
        <f>IFERROR(_xll.ciqfunctions.udf.CIQ(mh_ticker, "IQ_TOTAL_DEBT_EXCL_OPER_LEASES", , B1348), "")</f>
        <v/>
      </c>
      <c r="H1348" s="11">
        <f>IFERROR(_xll.ciqfunctions.udf.CIQ(mh_ticker, "IQ_PREF_EQUITY", , B1348), "")</f>
        <v/>
      </c>
      <c r="I1348" s="11">
        <f>IFERROR(_xll.ciqfunctions.udf.CIQ(mh_ticker, "IQ_MINORITY_INTEREST", , B1348), "")</f>
        <v/>
      </c>
      <c r="J1348" s="11">
        <f>IFERROR(_xll.ciqfunctions.udf.CIQ(mh_ticker, "IQ_EQUITY_METHOD", , B1348), "")</f>
        <v/>
      </c>
      <c r="K1348" s="11">
        <f>IFERROR(_xll.ciqfunctions.udf.CIQ(mh_ticker, "IQ_LT_Mark_Securities", , B1348), "")</f>
        <v/>
      </c>
      <c r="L1348" s="12">
        <f>IFERROR(C1348*D1348, "")</f>
        <v/>
      </c>
      <c r="M1348" s="12">
        <f>IFERROR(L1348-E1348-F1348+G1348+H1348+I1348-J1348-K1348, "")</f>
        <v/>
      </c>
      <c r="N1348" s="11">
        <f>IFERROR(_xll.ciqfunctions.udf.CIQ(mh_ticker, "IQ_EBITDA_EST", IQ_NTM, B1348, , , "USD"), "")</f>
        <v/>
      </c>
      <c r="O1348" s="13">
        <f>IFERROR(M1348/N1348, "")</f>
        <v/>
      </c>
    </row>
    <row r="1349">
      <c r="B1349" s="8" t="n"/>
      <c r="C1349" s="9">
        <f>IFERROR(_xll.ciqfunctions.udf.CIQ(mh_ticker, "IQ_LASTSALEPRICE", B1349), "")</f>
        <v/>
      </c>
      <c r="D1349" s="10">
        <f>IFERROR(_xll.ciqfunctions.udf.CIQ(mh_ticker, "IQ_SHARESOUTSTANDING_OUT", B1349), "")</f>
        <v/>
      </c>
      <c r="E1349" s="11">
        <f>IFERROR(_xll.ciqfunctions.udf.CIQ(mh_ticker, "IQ_CASH_EQUIV", , B1349), "")</f>
        <v/>
      </c>
      <c r="F1349" s="11">
        <f>IFERROR(_xll.ciqfunctions.udf.CIQ(mh_ticker, "IQ_ST_INVEST", , B1349), "")</f>
        <v/>
      </c>
      <c r="G1349" s="11">
        <f>IFERROR(_xll.ciqfunctions.udf.CIQ(mh_ticker, "IQ_TOTAL_DEBT_EXCL_OPER_LEASES", , B1349), "")</f>
        <v/>
      </c>
      <c r="H1349" s="11">
        <f>IFERROR(_xll.ciqfunctions.udf.CIQ(mh_ticker, "IQ_PREF_EQUITY", , B1349), "")</f>
        <v/>
      </c>
      <c r="I1349" s="11">
        <f>IFERROR(_xll.ciqfunctions.udf.CIQ(mh_ticker, "IQ_MINORITY_INTEREST", , B1349), "")</f>
        <v/>
      </c>
      <c r="J1349" s="11">
        <f>IFERROR(_xll.ciqfunctions.udf.CIQ(mh_ticker, "IQ_EQUITY_METHOD", , B1349), "")</f>
        <v/>
      </c>
      <c r="K1349" s="11">
        <f>IFERROR(_xll.ciqfunctions.udf.CIQ(mh_ticker, "IQ_LT_Mark_Securities", , B1349), "")</f>
        <v/>
      </c>
      <c r="L1349" s="12">
        <f>IFERROR(C1349*D1349, "")</f>
        <v/>
      </c>
      <c r="M1349" s="12">
        <f>IFERROR(L1349-E1349-F1349+G1349+H1349+I1349-J1349-K1349, "")</f>
        <v/>
      </c>
      <c r="N1349" s="11">
        <f>IFERROR(_xll.ciqfunctions.udf.CIQ(mh_ticker, "IQ_EBITDA_EST", IQ_NTM, B1349, , , "USD"), "")</f>
        <v/>
      </c>
      <c r="O1349" s="13">
        <f>IFERROR(M1349/N1349, "")</f>
        <v/>
      </c>
    </row>
    <row r="1350">
      <c r="B1350" s="8" t="n"/>
      <c r="C1350" s="9">
        <f>IFERROR(_xll.ciqfunctions.udf.CIQ(mh_ticker, "IQ_LASTSALEPRICE", B1350), "")</f>
        <v/>
      </c>
      <c r="D1350" s="10">
        <f>IFERROR(_xll.ciqfunctions.udf.CIQ(mh_ticker, "IQ_SHARESOUTSTANDING_OUT", B1350), "")</f>
        <v/>
      </c>
      <c r="E1350" s="11">
        <f>IFERROR(_xll.ciqfunctions.udf.CIQ(mh_ticker, "IQ_CASH_EQUIV", , B1350), "")</f>
        <v/>
      </c>
      <c r="F1350" s="11">
        <f>IFERROR(_xll.ciqfunctions.udf.CIQ(mh_ticker, "IQ_ST_INVEST", , B1350), "")</f>
        <v/>
      </c>
      <c r="G1350" s="11">
        <f>IFERROR(_xll.ciqfunctions.udf.CIQ(mh_ticker, "IQ_TOTAL_DEBT_EXCL_OPER_LEASES", , B1350), "")</f>
        <v/>
      </c>
      <c r="H1350" s="11">
        <f>IFERROR(_xll.ciqfunctions.udf.CIQ(mh_ticker, "IQ_PREF_EQUITY", , B1350), "")</f>
        <v/>
      </c>
      <c r="I1350" s="11">
        <f>IFERROR(_xll.ciqfunctions.udf.CIQ(mh_ticker, "IQ_MINORITY_INTEREST", , B1350), "")</f>
        <v/>
      </c>
      <c r="J1350" s="11">
        <f>IFERROR(_xll.ciqfunctions.udf.CIQ(mh_ticker, "IQ_EQUITY_METHOD", , B1350), "")</f>
        <v/>
      </c>
      <c r="K1350" s="11">
        <f>IFERROR(_xll.ciqfunctions.udf.CIQ(mh_ticker, "IQ_LT_Mark_Securities", , B1350), "")</f>
        <v/>
      </c>
      <c r="L1350" s="12">
        <f>IFERROR(C1350*D1350, "")</f>
        <v/>
      </c>
      <c r="M1350" s="12">
        <f>IFERROR(L1350-E1350-F1350+G1350+H1350+I1350-J1350-K1350, "")</f>
        <v/>
      </c>
      <c r="N1350" s="11">
        <f>IFERROR(_xll.ciqfunctions.udf.CIQ(mh_ticker, "IQ_EBITDA_EST", IQ_NTM, B1350, , , "USD"), "")</f>
        <v/>
      </c>
      <c r="O1350" s="13">
        <f>IFERROR(M1350/N1350, "")</f>
        <v/>
      </c>
    </row>
    <row r="1351">
      <c r="B1351" s="8" t="n"/>
      <c r="C1351" s="9">
        <f>IFERROR(_xll.ciqfunctions.udf.CIQ(mh_ticker, "IQ_LASTSALEPRICE", B1351), "")</f>
        <v/>
      </c>
      <c r="D1351" s="10">
        <f>IFERROR(_xll.ciqfunctions.udf.CIQ(mh_ticker, "IQ_SHARESOUTSTANDING_OUT", B1351), "")</f>
        <v/>
      </c>
      <c r="E1351" s="11">
        <f>IFERROR(_xll.ciqfunctions.udf.CIQ(mh_ticker, "IQ_CASH_EQUIV", , B1351), "")</f>
        <v/>
      </c>
      <c r="F1351" s="11">
        <f>IFERROR(_xll.ciqfunctions.udf.CIQ(mh_ticker, "IQ_ST_INVEST", , B1351), "")</f>
        <v/>
      </c>
      <c r="G1351" s="11">
        <f>IFERROR(_xll.ciqfunctions.udf.CIQ(mh_ticker, "IQ_TOTAL_DEBT_EXCL_OPER_LEASES", , B1351), "")</f>
        <v/>
      </c>
      <c r="H1351" s="11">
        <f>IFERROR(_xll.ciqfunctions.udf.CIQ(mh_ticker, "IQ_PREF_EQUITY", , B1351), "")</f>
        <v/>
      </c>
      <c r="I1351" s="11">
        <f>IFERROR(_xll.ciqfunctions.udf.CIQ(mh_ticker, "IQ_MINORITY_INTEREST", , B1351), "")</f>
        <v/>
      </c>
      <c r="J1351" s="11">
        <f>IFERROR(_xll.ciqfunctions.udf.CIQ(mh_ticker, "IQ_EQUITY_METHOD", , B1351), "")</f>
        <v/>
      </c>
      <c r="K1351" s="11">
        <f>IFERROR(_xll.ciqfunctions.udf.CIQ(mh_ticker, "IQ_LT_Mark_Securities", , B1351), "")</f>
        <v/>
      </c>
      <c r="L1351" s="12">
        <f>IFERROR(C1351*D1351, "")</f>
        <v/>
      </c>
      <c r="M1351" s="12">
        <f>IFERROR(L1351-E1351-F1351+G1351+H1351+I1351-J1351-K1351, "")</f>
        <v/>
      </c>
      <c r="N1351" s="11">
        <f>IFERROR(_xll.ciqfunctions.udf.CIQ(mh_ticker, "IQ_EBITDA_EST", IQ_NTM, B1351, , , "USD"), "")</f>
        <v/>
      </c>
      <c r="O1351" s="13">
        <f>IFERROR(M1351/N1351, "")</f>
        <v/>
      </c>
    </row>
    <row r="1352">
      <c r="B1352" s="8" t="n"/>
      <c r="C1352" s="9">
        <f>IFERROR(_xll.ciqfunctions.udf.CIQ(mh_ticker, "IQ_LASTSALEPRICE", B1352), "")</f>
        <v/>
      </c>
      <c r="D1352" s="10">
        <f>IFERROR(_xll.ciqfunctions.udf.CIQ(mh_ticker, "IQ_SHARESOUTSTANDING_OUT", B1352), "")</f>
        <v/>
      </c>
      <c r="E1352" s="11">
        <f>IFERROR(_xll.ciqfunctions.udf.CIQ(mh_ticker, "IQ_CASH_EQUIV", , B1352), "")</f>
        <v/>
      </c>
      <c r="F1352" s="11">
        <f>IFERROR(_xll.ciqfunctions.udf.CIQ(mh_ticker, "IQ_ST_INVEST", , B1352), "")</f>
        <v/>
      </c>
      <c r="G1352" s="11">
        <f>IFERROR(_xll.ciqfunctions.udf.CIQ(mh_ticker, "IQ_TOTAL_DEBT_EXCL_OPER_LEASES", , B1352), "")</f>
        <v/>
      </c>
      <c r="H1352" s="11">
        <f>IFERROR(_xll.ciqfunctions.udf.CIQ(mh_ticker, "IQ_PREF_EQUITY", , B1352), "")</f>
        <v/>
      </c>
      <c r="I1352" s="11">
        <f>IFERROR(_xll.ciqfunctions.udf.CIQ(mh_ticker, "IQ_MINORITY_INTEREST", , B1352), "")</f>
        <v/>
      </c>
      <c r="J1352" s="11">
        <f>IFERROR(_xll.ciqfunctions.udf.CIQ(mh_ticker, "IQ_EQUITY_METHOD", , B1352), "")</f>
        <v/>
      </c>
      <c r="K1352" s="11">
        <f>IFERROR(_xll.ciqfunctions.udf.CIQ(mh_ticker, "IQ_LT_Mark_Securities", , B1352), "")</f>
        <v/>
      </c>
      <c r="L1352" s="12">
        <f>IFERROR(C1352*D1352, "")</f>
        <v/>
      </c>
      <c r="M1352" s="12">
        <f>IFERROR(L1352-E1352-F1352+G1352+H1352+I1352-J1352-K1352, "")</f>
        <v/>
      </c>
      <c r="N1352" s="11">
        <f>IFERROR(_xll.ciqfunctions.udf.CIQ(mh_ticker, "IQ_EBITDA_EST", IQ_NTM, B1352, , , "USD"), "")</f>
        <v/>
      </c>
      <c r="O1352" s="13">
        <f>IFERROR(M1352/N1352, "")</f>
        <v/>
      </c>
    </row>
    <row r="1353">
      <c r="B1353" s="8" t="n"/>
      <c r="C1353" s="9">
        <f>IFERROR(_xll.ciqfunctions.udf.CIQ(mh_ticker, "IQ_LASTSALEPRICE", B1353), "")</f>
        <v/>
      </c>
      <c r="D1353" s="10">
        <f>IFERROR(_xll.ciqfunctions.udf.CIQ(mh_ticker, "IQ_SHARESOUTSTANDING_OUT", B1353), "")</f>
        <v/>
      </c>
      <c r="E1353" s="11">
        <f>IFERROR(_xll.ciqfunctions.udf.CIQ(mh_ticker, "IQ_CASH_EQUIV", , B1353), "")</f>
        <v/>
      </c>
      <c r="F1353" s="11">
        <f>IFERROR(_xll.ciqfunctions.udf.CIQ(mh_ticker, "IQ_ST_INVEST", , B1353), "")</f>
        <v/>
      </c>
      <c r="G1353" s="11">
        <f>IFERROR(_xll.ciqfunctions.udf.CIQ(mh_ticker, "IQ_TOTAL_DEBT_EXCL_OPER_LEASES", , B1353), "")</f>
        <v/>
      </c>
      <c r="H1353" s="11">
        <f>IFERROR(_xll.ciqfunctions.udf.CIQ(mh_ticker, "IQ_PREF_EQUITY", , B1353), "")</f>
        <v/>
      </c>
      <c r="I1353" s="11">
        <f>IFERROR(_xll.ciqfunctions.udf.CIQ(mh_ticker, "IQ_MINORITY_INTEREST", , B1353), "")</f>
        <v/>
      </c>
      <c r="J1353" s="11">
        <f>IFERROR(_xll.ciqfunctions.udf.CIQ(mh_ticker, "IQ_EQUITY_METHOD", , B1353), "")</f>
        <v/>
      </c>
      <c r="K1353" s="11">
        <f>IFERROR(_xll.ciqfunctions.udf.CIQ(mh_ticker, "IQ_LT_Mark_Securities", , B1353), "")</f>
        <v/>
      </c>
      <c r="L1353" s="12">
        <f>IFERROR(C1353*D1353, "")</f>
        <v/>
      </c>
      <c r="M1353" s="12">
        <f>IFERROR(L1353-E1353-F1353+G1353+H1353+I1353-J1353-K1353, "")</f>
        <v/>
      </c>
      <c r="N1353" s="11">
        <f>IFERROR(_xll.ciqfunctions.udf.CIQ(mh_ticker, "IQ_EBITDA_EST", IQ_NTM, B1353, , , "USD"), "")</f>
        <v/>
      </c>
      <c r="O1353" s="13">
        <f>IFERROR(M1353/N1353, "")</f>
        <v/>
      </c>
    </row>
    <row r="1354">
      <c r="B1354" s="8" t="n"/>
      <c r="C1354" s="9">
        <f>IFERROR(_xll.ciqfunctions.udf.CIQ(mh_ticker, "IQ_LASTSALEPRICE", B1354), "")</f>
        <v/>
      </c>
      <c r="D1354" s="10">
        <f>IFERROR(_xll.ciqfunctions.udf.CIQ(mh_ticker, "IQ_SHARESOUTSTANDING_OUT", B1354), "")</f>
        <v/>
      </c>
      <c r="E1354" s="11">
        <f>IFERROR(_xll.ciqfunctions.udf.CIQ(mh_ticker, "IQ_CASH_EQUIV", , B1354), "")</f>
        <v/>
      </c>
      <c r="F1354" s="11">
        <f>IFERROR(_xll.ciqfunctions.udf.CIQ(mh_ticker, "IQ_ST_INVEST", , B1354), "")</f>
        <v/>
      </c>
      <c r="G1354" s="11">
        <f>IFERROR(_xll.ciqfunctions.udf.CIQ(mh_ticker, "IQ_TOTAL_DEBT_EXCL_OPER_LEASES", , B1354), "")</f>
        <v/>
      </c>
      <c r="H1354" s="11">
        <f>IFERROR(_xll.ciqfunctions.udf.CIQ(mh_ticker, "IQ_PREF_EQUITY", , B1354), "")</f>
        <v/>
      </c>
      <c r="I1354" s="11">
        <f>IFERROR(_xll.ciqfunctions.udf.CIQ(mh_ticker, "IQ_MINORITY_INTEREST", , B1354), "")</f>
        <v/>
      </c>
      <c r="J1354" s="11">
        <f>IFERROR(_xll.ciqfunctions.udf.CIQ(mh_ticker, "IQ_EQUITY_METHOD", , B1354), "")</f>
        <v/>
      </c>
      <c r="K1354" s="11">
        <f>IFERROR(_xll.ciqfunctions.udf.CIQ(mh_ticker, "IQ_LT_Mark_Securities", , B1354), "")</f>
        <v/>
      </c>
      <c r="L1354" s="12">
        <f>IFERROR(C1354*D1354, "")</f>
        <v/>
      </c>
      <c r="M1354" s="12">
        <f>IFERROR(L1354-E1354-F1354+G1354+H1354+I1354-J1354-K1354, "")</f>
        <v/>
      </c>
      <c r="N1354" s="11">
        <f>IFERROR(_xll.ciqfunctions.udf.CIQ(mh_ticker, "IQ_EBITDA_EST", IQ_NTM, B1354, , , "USD"), "")</f>
        <v/>
      </c>
      <c r="O1354" s="13">
        <f>IFERROR(M1354/N1354, "")</f>
        <v/>
      </c>
    </row>
    <row r="1355">
      <c r="B1355" s="8" t="n"/>
      <c r="C1355" s="9">
        <f>IFERROR(_xll.ciqfunctions.udf.CIQ(mh_ticker, "IQ_LASTSALEPRICE", B1355), "")</f>
        <v/>
      </c>
      <c r="D1355" s="10">
        <f>IFERROR(_xll.ciqfunctions.udf.CIQ(mh_ticker, "IQ_SHARESOUTSTANDING_OUT", B1355), "")</f>
        <v/>
      </c>
      <c r="E1355" s="11">
        <f>IFERROR(_xll.ciqfunctions.udf.CIQ(mh_ticker, "IQ_CASH_EQUIV", , B1355), "")</f>
        <v/>
      </c>
      <c r="F1355" s="11">
        <f>IFERROR(_xll.ciqfunctions.udf.CIQ(mh_ticker, "IQ_ST_INVEST", , B1355), "")</f>
        <v/>
      </c>
      <c r="G1355" s="11">
        <f>IFERROR(_xll.ciqfunctions.udf.CIQ(mh_ticker, "IQ_TOTAL_DEBT_EXCL_OPER_LEASES", , B1355), "")</f>
        <v/>
      </c>
      <c r="H1355" s="11">
        <f>IFERROR(_xll.ciqfunctions.udf.CIQ(mh_ticker, "IQ_PREF_EQUITY", , B1355), "")</f>
        <v/>
      </c>
      <c r="I1355" s="11">
        <f>IFERROR(_xll.ciqfunctions.udf.CIQ(mh_ticker, "IQ_MINORITY_INTEREST", , B1355), "")</f>
        <v/>
      </c>
      <c r="J1355" s="11">
        <f>IFERROR(_xll.ciqfunctions.udf.CIQ(mh_ticker, "IQ_EQUITY_METHOD", , B1355), "")</f>
        <v/>
      </c>
      <c r="K1355" s="11">
        <f>IFERROR(_xll.ciqfunctions.udf.CIQ(mh_ticker, "IQ_LT_Mark_Securities", , B1355), "")</f>
        <v/>
      </c>
      <c r="L1355" s="12">
        <f>IFERROR(C1355*D1355, "")</f>
        <v/>
      </c>
      <c r="M1355" s="12">
        <f>IFERROR(L1355-E1355-F1355+G1355+H1355+I1355-J1355-K1355, "")</f>
        <v/>
      </c>
      <c r="N1355" s="11">
        <f>IFERROR(_xll.ciqfunctions.udf.CIQ(mh_ticker, "IQ_EBITDA_EST", IQ_NTM, B1355, , , "USD"), "")</f>
        <v/>
      </c>
      <c r="O1355" s="13">
        <f>IFERROR(M1355/N1355, "")</f>
        <v/>
      </c>
    </row>
    <row r="1356">
      <c r="B1356" s="8" t="n"/>
      <c r="C1356" s="9">
        <f>IFERROR(_xll.ciqfunctions.udf.CIQ(mh_ticker, "IQ_LASTSALEPRICE", B1356), "")</f>
        <v/>
      </c>
      <c r="D1356" s="10">
        <f>IFERROR(_xll.ciqfunctions.udf.CIQ(mh_ticker, "IQ_SHARESOUTSTANDING_OUT", B1356), "")</f>
        <v/>
      </c>
      <c r="E1356" s="11">
        <f>IFERROR(_xll.ciqfunctions.udf.CIQ(mh_ticker, "IQ_CASH_EQUIV", , B1356), "")</f>
        <v/>
      </c>
      <c r="F1356" s="11">
        <f>IFERROR(_xll.ciqfunctions.udf.CIQ(mh_ticker, "IQ_ST_INVEST", , B1356), "")</f>
        <v/>
      </c>
      <c r="G1356" s="11">
        <f>IFERROR(_xll.ciqfunctions.udf.CIQ(mh_ticker, "IQ_TOTAL_DEBT_EXCL_OPER_LEASES", , B1356), "")</f>
        <v/>
      </c>
      <c r="H1356" s="11">
        <f>IFERROR(_xll.ciqfunctions.udf.CIQ(mh_ticker, "IQ_PREF_EQUITY", , B1356), "")</f>
        <v/>
      </c>
      <c r="I1356" s="11">
        <f>IFERROR(_xll.ciqfunctions.udf.CIQ(mh_ticker, "IQ_MINORITY_INTEREST", , B1356), "")</f>
        <v/>
      </c>
      <c r="J1356" s="11">
        <f>IFERROR(_xll.ciqfunctions.udf.CIQ(mh_ticker, "IQ_EQUITY_METHOD", , B1356), "")</f>
        <v/>
      </c>
      <c r="K1356" s="11">
        <f>IFERROR(_xll.ciqfunctions.udf.CIQ(mh_ticker, "IQ_LT_Mark_Securities", , B1356), "")</f>
        <v/>
      </c>
      <c r="L1356" s="12">
        <f>IFERROR(C1356*D1356, "")</f>
        <v/>
      </c>
      <c r="M1356" s="12">
        <f>IFERROR(L1356-E1356-F1356+G1356+H1356+I1356-J1356-K1356, "")</f>
        <v/>
      </c>
      <c r="N1356" s="11">
        <f>IFERROR(_xll.ciqfunctions.udf.CIQ(mh_ticker, "IQ_EBITDA_EST", IQ_NTM, B1356, , , "USD"), "")</f>
        <v/>
      </c>
      <c r="O1356" s="13">
        <f>IFERROR(M1356/N1356, "")</f>
        <v/>
      </c>
    </row>
    <row r="1357">
      <c r="B1357" s="8" t="n"/>
      <c r="C1357" s="9">
        <f>IFERROR(_xll.ciqfunctions.udf.CIQ(mh_ticker, "IQ_LASTSALEPRICE", B1357), "")</f>
        <v/>
      </c>
      <c r="D1357" s="10">
        <f>IFERROR(_xll.ciqfunctions.udf.CIQ(mh_ticker, "IQ_SHARESOUTSTANDING_OUT", B1357), "")</f>
        <v/>
      </c>
      <c r="E1357" s="11">
        <f>IFERROR(_xll.ciqfunctions.udf.CIQ(mh_ticker, "IQ_CASH_EQUIV", , B1357), "")</f>
        <v/>
      </c>
      <c r="F1357" s="11">
        <f>IFERROR(_xll.ciqfunctions.udf.CIQ(mh_ticker, "IQ_ST_INVEST", , B1357), "")</f>
        <v/>
      </c>
      <c r="G1357" s="11">
        <f>IFERROR(_xll.ciqfunctions.udf.CIQ(mh_ticker, "IQ_TOTAL_DEBT_EXCL_OPER_LEASES", , B1357), "")</f>
        <v/>
      </c>
      <c r="H1357" s="11">
        <f>IFERROR(_xll.ciqfunctions.udf.CIQ(mh_ticker, "IQ_PREF_EQUITY", , B1357), "")</f>
        <v/>
      </c>
      <c r="I1357" s="11">
        <f>IFERROR(_xll.ciqfunctions.udf.CIQ(mh_ticker, "IQ_MINORITY_INTEREST", , B1357), "")</f>
        <v/>
      </c>
      <c r="J1357" s="11">
        <f>IFERROR(_xll.ciqfunctions.udf.CIQ(mh_ticker, "IQ_EQUITY_METHOD", , B1357), "")</f>
        <v/>
      </c>
      <c r="K1357" s="11">
        <f>IFERROR(_xll.ciqfunctions.udf.CIQ(mh_ticker, "IQ_LT_Mark_Securities", , B1357), "")</f>
        <v/>
      </c>
      <c r="L1357" s="12">
        <f>IFERROR(C1357*D1357, "")</f>
        <v/>
      </c>
      <c r="M1357" s="12">
        <f>IFERROR(L1357-E1357-F1357+G1357+H1357+I1357-J1357-K1357, "")</f>
        <v/>
      </c>
      <c r="N1357" s="11">
        <f>IFERROR(_xll.ciqfunctions.udf.CIQ(mh_ticker, "IQ_EBITDA_EST", IQ_NTM, B1357, , , "USD"), "")</f>
        <v/>
      </c>
      <c r="O1357" s="13">
        <f>IFERROR(M1357/N1357, "")</f>
        <v/>
      </c>
    </row>
    <row r="1358">
      <c r="B1358" s="8" t="n"/>
      <c r="C1358" s="9">
        <f>IFERROR(_xll.ciqfunctions.udf.CIQ(mh_ticker, "IQ_LASTSALEPRICE", B1358), "")</f>
        <v/>
      </c>
      <c r="D1358" s="10">
        <f>IFERROR(_xll.ciqfunctions.udf.CIQ(mh_ticker, "IQ_SHARESOUTSTANDING_OUT", B1358), "")</f>
        <v/>
      </c>
      <c r="E1358" s="11">
        <f>IFERROR(_xll.ciqfunctions.udf.CIQ(mh_ticker, "IQ_CASH_EQUIV", , B1358), "")</f>
        <v/>
      </c>
      <c r="F1358" s="11">
        <f>IFERROR(_xll.ciqfunctions.udf.CIQ(mh_ticker, "IQ_ST_INVEST", , B1358), "")</f>
        <v/>
      </c>
      <c r="G1358" s="11">
        <f>IFERROR(_xll.ciqfunctions.udf.CIQ(mh_ticker, "IQ_TOTAL_DEBT_EXCL_OPER_LEASES", , B1358), "")</f>
        <v/>
      </c>
      <c r="H1358" s="11">
        <f>IFERROR(_xll.ciqfunctions.udf.CIQ(mh_ticker, "IQ_PREF_EQUITY", , B1358), "")</f>
        <v/>
      </c>
      <c r="I1358" s="11">
        <f>IFERROR(_xll.ciqfunctions.udf.CIQ(mh_ticker, "IQ_MINORITY_INTEREST", , B1358), "")</f>
        <v/>
      </c>
      <c r="J1358" s="11">
        <f>IFERROR(_xll.ciqfunctions.udf.CIQ(mh_ticker, "IQ_EQUITY_METHOD", , B1358), "")</f>
        <v/>
      </c>
      <c r="K1358" s="11">
        <f>IFERROR(_xll.ciqfunctions.udf.CIQ(mh_ticker, "IQ_LT_Mark_Securities", , B1358), "")</f>
        <v/>
      </c>
      <c r="L1358" s="12">
        <f>IFERROR(C1358*D1358, "")</f>
        <v/>
      </c>
      <c r="M1358" s="12">
        <f>IFERROR(L1358-E1358-F1358+G1358+H1358+I1358-J1358-K1358, "")</f>
        <v/>
      </c>
      <c r="N1358" s="11">
        <f>IFERROR(_xll.ciqfunctions.udf.CIQ(mh_ticker, "IQ_EBITDA_EST", IQ_NTM, B1358, , , "USD"), "")</f>
        <v/>
      </c>
      <c r="O1358" s="13">
        <f>IFERROR(M1358/N1358, "")</f>
        <v/>
      </c>
    </row>
    <row r="1359">
      <c r="B1359" s="8" t="n"/>
      <c r="C1359" s="9">
        <f>IFERROR(_xll.ciqfunctions.udf.CIQ(mh_ticker, "IQ_LASTSALEPRICE", B1359), "")</f>
        <v/>
      </c>
      <c r="D1359" s="10">
        <f>IFERROR(_xll.ciqfunctions.udf.CIQ(mh_ticker, "IQ_SHARESOUTSTANDING_OUT", B1359), "")</f>
        <v/>
      </c>
      <c r="E1359" s="11">
        <f>IFERROR(_xll.ciqfunctions.udf.CIQ(mh_ticker, "IQ_CASH_EQUIV", , B1359), "")</f>
        <v/>
      </c>
      <c r="F1359" s="11">
        <f>IFERROR(_xll.ciqfunctions.udf.CIQ(mh_ticker, "IQ_ST_INVEST", , B1359), "")</f>
        <v/>
      </c>
      <c r="G1359" s="11">
        <f>IFERROR(_xll.ciqfunctions.udf.CIQ(mh_ticker, "IQ_TOTAL_DEBT_EXCL_OPER_LEASES", , B1359), "")</f>
        <v/>
      </c>
      <c r="H1359" s="11">
        <f>IFERROR(_xll.ciqfunctions.udf.CIQ(mh_ticker, "IQ_PREF_EQUITY", , B1359), "")</f>
        <v/>
      </c>
      <c r="I1359" s="11">
        <f>IFERROR(_xll.ciqfunctions.udf.CIQ(mh_ticker, "IQ_MINORITY_INTEREST", , B1359), "")</f>
        <v/>
      </c>
      <c r="J1359" s="11">
        <f>IFERROR(_xll.ciqfunctions.udf.CIQ(mh_ticker, "IQ_EQUITY_METHOD", , B1359), "")</f>
        <v/>
      </c>
      <c r="K1359" s="11">
        <f>IFERROR(_xll.ciqfunctions.udf.CIQ(mh_ticker, "IQ_LT_Mark_Securities", , B1359), "")</f>
        <v/>
      </c>
      <c r="L1359" s="12">
        <f>IFERROR(C1359*D1359, "")</f>
        <v/>
      </c>
      <c r="M1359" s="12">
        <f>IFERROR(L1359-E1359-F1359+G1359+H1359+I1359-J1359-K1359, "")</f>
        <v/>
      </c>
      <c r="N1359" s="11">
        <f>IFERROR(_xll.ciqfunctions.udf.CIQ(mh_ticker, "IQ_EBITDA_EST", IQ_NTM, B1359, , , "USD"), "")</f>
        <v/>
      </c>
      <c r="O1359" s="13">
        <f>IFERROR(M1359/N1359, "")</f>
        <v/>
      </c>
    </row>
    <row r="1360">
      <c r="B1360" s="8" t="n"/>
      <c r="C1360" s="9">
        <f>IFERROR(_xll.ciqfunctions.udf.CIQ(mh_ticker, "IQ_LASTSALEPRICE", B1360), "")</f>
        <v/>
      </c>
      <c r="D1360" s="10">
        <f>IFERROR(_xll.ciqfunctions.udf.CIQ(mh_ticker, "IQ_SHARESOUTSTANDING_OUT", B1360), "")</f>
        <v/>
      </c>
      <c r="E1360" s="11">
        <f>IFERROR(_xll.ciqfunctions.udf.CIQ(mh_ticker, "IQ_CASH_EQUIV", , B1360), "")</f>
        <v/>
      </c>
      <c r="F1360" s="11">
        <f>IFERROR(_xll.ciqfunctions.udf.CIQ(mh_ticker, "IQ_ST_INVEST", , B1360), "")</f>
        <v/>
      </c>
      <c r="G1360" s="11">
        <f>IFERROR(_xll.ciqfunctions.udf.CIQ(mh_ticker, "IQ_TOTAL_DEBT_EXCL_OPER_LEASES", , B1360), "")</f>
        <v/>
      </c>
      <c r="H1360" s="11">
        <f>IFERROR(_xll.ciqfunctions.udf.CIQ(mh_ticker, "IQ_PREF_EQUITY", , B1360), "")</f>
        <v/>
      </c>
      <c r="I1360" s="11">
        <f>IFERROR(_xll.ciqfunctions.udf.CIQ(mh_ticker, "IQ_MINORITY_INTEREST", , B1360), "")</f>
        <v/>
      </c>
      <c r="J1360" s="11">
        <f>IFERROR(_xll.ciqfunctions.udf.CIQ(mh_ticker, "IQ_EQUITY_METHOD", , B1360), "")</f>
        <v/>
      </c>
      <c r="K1360" s="11">
        <f>IFERROR(_xll.ciqfunctions.udf.CIQ(mh_ticker, "IQ_LT_Mark_Securities", , B1360), "")</f>
        <v/>
      </c>
      <c r="L1360" s="12">
        <f>IFERROR(C1360*D1360, "")</f>
        <v/>
      </c>
      <c r="M1360" s="12">
        <f>IFERROR(L1360-E1360-F1360+G1360+H1360+I1360-J1360-K1360, "")</f>
        <v/>
      </c>
      <c r="N1360" s="11">
        <f>IFERROR(_xll.ciqfunctions.udf.CIQ(mh_ticker, "IQ_EBITDA_EST", IQ_NTM, B1360, , , "USD"), "")</f>
        <v/>
      </c>
      <c r="O1360" s="13">
        <f>IFERROR(M1360/N1360, "")</f>
        <v/>
      </c>
    </row>
    <row r="1361">
      <c r="B1361" s="8" t="n"/>
      <c r="C1361" s="9">
        <f>IFERROR(_xll.ciqfunctions.udf.CIQ(mh_ticker, "IQ_LASTSALEPRICE", B1361), "")</f>
        <v/>
      </c>
      <c r="D1361" s="10">
        <f>IFERROR(_xll.ciqfunctions.udf.CIQ(mh_ticker, "IQ_SHARESOUTSTANDING_OUT", B1361), "")</f>
        <v/>
      </c>
      <c r="E1361" s="11">
        <f>IFERROR(_xll.ciqfunctions.udf.CIQ(mh_ticker, "IQ_CASH_EQUIV", , B1361), "")</f>
        <v/>
      </c>
      <c r="F1361" s="11">
        <f>IFERROR(_xll.ciqfunctions.udf.CIQ(mh_ticker, "IQ_ST_INVEST", , B1361), "")</f>
        <v/>
      </c>
      <c r="G1361" s="11">
        <f>IFERROR(_xll.ciqfunctions.udf.CIQ(mh_ticker, "IQ_TOTAL_DEBT_EXCL_OPER_LEASES", , B1361), "")</f>
        <v/>
      </c>
      <c r="H1361" s="11">
        <f>IFERROR(_xll.ciqfunctions.udf.CIQ(mh_ticker, "IQ_PREF_EQUITY", , B1361), "")</f>
        <v/>
      </c>
      <c r="I1361" s="11">
        <f>IFERROR(_xll.ciqfunctions.udf.CIQ(mh_ticker, "IQ_MINORITY_INTEREST", , B1361), "")</f>
        <v/>
      </c>
      <c r="J1361" s="11">
        <f>IFERROR(_xll.ciqfunctions.udf.CIQ(mh_ticker, "IQ_EQUITY_METHOD", , B1361), "")</f>
        <v/>
      </c>
      <c r="K1361" s="11">
        <f>IFERROR(_xll.ciqfunctions.udf.CIQ(mh_ticker, "IQ_LT_Mark_Securities", , B1361), "")</f>
        <v/>
      </c>
      <c r="L1361" s="12">
        <f>IFERROR(C1361*D1361, "")</f>
        <v/>
      </c>
      <c r="M1361" s="12">
        <f>IFERROR(L1361-E1361-F1361+G1361+H1361+I1361-J1361-K1361, "")</f>
        <v/>
      </c>
      <c r="N1361" s="11">
        <f>IFERROR(_xll.ciqfunctions.udf.CIQ(mh_ticker, "IQ_EBITDA_EST", IQ_NTM, B1361, , , "USD"), "")</f>
        <v/>
      </c>
      <c r="O1361" s="13">
        <f>IFERROR(M1361/N1361, "")</f>
        <v/>
      </c>
    </row>
    <row r="1362">
      <c r="B1362" s="8" t="n"/>
      <c r="C1362" s="9">
        <f>IFERROR(_xll.ciqfunctions.udf.CIQ(mh_ticker, "IQ_LASTSALEPRICE", B1362), "")</f>
        <v/>
      </c>
      <c r="D1362" s="10">
        <f>IFERROR(_xll.ciqfunctions.udf.CIQ(mh_ticker, "IQ_SHARESOUTSTANDING_OUT", B1362), "")</f>
        <v/>
      </c>
      <c r="E1362" s="11">
        <f>IFERROR(_xll.ciqfunctions.udf.CIQ(mh_ticker, "IQ_CASH_EQUIV", , B1362), "")</f>
        <v/>
      </c>
      <c r="F1362" s="11">
        <f>IFERROR(_xll.ciqfunctions.udf.CIQ(mh_ticker, "IQ_ST_INVEST", , B1362), "")</f>
        <v/>
      </c>
      <c r="G1362" s="11">
        <f>IFERROR(_xll.ciqfunctions.udf.CIQ(mh_ticker, "IQ_TOTAL_DEBT_EXCL_OPER_LEASES", , B1362), "")</f>
        <v/>
      </c>
      <c r="H1362" s="11">
        <f>IFERROR(_xll.ciqfunctions.udf.CIQ(mh_ticker, "IQ_PREF_EQUITY", , B1362), "")</f>
        <v/>
      </c>
      <c r="I1362" s="11">
        <f>IFERROR(_xll.ciqfunctions.udf.CIQ(mh_ticker, "IQ_MINORITY_INTEREST", , B1362), "")</f>
        <v/>
      </c>
      <c r="J1362" s="11">
        <f>IFERROR(_xll.ciqfunctions.udf.CIQ(mh_ticker, "IQ_EQUITY_METHOD", , B1362), "")</f>
        <v/>
      </c>
      <c r="K1362" s="11">
        <f>IFERROR(_xll.ciqfunctions.udf.CIQ(mh_ticker, "IQ_LT_Mark_Securities", , B1362), "")</f>
        <v/>
      </c>
      <c r="L1362" s="12">
        <f>IFERROR(C1362*D1362, "")</f>
        <v/>
      </c>
      <c r="M1362" s="12">
        <f>IFERROR(L1362-E1362-F1362+G1362+H1362+I1362-J1362-K1362, "")</f>
        <v/>
      </c>
      <c r="N1362" s="11">
        <f>IFERROR(_xll.ciqfunctions.udf.CIQ(mh_ticker, "IQ_EBITDA_EST", IQ_NTM, B1362, , , "USD"), "")</f>
        <v/>
      </c>
      <c r="O1362" s="13">
        <f>IFERROR(M1362/N1362, "")</f>
        <v/>
      </c>
    </row>
    <row r="1363">
      <c r="B1363" s="8" t="n"/>
      <c r="C1363" s="9">
        <f>IFERROR(_xll.ciqfunctions.udf.CIQ(mh_ticker, "IQ_LASTSALEPRICE", B1363), "")</f>
        <v/>
      </c>
      <c r="D1363" s="10">
        <f>IFERROR(_xll.ciqfunctions.udf.CIQ(mh_ticker, "IQ_SHARESOUTSTANDING_OUT", B1363), "")</f>
        <v/>
      </c>
      <c r="E1363" s="11">
        <f>IFERROR(_xll.ciqfunctions.udf.CIQ(mh_ticker, "IQ_CASH_EQUIV", , B1363), "")</f>
        <v/>
      </c>
      <c r="F1363" s="11">
        <f>IFERROR(_xll.ciqfunctions.udf.CIQ(mh_ticker, "IQ_ST_INVEST", , B1363), "")</f>
        <v/>
      </c>
      <c r="G1363" s="11">
        <f>IFERROR(_xll.ciqfunctions.udf.CIQ(mh_ticker, "IQ_TOTAL_DEBT_EXCL_OPER_LEASES", , B1363), "")</f>
        <v/>
      </c>
      <c r="H1363" s="11">
        <f>IFERROR(_xll.ciqfunctions.udf.CIQ(mh_ticker, "IQ_PREF_EQUITY", , B1363), "")</f>
        <v/>
      </c>
      <c r="I1363" s="11">
        <f>IFERROR(_xll.ciqfunctions.udf.CIQ(mh_ticker, "IQ_MINORITY_INTEREST", , B1363), "")</f>
        <v/>
      </c>
      <c r="J1363" s="11">
        <f>IFERROR(_xll.ciqfunctions.udf.CIQ(mh_ticker, "IQ_EQUITY_METHOD", , B1363), "")</f>
        <v/>
      </c>
      <c r="K1363" s="11">
        <f>IFERROR(_xll.ciqfunctions.udf.CIQ(mh_ticker, "IQ_LT_Mark_Securities", , B1363), "")</f>
        <v/>
      </c>
      <c r="L1363" s="12">
        <f>IFERROR(C1363*D1363, "")</f>
        <v/>
      </c>
      <c r="M1363" s="12">
        <f>IFERROR(L1363-E1363-F1363+G1363+H1363+I1363-J1363-K1363, "")</f>
        <v/>
      </c>
      <c r="N1363" s="11">
        <f>IFERROR(_xll.ciqfunctions.udf.CIQ(mh_ticker, "IQ_EBITDA_EST", IQ_NTM, B1363, , , "USD"), "")</f>
        <v/>
      </c>
      <c r="O1363" s="13">
        <f>IFERROR(M1363/N1363, "")</f>
        <v/>
      </c>
    </row>
    <row r="1364">
      <c r="B1364" s="8" t="n"/>
      <c r="C1364" s="9">
        <f>IFERROR(_xll.ciqfunctions.udf.CIQ(mh_ticker, "IQ_LASTSALEPRICE", B1364), "")</f>
        <v/>
      </c>
      <c r="D1364" s="10">
        <f>IFERROR(_xll.ciqfunctions.udf.CIQ(mh_ticker, "IQ_SHARESOUTSTANDING_OUT", B1364), "")</f>
        <v/>
      </c>
      <c r="E1364" s="11">
        <f>IFERROR(_xll.ciqfunctions.udf.CIQ(mh_ticker, "IQ_CASH_EQUIV", , B1364), "")</f>
        <v/>
      </c>
      <c r="F1364" s="11">
        <f>IFERROR(_xll.ciqfunctions.udf.CIQ(mh_ticker, "IQ_ST_INVEST", , B1364), "")</f>
        <v/>
      </c>
      <c r="G1364" s="11">
        <f>IFERROR(_xll.ciqfunctions.udf.CIQ(mh_ticker, "IQ_TOTAL_DEBT_EXCL_OPER_LEASES", , B1364), "")</f>
        <v/>
      </c>
      <c r="H1364" s="11">
        <f>IFERROR(_xll.ciqfunctions.udf.CIQ(mh_ticker, "IQ_PREF_EQUITY", , B1364), "")</f>
        <v/>
      </c>
      <c r="I1364" s="11">
        <f>IFERROR(_xll.ciqfunctions.udf.CIQ(mh_ticker, "IQ_MINORITY_INTEREST", , B1364), "")</f>
        <v/>
      </c>
      <c r="J1364" s="11">
        <f>IFERROR(_xll.ciqfunctions.udf.CIQ(mh_ticker, "IQ_EQUITY_METHOD", , B1364), "")</f>
        <v/>
      </c>
      <c r="K1364" s="11">
        <f>IFERROR(_xll.ciqfunctions.udf.CIQ(mh_ticker, "IQ_LT_Mark_Securities", , B1364), "")</f>
        <v/>
      </c>
      <c r="L1364" s="12">
        <f>IFERROR(C1364*D1364, "")</f>
        <v/>
      </c>
      <c r="M1364" s="12">
        <f>IFERROR(L1364-E1364-F1364+G1364+H1364+I1364-J1364-K1364, "")</f>
        <v/>
      </c>
      <c r="N1364" s="11">
        <f>IFERROR(_xll.ciqfunctions.udf.CIQ(mh_ticker, "IQ_EBITDA_EST", IQ_NTM, B1364, , , "USD"), "")</f>
        <v/>
      </c>
      <c r="O1364" s="13">
        <f>IFERROR(M1364/N1364, "")</f>
        <v/>
      </c>
    </row>
    <row r="1365">
      <c r="B1365" s="8" t="n"/>
      <c r="C1365" s="9">
        <f>IFERROR(_xll.ciqfunctions.udf.CIQ(mh_ticker, "IQ_LASTSALEPRICE", B1365), "")</f>
        <v/>
      </c>
      <c r="D1365" s="10">
        <f>IFERROR(_xll.ciqfunctions.udf.CIQ(mh_ticker, "IQ_SHARESOUTSTANDING_OUT", B1365), "")</f>
        <v/>
      </c>
      <c r="E1365" s="11">
        <f>IFERROR(_xll.ciqfunctions.udf.CIQ(mh_ticker, "IQ_CASH_EQUIV", , B1365), "")</f>
        <v/>
      </c>
      <c r="F1365" s="11">
        <f>IFERROR(_xll.ciqfunctions.udf.CIQ(mh_ticker, "IQ_ST_INVEST", , B1365), "")</f>
        <v/>
      </c>
      <c r="G1365" s="11">
        <f>IFERROR(_xll.ciqfunctions.udf.CIQ(mh_ticker, "IQ_TOTAL_DEBT_EXCL_OPER_LEASES", , B1365), "")</f>
        <v/>
      </c>
      <c r="H1365" s="11">
        <f>IFERROR(_xll.ciqfunctions.udf.CIQ(mh_ticker, "IQ_PREF_EQUITY", , B1365), "")</f>
        <v/>
      </c>
      <c r="I1365" s="11">
        <f>IFERROR(_xll.ciqfunctions.udf.CIQ(mh_ticker, "IQ_MINORITY_INTEREST", , B1365), "")</f>
        <v/>
      </c>
      <c r="J1365" s="11">
        <f>IFERROR(_xll.ciqfunctions.udf.CIQ(mh_ticker, "IQ_EQUITY_METHOD", , B1365), "")</f>
        <v/>
      </c>
      <c r="K1365" s="11">
        <f>IFERROR(_xll.ciqfunctions.udf.CIQ(mh_ticker, "IQ_LT_Mark_Securities", , B1365), "")</f>
        <v/>
      </c>
      <c r="L1365" s="12">
        <f>IFERROR(C1365*D1365, "")</f>
        <v/>
      </c>
      <c r="M1365" s="12">
        <f>IFERROR(L1365-E1365-F1365+G1365+H1365+I1365-J1365-K1365, "")</f>
        <v/>
      </c>
      <c r="N1365" s="11">
        <f>IFERROR(_xll.ciqfunctions.udf.CIQ(mh_ticker, "IQ_EBITDA_EST", IQ_NTM, B1365, , , "USD"), "")</f>
        <v/>
      </c>
      <c r="O1365" s="13">
        <f>IFERROR(M1365/N1365, "")</f>
        <v/>
      </c>
    </row>
    <row r="1366">
      <c r="B1366" s="8" t="n"/>
      <c r="C1366" s="9">
        <f>IFERROR(_xll.ciqfunctions.udf.CIQ(mh_ticker, "IQ_LASTSALEPRICE", B1366), "")</f>
        <v/>
      </c>
      <c r="D1366" s="10">
        <f>IFERROR(_xll.ciqfunctions.udf.CIQ(mh_ticker, "IQ_SHARESOUTSTANDING_OUT", B1366), "")</f>
        <v/>
      </c>
      <c r="E1366" s="11">
        <f>IFERROR(_xll.ciqfunctions.udf.CIQ(mh_ticker, "IQ_CASH_EQUIV", , B1366), "")</f>
        <v/>
      </c>
      <c r="F1366" s="11">
        <f>IFERROR(_xll.ciqfunctions.udf.CIQ(mh_ticker, "IQ_ST_INVEST", , B1366), "")</f>
        <v/>
      </c>
      <c r="G1366" s="11">
        <f>IFERROR(_xll.ciqfunctions.udf.CIQ(mh_ticker, "IQ_TOTAL_DEBT_EXCL_OPER_LEASES", , B1366), "")</f>
        <v/>
      </c>
      <c r="H1366" s="11">
        <f>IFERROR(_xll.ciqfunctions.udf.CIQ(mh_ticker, "IQ_PREF_EQUITY", , B1366), "")</f>
        <v/>
      </c>
      <c r="I1366" s="11">
        <f>IFERROR(_xll.ciqfunctions.udf.CIQ(mh_ticker, "IQ_MINORITY_INTEREST", , B1366), "")</f>
        <v/>
      </c>
      <c r="J1366" s="11">
        <f>IFERROR(_xll.ciqfunctions.udf.CIQ(mh_ticker, "IQ_EQUITY_METHOD", , B1366), "")</f>
        <v/>
      </c>
      <c r="K1366" s="11">
        <f>IFERROR(_xll.ciqfunctions.udf.CIQ(mh_ticker, "IQ_LT_Mark_Securities", , B1366), "")</f>
        <v/>
      </c>
      <c r="L1366" s="12">
        <f>IFERROR(C1366*D1366, "")</f>
        <v/>
      </c>
      <c r="M1366" s="12">
        <f>IFERROR(L1366-E1366-F1366+G1366+H1366+I1366-J1366-K1366, "")</f>
        <v/>
      </c>
      <c r="N1366" s="11">
        <f>IFERROR(_xll.ciqfunctions.udf.CIQ(mh_ticker, "IQ_EBITDA_EST", IQ_NTM, B1366, , , "USD"), "")</f>
        <v/>
      </c>
      <c r="O1366" s="13">
        <f>IFERROR(M1366/N1366, "")</f>
        <v/>
      </c>
    </row>
    <row r="1367">
      <c r="B1367" s="8" t="n"/>
      <c r="C1367" s="9">
        <f>IFERROR(_xll.ciqfunctions.udf.CIQ(mh_ticker, "IQ_LASTSALEPRICE", B1367), "")</f>
        <v/>
      </c>
      <c r="D1367" s="10">
        <f>IFERROR(_xll.ciqfunctions.udf.CIQ(mh_ticker, "IQ_SHARESOUTSTANDING_OUT", B1367), "")</f>
        <v/>
      </c>
      <c r="E1367" s="11">
        <f>IFERROR(_xll.ciqfunctions.udf.CIQ(mh_ticker, "IQ_CASH_EQUIV", , B1367), "")</f>
        <v/>
      </c>
      <c r="F1367" s="11">
        <f>IFERROR(_xll.ciqfunctions.udf.CIQ(mh_ticker, "IQ_ST_INVEST", , B1367), "")</f>
        <v/>
      </c>
      <c r="G1367" s="11">
        <f>IFERROR(_xll.ciqfunctions.udf.CIQ(mh_ticker, "IQ_TOTAL_DEBT_EXCL_OPER_LEASES", , B1367), "")</f>
        <v/>
      </c>
      <c r="H1367" s="11">
        <f>IFERROR(_xll.ciqfunctions.udf.CIQ(mh_ticker, "IQ_PREF_EQUITY", , B1367), "")</f>
        <v/>
      </c>
      <c r="I1367" s="11">
        <f>IFERROR(_xll.ciqfunctions.udf.CIQ(mh_ticker, "IQ_MINORITY_INTEREST", , B1367), "")</f>
        <v/>
      </c>
      <c r="J1367" s="11">
        <f>IFERROR(_xll.ciqfunctions.udf.CIQ(mh_ticker, "IQ_EQUITY_METHOD", , B1367), "")</f>
        <v/>
      </c>
      <c r="K1367" s="11">
        <f>IFERROR(_xll.ciqfunctions.udf.CIQ(mh_ticker, "IQ_LT_Mark_Securities", , B1367), "")</f>
        <v/>
      </c>
      <c r="L1367" s="12">
        <f>IFERROR(C1367*D1367, "")</f>
        <v/>
      </c>
      <c r="M1367" s="12">
        <f>IFERROR(L1367-E1367-F1367+G1367+H1367+I1367-J1367-K1367, "")</f>
        <v/>
      </c>
      <c r="N1367" s="11">
        <f>IFERROR(_xll.ciqfunctions.udf.CIQ(mh_ticker, "IQ_EBITDA_EST", IQ_NTM, B1367, , , "USD"), "")</f>
        <v/>
      </c>
      <c r="O1367" s="13">
        <f>IFERROR(M1367/N1367, "")</f>
        <v/>
      </c>
    </row>
    <row r="1368">
      <c r="B1368" s="8" t="n"/>
      <c r="C1368" s="9">
        <f>IFERROR(_xll.ciqfunctions.udf.CIQ(mh_ticker, "IQ_LASTSALEPRICE", B1368), "")</f>
        <v/>
      </c>
      <c r="D1368" s="10">
        <f>IFERROR(_xll.ciqfunctions.udf.CIQ(mh_ticker, "IQ_SHARESOUTSTANDING_OUT", B1368), "")</f>
        <v/>
      </c>
      <c r="E1368" s="11">
        <f>IFERROR(_xll.ciqfunctions.udf.CIQ(mh_ticker, "IQ_CASH_EQUIV", , B1368), "")</f>
        <v/>
      </c>
      <c r="F1368" s="11">
        <f>IFERROR(_xll.ciqfunctions.udf.CIQ(mh_ticker, "IQ_ST_INVEST", , B1368), "")</f>
        <v/>
      </c>
      <c r="G1368" s="11">
        <f>IFERROR(_xll.ciqfunctions.udf.CIQ(mh_ticker, "IQ_TOTAL_DEBT_EXCL_OPER_LEASES", , B1368), "")</f>
        <v/>
      </c>
      <c r="H1368" s="11">
        <f>IFERROR(_xll.ciqfunctions.udf.CIQ(mh_ticker, "IQ_PREF_EQUITY", , B1368), "")</f>
        <v/>
      </c>
      <c r="I1368" s="11">
        <f>IFERROR(_xll.ciqfunctions.udf.CIQ(mh_ticker, "IQ_MINORITY_INTEREST", , B1368), "")</f>
        <v/>
      </c>
      <c r="J1368" s="11">
        <f>IFERROR(_xll.ciqfunctions.udf.CIQ(mh_ticker, "IQ_EQUITY_METHOD", , B1368), "")</f>
        <v/>
      </c>
      <c r="K1368" s="11">
        <f>IFERROR(_xll.ciqfunctions.udf.CIQ(mh_ticker, "IQ_LT_Mark_Securities", , B1368), "")</f>
        <v/>
      </c>
      <c r="L1368" s="12">
        <f>IFERROR(C1368*D1368, "")</f>
        <v/>
      </c>
      <c r="M1368" s="12">
        <f>IFERROR(L1368-E1368-F1368+G1368+H1368+I1368-J1368-K1368, "")</f>
        <v/>
      </c>
      <c r="N1368" s="11">
        <f>IFERROR(_xll.ciqfunctions.udf.CIQ(mh_ticker, "IQ_EBITDA_EST", IQ_NTM, B1368, , , "USD"), "")</f>
        <v/>
      </c>
      <c r="O1368" s="13">
        <f>IFERROR(M1368/N1368, "")</f>
        <v/>
      </c>
    </row>
    <row r="1369">
      <c r="B1369" s="8" t="n"/>
      <c r="C1369" s="9">
        <f>IFERROR(_xll.ciqfunctions.udf.CIQ(mh_ticker, "IQ_LASTSALEPRICE", B1369), "")</f>
        <v/>
      </c>
      <c r="D1369" s="10">
        <f>IFERROR(_xll.ciqfunctions.udf.CIQ(mh_ticker, "IQ_SHARESOUTSTANDING_OUT", B1369), "")</f>
        <v/>
      </c>
      <c r="E1369" s="11">
        <f>IFERROR(_xll.ciqfunctions.udf.CIQ(mh_ticker, "IQ_CASH_EQUIV", , B1369), "")</f>
        <v/>
      </c>
      <c r="F1369" s="11">
        <f>IFERROR(_xll.ciqfunctions.udf.CIQ(mh_ticker, "IQ_ST_INVEST", , B1369), "")</f>
        <v/>
      </c>
      <c r="G1369" s="11">
        <f>IFERROR(_xll.ciqfunctions.udf.CIQ(mh_ticker, "IQ_TOTAL_DEBT_EXCL_OPER_LEASES", , B1369), "")</f>
        <v/>
      </c>
      <c r="H1369" s="11">
        <f>IFERROR(_xll.ciqfunctions.udf.CIQ(mh_ticker, "IQ_PREF_EQUITY", , B1369), "")</f>
        <v/>
      </c>
      <c r="I1369" s="11">
        <f>IFERROR(_xll.ciqfunctions.udf.CIQ(mh_ticker, "IQ_MINORITY_INTEREST", , B1369), "")</f>
        <v/>
      </c>
      <c r="J1369" s="11">
        <f>IFERROR(_xll.ciqfunctions.udf.CIQ(mh_ticker, "IQ_EQUITY_METHOD", , B1369), "")</f>
        <v/>
      </c>
      <c r="K1369" s="11">
        <f>IFERROR(_xll.ciqfunctions.udf.CIQ(mh_ticker, "IQ_LT_Mark_Securities", , B1369), "")</f>
        <v/>
      </c>
      <c r="L1369" s="12">
        <f>IFERROR(C1369*D1369, "")</f>
        <v/>
      </c>
      <c r="M1369" s="12">
        <f>IFERROR(L1369-E1369-F1369+G1369+H1369+I1369-J1369-K1369, "")</f>
        <v/>
      </c>
      <c r="N1369" s="11">
        <f>IFERROR(_xll.ciqfunctions.udf.CIQ(mh_ticker, "IQ_EBITDA_EST", IQ_NTM, B1369, , , "USD"), "")</f>
        <v/>
      </c>
      <c r="O1369" s="13">
        <f>IFERROR(M1369/N1369, "")</f>
        <v/>
      </c>
    </row>
    <row r="1370">
      <c r="B1370" s="8" t="n"/>
      <c r="C1370" s="9">
        <f>IFERROR(_xll.ciqfunctions.udf.CIQ(mh_ticker, "IQ_LASTSALEPRICE", B1370), "")</f>
        <v/>
      </c>
      <c r="D1370" s="10">
        <f>IFERROR(_xll.ciqfunctions.udf.CIQ(mh_ticker, "IQ_SHARESOUTSTANDING_OUT", B1370), "")</f>
        <v/>
      </c>
      <c r="E1370" s="11">
        <f>IFERROR(_xll.ciqfunctions.udf.CIQ(mh_ticker, "IQ_CASH_EQUIV", , B1370), "")</f>
        <v/>
      </c>
      <c r="F1370" s="11">
        <f>IFERROR(_xll.ciqfunctions.udf.CIQ(mh_ticker, "IQ_ST_INVEST", , B1370), "")</f>
        <v/>
      </c>
      <c r="G1370" s="11">
        <f>IFERROR(_xll.ciqfunctions.udf.CIQ(mh_ticker, "IQ_TOTAL_DEBT_EXCL_OPER_LEASES", , B1370), "")</f>
        <v/>
      </c>
      <c r="H1370" s="11">
        <f>IFERROR(_xll.ciqfunctions.udf.CIQ(mh_ticker, "IQ_PREF_EQUITY", , B1370), "")</f>
        <v/>
      </c>
      <c r="I1370" s="11">
        <f>IFERROR(_xll.ciqfunctions.udf.CIQ(mh_ticker, "IQ_MINORITY_INTEREST", , B1370), "")</f>
        <v/>
      </c>
      <c r="J1370" s="11">
        <f>IFERROR(_xll.ciqfunctions.udf.CIQ(mh_ticker, "IQ_EQUITY_METHOD", , B1370), "")</f>
        <v/>
      </c>
      <c r="K1370" s="11">
        <f>IFERROR(_xll.ciqfunctions.udf.CIQ(mh_ticker, "IQ_LT_Mark_Securities", , B1370), "")</f>
        <v/>
      </c>
      <c r="L1370" s="12">
        <f>IFERROR(C1370*D1370, "")</f>
        <v/>
      </c>
      <c r="M1370" s="12">
        <f>IFERROR(L1370-E1370-F1370+G1370+H1370+I1370-J1370-K1370, "")</f>
        <v/>
      </c>
      <c r="N1370" s="11">
        <f>IFERROR(_xll.ciqfunctions.udf.CIQ(mh_ticker, "IQ_EBITDA_EST", IQ_NTM, B1370, , , "USD"), "")</f>
        <v/>
      </c>
      <c r="O1370" s="13">
        <f>IFERROR(M1370/N1370, "")</f>
        <v/>
      </c>
    </row>
    <row r="1371">
      <c r="B1371" s="8" t="n"/>
      <c r="C1371" s="9">
        <f>IFERROR(_xll.ciqfunctions.udf.CIQ(mh_ticker, "IQ_LASTSALEPRICE", B1371), "")</f>
        <v/>
      </c>
      <c r="D1371" s="10">
        <f>IFERROR(_xll.ciqfunctions.udf.CIQ(mh_ticker, "IQ_SHARESOUTSTANDING_OUT", B1371), "")</f>
        <v/>
      </c>
      <c r="E1371" s="11">
        <f>IFERROR(_xll.ciqfunctions.udf.CIQ(mh_ticker, "IQ_CASH_EQUIV", , B1371), "")</f>
        <v/>
      </c>
      <c r="F1371" s="11">
        <f>IFERROR(_xll.ciqfunctions.udf.CIQ(mh_ticker, "IQ_ST_INVEST", , B1371), "")</f>
        <v/>
      </c>
      <c r="G1371" s="11">
        <f>IFERROR(_xll.ciqfunctions.udf.CIQ(mh_ticker, "IQ_TOTAL_DEBT_EXCL_OPER_LEASES", , B1371), "")</f>
        <v/>
      </c>
      <c r="H1371" s="11">
        <f>IFERROR(_xll.ciqfunctions.udf.CIQ(mh_ticker, "IQ_PREF_EQUITY", , B1371), "")</f>
        <v/>
      </c>
      <c r="I1371" s="11">
        <f>IFERROR(_xll.ciqfunctions.udf.CIQ(mh_ticker, "IQ_MINORITY_INTEREST", , B1371), "")</f>
        <v/>
      </c>
      <c r="J1371" s="11">
        <f>IFERROR(_xll.ciqfunctions.udf.CIQ(mh_ticker, "IQ_EQUITY_METHOD", , B1371), "")</f>
        <v/>
      </c>
      <c r="K1371" s="11">
        <f>IFERROR(_xll.ciqfunctions.udf.CIQ(mh_ticker, "IQ_LT_Mark_Securities", , B1371), "")</f>
        <v/>
      </c>
      <c r="L1371" s="12">
        <f>IFERROR(C1371*D1371, "")</f>
        <v/>
      </c>
      <c r="M1371" s="12">
        <f>IFERROR(L1371-E1371-F1371+G1371+H1371+I1371-J1371-K1371, "")</f>
        <v/>
      </c>
      <c r="N1371" s="11">
        <f>IFERROR(_xll.ciqfunctions.udf.CIQ(mh_ticker, "IQ_EBITDA_EST", IQ_NTM, B1371, , , "USD"), "")</f>
        <v/>
      </c>
      <c r="O1371" s="13">
        <f>IFERROR(M1371/N1371, "")</f>
        <v/>
      </c>
    </row>
    <row r="1372">
      <c r="B1372" s="8" t="n"/>
      <c r="C1372" s="9">
        <f>IFERROR(_xll.ciqfunctions.udf.CIQ(mh_ticker, "IQ_LASTSALEPRICE", B1372), "")</f>
        <v/>
      </c>
      <c r="D1372" s="10">
        <f>IFERROR(_xll.ciqfunctions.udf.CIQ(mh_ticker, "IQ_SHARESOUTSTANDING_OUT", B1372), "")</f>
        <v/>
      </c>
      <c r="E1372" s="11">
        <f>IFERROR(_xll.ciqfunctions.udf.CIQ(mh_ticker, "IQ_CASH_EQUIV", , B1372), "")</f>
        <v/>
      </c>
      <c r="F1372" s="11">
        <f>IFERROR(_xll.ciqfunctions.udf.CIQ(mh_ticker, "IQ_ST_INVEST", , B1372), "")</f>
        <v/>
      </c>
      <c r="G1372" s="11">
        <f>IFERROR(_xll.ciqfunctions.udf.CIQ(mh_ticker, "IQ_TOTAL_DEBT_EXCL_OPER_LEASES", , B1372), "")</f>
        <v/>
      </c>
      <c r="H1372" s="11">
        <f>IFERROR(_xll.ciqfunctions.udf.CIQ(mh_ticker, "IQ_PREF_EQUITY", , B1372), "")</f>
        <v/>
      </c>
      <c r="I1372" s="11">
        <f>IFERROR(_xll.ciqfunctions.udf.CIQ(mh_ticker, "IQ_MINORITY_INTEREST", , B1372), "")</f>
        <v/>
      </c>
      <c r="J1372" s="11">
        <f>IFERROR(_xll.ciqfunctions.udf.CIQ(mh_ticker, "IQ_EQUITY_METHOD", , B1372), "")</f>
        <v/>
      </c>
      <c r="K1372" s="11">
        <f>IFERROR(_xll.ciqfunctions.udf.CIQ(mh_ticker, "IQ_LT_Mark_Securities", , B1372), "")</f>
        <v/>
      </c>
      <c r="L1372" s="12">
        <f>IFERROR(C1372*D1372, "")</f>
        <v/>
      </c>
      <c r="M1372" s="12">
        <f>IFERROR(L1372-E1372-F1372+G1372+H1372+I1372-J1372-K1372, "")</f>
        <v/>
      </c>
      <c r="N1372" s="11">
        <f>IFERROR(_xll.ciqfunctions.udf.CIQ(mh_ticker, "IQ_EBITDA_EST", IQ_NTM, B1372, , , "USD"), "")</f>
        <v/>
      </c>
      <c r="O1372" s="13">
        <f>IFERROR(M1372/N1372, "")</f>
        <v/>
      </c>
    </row>
    <row r="1373">
      <c r="B1373" s="8" t="n"/>
      <c r="C1373" s="9">
        <f>IFERROR(_xll.ciqfunctions.udf.CIQ(mh_ticker, "IQ_LASTSALEPRICE", B1373), "")</f>
        <v/>
      </c>
      <c r="D1373" s="10">
        <f>IFERROR(_xll.ciqfunctions.udf.CIQ(mh_ticker, "IQ_SHARESOUTSTANDING_OUT", B1373), "")</f>
        <v/>
      </c>
      <c r="E1373" s="11">
        <f>IFERROR(_xll.ciqfunctions.udf.CIQ(mh_ticker, "IQ_CASH_EQUIV", , B1373), "")</f>
        <v/>
      </c>
      <c r="F1373" s="11">
        <f>IFERROR(_xll.ciqfunctions.udf.CIQ(mh_ticker, "IQ_ST_INVEST", , B1373), "")</f>
        <v/>
      </c>
      <c r="G1373" s="11">
        <f>IFERROR(_xll.ciqfunctions.udf.CIQ(mh_ticker, "IQ_TOTAL_DEBT_EXCL_OPER_LEASES", , B1373), "")</f>
        <v/>
      </c>
      <c r="H1373" s="11">
        <f>IFERROR(_xll.ciqfunctions.udf.CIQ(mh_ticker, "IQ_PREF_EQUITY", , B1373), "")</f>
        <v/>
      </c>
      <c r="I1373" s="11">
        <f>IFERROR(_xll.ciqfunctions.udf.CIQ(mh_ticker, "IQ_MINORITY_INTEREST", , B1373), "")</f>
        <v/>
      </c>
      <c r="J1373" s="11">
        <f>IFERROR(_xll.ciqfunctions.udf.CIQ(mh_ticker, "IQ_EQUITY_METHOD", , B1373), "")</f>
        <v/>
      </c>
      <c r="K1373" s="11">
        <f>IFERROR(_xll.ciqfunctions.udf.CIQ(mh_ticker, "IQ_LT_Mark_Securities", , B1373), "")</f>
        <v/>
      </c>
      <c r="L1373" s="12">
        <f>IFERROR(C1373*D1373, "")</f>
        <v/>
      </c>
      <c r="M1373" s="12">
        <f>IFERROR(L1373-E1373-F1373+G1373+H1373+I1373-J1373-K1373, "")</f>
        <v/>
      </c>
      <c r="N1373" s="11">
        <f>IFERROR(_xll.ciqfunctions.udf.CIQ(mh_ticker, "IQ_EBITDA_EST", IQ_NTM, B1373, , , "USD"), "")</f>
        <v/>
      </c>
      <c r="O1373" s="13">
        <f>IFERROR(M1373/N1373, "")</f>
        <v/>
      </c>
    </row>
    <row r="1374">
      <c r="B1374" s="8" t="n"/>
      <c r="C1374" s="9">
        <f>IFERROR(_xll.ciqfunctions.udf.CIQ(mh_ticker, "IQ_LASTSALEPRICE", B1374), "")</f>
        <v/>
      </c>
      <c r="D1374" s="10">
        <f>IFERROR(_xll.ciqfunctions.udf.CIQ(mh_ticker, "IQ_SHARESOUTSTANDING_OUT", B1374), "")</f>
        <v/>
      </c>
      <c r="E1374" s="11">
        <f>IFERROR(_xll.ciqfunctions.udf.CIQ(mh_ticker, "IQ_CASH_EQUIV", , B1374), "")</f>
        <v/>
      </c>
      <c r="F1374" s="11">
        <f>IFERROR(_xll.ciqfunctions.udf.CIQ(mh_ticker, "IQ_ST_INVEST", , B1374), "")</f>
        <v/>
      </c>
      <c r="G1374" s="11">
        <f>IFERROR(_xll.ciqfunctions.udf.CIQ(mh_ticker, "IQ_TOTAL_DEBT_EXCL_OPER_LEASES", , B1374), "")</f>
        <v/>
      </c>
      <c r="H1374" s="11">
        <f>IFERROR(_xll.ciqfunctions.udf.CIQ(mh_ticker, "IQ_PREF_EQUITY", , B1374), "")</f>
        <v/>
      </c>
      <c r="I1374" s="11">
        <f>IFERROR(_xll.ciqfunctions.udf.CIQ(mh_ticker, "IQ_MINORITY_INTEREST", , B1374), "")</f>
        <v/>
      </c>
      <c r="J1374" s="11">
        <f>IFERROR(_xll.ciqfunctions.udf.CIQ(mh_ticker, "IQ_EQUITY_METHOD", , B1374), "")</f>
        <v/>
      </c>
      <c r="K1374" s="11">
        <f>IFERROR(_xll.ciqfunctions.udf.CIQ(mh_ticker, "IQ_LT_Mark_Securities", , B1374), "")</f>
        <v/>
      </c>
      <c r="L1374" s="12">
        <f>IFERROR(C1374*D1374, "")</f>
        <v/>
      </c>
      <c r="M1374" s="12">
        <f>IFERROR(L1374-E1374-F1374+G1374+H1374+I1374-J1374-K1374, "")</f>
        <v/>
      </c>
      <c r="N1374" s="11">
        <f>IFERROR(_xll.ciqfunctions.udf.CIQ(mh_ticker, "IQ_EBITDA_EST", IQ_NTM, B1374, , , "USD"), "")</f>
        <v/>
      </c>
      <c r="O1374" s="13">
        <f>IFERROR(M1374/N1374, "")</f>
        <v/>
      </c>
    </row>
    <row r="1375">
      <c r="B1375" s="8" t="n"/>
      <c r="C1375" s="9">
        <f>IFERROR(_xll.ciqfunctions.udf.CIQ(mh_ticker, "IQ_LASTSALEPRICE", B1375), "")</f>
        <v/>
      </c>
      <c r="D1375" s="10">
        <f>IFERROR(_xll.ciqfunctions.udf.CIQ(mh_ticker, "IQ_SHARESOUTSTANDING_OUT", B1375), "")</f>
        <v/>
      </c>
      <c r="E1375" s="11">
        <f>IFERROR(_xll.ciqfunctions.udf.CIQ(mh_ticker, "IQ_CASH_EQUIV", , B1375), "")</f>
        <v/>
      </c>
      <c r="F1375" s="11">
        <f>IFERROR(_xll.ciqfunctions.udf.CIQ(mh_ticker, "IQ_ST_INVEST", , B1375), "")</f>
        <v/>
      </c>
      <c r="G1375" s="11">
        <f>IFERROR(_xll.ciqfunctions.udf.CIQ(mh_ticker, "IQ_TOTAL_DEBT_EXCL_OPER_LEASES", , B1375), "")</f>
        <v/>
      </c>
      <c r="H1375" s="11">
        <f>IFERROR(_xll.ciqfunctions.udf.CIQ(mh_ticker, "IQ_PREF_EQUITY", , B1375), "")</f>
        <v/>
      </c>
      <c r="I1375" s="11">
        <f>IFERROR(_xll.ciqfunctions.udf.CIQ(mh_ticker, "IQ_MINORITY_INTEREST", , B1375), "")</f>
        <v/>
      </c>
      <c r="J1375" s="11">
        <f>IFERROR(_xll.ciqfunctions.udf.CIQ(mh_ticker, "IQ_EQUITY_METHOD", , B1375), "")</f>
        <v/>
      </c>
      <c r="K1375" s="11">
        <f>IFERROR(_xll.ciqfunctions.udf.CIQ(mh_ticker, "IQ_LT_Mark_Securities", , B1375), "")</f>
        <v/>
      </c>
      <c r="L1375" s="12">
        <f>IFERROR(C1375*D1375, "")</f>
        <v/>
      </c>
      <c r="M1375" s="12">
        <f>IFERROR(L1375-E1375-F1375+G1375+H1375+I1375-J1375-K1375, "")</f>
        <v/>
      </c>
      <c r="N1375" s="11">
        <f>IFERROR(_xll.ciqfunctions.udf.CIQ(mh_ticker, "IQ_EBITDA_EST", IQ_NTM, B1375, , , "USD"), "")</f>
        <v/>
      </c>
      <c r="O1375" s="13">
        <f>IFERROR(M1375/N1375, "")</f>
        <v/>
      </c>
    </row>
    <row r="1376">
      <c r="B1376" s="8" t="n"/>
      <c r="C1376" s="9">
        <f>IFERROR(_xll.ciqfunctions.udf.CIQ(mh_ticker, "IQ_LASTSALEPRICE", B1376), "")</f>
        <v/>
      </c>
      <c r="D1376" s="10">
        <f>IFERROR(_xll.ciqfunctions.udf.CIQ(mh_ticker, "IQ_SHARESOUTSTANDING_OUT", B1376), "")</f>
        <v/>
      </c>
      <c r="E1376" s="11">
        <f>IFERROR(_xll.ciqfunctions.udf.CIQ(mh_ticker, "IQ_CASH_EQUIV", , B1376), "")</f>
        <v/>
      </c>
      <c r="F1376" s="11">
        <f>IFERROR(_xll.ciqfunctions.udf.CIQ(mh_ticker, "IQ_ST_INVEST", , B1376), "")</f>
        <v/>
      </c>
      <c r="G1376" s="11">
        <f>IFERROR(_xll.ciqfunctions.udf.CIQ(mh_ticker, "IQ_TOTAL_DEBT_EXCL_OPER_LEASES", , B1376), "")</f>
        <v/>
      </c>
      <c r="H1376" s="11">
        <f>IFERROR(_xll.ciqfunctions.udf.CIQ(mh_ticker, "IQ_PREF_EQUITY", , B1376), "")</f>
        <v/>
      </c>
      <c r="I1376" s="11">
        <f>IFERROR(_xll.ciqfunctions.udf.CIQ(mh_ticker, "IQ_MINORITY_INTEREST", , B1376), "")</f>
        <v/>
      </c>
      <c r="J1376" s="11">
        <f>IFERROR(_xll.ciqfunctions.udf.CIQ(mh_ticker, "IQ_EQUITY_METHOD", , B1376), "")</f>
        <v/>
      </c>
      <c r="K1376" s="11">
        <f>IFERROR(_xll.ciqfunctions.udf.CIQ(mh_ticker, "IQ_LT_Mark_Securities", , B1376), "")</f>
        <v/>
      </c>
      <c r="L1376" s="12">
        <f>IFERROR(C1376*D1376, "")</f>
        <v/>
      </c>
      <c r="M1376" s="12">
        <f>IFERROR(L1376-E1376-F1376+G1376+H1376+I1376-J1376-K1376, "")</f>
        <v/>
      </c>
      <c r="N1376" s="11">
        <f>IFERROR(_xll.ciqfunctions.udf.CIQ(mh_ticker, "IQ_EBITDA_EST", IQ_NTM, B1376, , , "USD"), "")</f>
        <v/>
      </c>
      <c r="O1376" s="13">
        <f>IFERROR(M1376/N1376, "")</f>
        <v/>
      </c>
    </row>
    <row r="1377">
      <c r="B1377" s="8" t="n"/>
      <c r="C1377" s="9">
        <f>IFERROR(_xll.ciqfunctions.udf.CIQ(mh_ticker, "IQ_LASTSALEPRICE", B1377), "")</f>
        <v/>
      </c>
      <c r="D1377" s="10">
        <f>IFERROR(_xll.ciqfunctions.udf.CIQ(mh_ticker, "IQ_SHARESOUTSTANDING_OUT", B1377), "")</f>
        <v/>
      </c>
      <c r="E1377" s="11">
        <f>IFERROR(_xll.ciqfunctions.udf.CIQ(mh_ticker, "IQ_CASH_EQUIV", , B1377), "")</f>
        <v/>
      </c>
      <c r="F1377" s="11">
        <f>IFERROR(_xll.ciqfunctions.udf.CIQ(mh_ticker, "IQ_ST_INVEST", , B1377), "")</f>
        <v/>
      </c>
      <c r="G1377" s="11">
        <f>IFERROR(_xll.ciqfunctions.udf.CIQ(mh_ticker, "IQ_TOTAL_DEBT_EXCL_OPER_LEASES", , B1377), "")</f>
        <v/>
      </c>
      <c r="H1377" s="11">
        <f>IFERROR(_xll.ciqfunctions.udf.CIQ(mh_ticker, "IQ_PREF_EQUITY", , B1377), "")</f>
        <v/>
      </c>
      <c r="I1377" s="11">
        <f>IFERROR(_xll.ciqfunctions.udf.CIQ(mh_ticker, "IQ_MINORITY_INTEREST", , B1377), "")</f>
        <v/>
      </c>
      <c r="J1377" s="11">
        <f>IFERROR(_xll.ciqfunctions.udf.CIQ(mh_ticker, "IQ_EQUITY_METHOD", , B1377), "")</f>
        <v/>
      </c>
      <c r="K1377" s="11">
        <f>IFERROR(_xll.ciqfunctions.udf.CIQ(mh_ticker, "IQ_LT_Mark_Securities", , B1377), "")</f>
        <v/>
      </c>
      <c r="L1377" s="12">
        <f>IFERROR(C1377*D1377, "")</f>
        <v/>
      </c>
      <c r="M1377" s="12">
        <f>IFERROR(L1377-E1377-F1377+G1377+H1377+I1377-J1377-K1377, "")</f>
        <v/>
      </c>
      <c r="N1377" s="11">
        <f>IFERROR(_xll.ciqfunctions.udf.CIQ(mh_ticker, "IQ_EBITDA_EST", IQ_NTM, B1377, , , "USD"), "")</f>
        <v/>
      </c>
      <c r="O1377" s="13">
        <f>IFERROR(M1377/N1377, "")</f>
        <v/>
      </c>
    </row>
    <row r="1378">
      <c r="B1378" s="8" t="n"/>
      <c r="C1378" s="9">
        <f>IFERROR(_xll.ciqfunctions.udf.CIQ(mh_ticker, "IQ_LASTSALEPRICE", B1378), "")</f>
        <v/>
      </c>
      <c r="D1378" s="10">
        <f>IFERROR(_xll.ciqfunctions.udf.CIQ(mh_ticker, "IQ_SHARESOUTSTANDING_OUT", B1378), "")</f>
        <v/>
      </c>
      <c r="E1378" s="11">
        <f>IFERROR(_xll.ciqfunctions.udf.CIQ(mh_ticker, "IQ_CASH_EQUIV", , B1378), "")</f>
        <v/>
      </c>
      <c r="F1378" s="11">
        <f>IFERROR(_xll.ciqfunctions.udf.CIQ(mh_ticker, "IQ_ST_INVEST", , B1378), "")</f>
        <v/>
      </c>
      <c r="G1378" s="11">
        <f>IFERROR(_xll.ciqfunctions.udf.CIQ(mh_ticker, "IQ_TOTAL_DEBT_EXCL_OPER_LEASES", , B1378), "")</f>
        <v/>
      </c>
      <c r="H1378" s="11">
        <f>IFERROR(_xll.ciqfunctions.udf.CIQ(mh_ticker, "IQ_PREF_EQUITY", , B1378), "")</f>
        <v/>
      </c>
      <c r="I1378" s="11">
        <f>IFERROR(_xll.ciqfunctions.udf.CIQ(mh_ticker, "IQ_MINORITY_INTEREST", , B1378), "")</f>
        <v/>
      </c>
      <c r="J1378" s="11">
        <f>IFERROR(_xll.ciqfunctions.udf.CIQ(mh_ticker, "IQ_EQUITY_METHOD", , B1378), "")</f>
        <v/>
      </c>
      <c r="K1378" s="11">
        <f>IFERROR(_xll.ciqfunctions.udf.CIQ(mh_ticker, "IQ_LT_Mark_Securities", , B1378), "")</f>
        <v/>
      </c>
      <c r="L1378" s="12">
        <f>IFERROR(C1378*D1378, "")</f>
        <v/>
      </c>
      <c r="M1378" s="12">
        <f>IFERROR(L1378-E1378-F1378+G1378+H1378+I1378-J1378-K1378, "")</f>
        <v/>
      </c>
      <c r="N1378" s="11">
        <f>IFERROR(_xll.ciqfunctions.udf.CIQ(mh_ticker, "IQ_EBITDA_EST", IQ_NTM, B1378, , , "USD"), "")</f>
        <v/>
      </c>
      <c r="O1378" s="13">
        <f>IFERROR(M1378/N1378, "")</f>
        <v/>
      </c>
    </row>
    <row r="1379">
      <c r="B1379" s="8" t="n"/>
      <c r="C1379" s="9">
        <f>IFERROR(_xll.ciqfunctions.udf.CIQ(mh_ticker, "IQ_LASTSALEPRICE", B1379), "")</f>
        <v/>
      </c>
      <c r="D1379" s="10">
        <f>IFERROR(_xll.ciqfunctions.udf.CIQ(mh_ticker, "IQ_SHARESOUTSTANDING_OUT", B1379), "")</f>
        <v/>
      </c>
      <c r="E1379" s="11">
        <f>IFERROR(_xll.ciqfunctions.udf.CIQ(mh_ticker, "IQ_CASH_EQUIV", , B1379), "")</f>
        <v/>
      </c>
      <c r="F1379" s="11">
        <f>IFERROR(_xll.ciqfunctions.udf.CIQ(mh_ticker, "IQ_ST_INVEST", , B1379), "")</f>
        <v/>
      </c>
      <c r="G1379" s="11">
        <f>IFERROR(_xll.ciqfunctions.udf.CIQ(mh_ticker, "IQ_TOTAL_DEBT_EXCL_OPER_LEASES", , B1379), "")</f>
        <v/>
      </c>
      <c r="H1379" s="11">
        <f>IFERROR(_xll.ciqfunctions.udf.CIQ(mh_ticker, "IQ_PREF_EQUITY", , B1379), "")</f>
        <v/>
      </c>
      <c r="I1379" s="11">
        <f>IFERROR(_xll.ciqfunctions.udf.CIQ(mh_ticker, "IQ_MINORITY_INTEREST", , B1379), "")</f>
        <v/>
      </c>
      <c r="J1379" s="11">
        <f>IFERROR(_xll.ciqfunctions.udf.CIQ(mh_ticker, "IQ_EQUITY_METHOD", , B1379), "")</f>
        <v/>
      </c>
      <c r="K1379" s="11">
        <f>IFERROR(_xll.ciqfunctions.udf.CIQ(mh_ticker, "IQ_LT_Mark_Securities", , B1379), "")</f>
        <v/>
      </c>
      <c r="L1379" s="12">
        <f>IFERROR(C1379*D1379, "")</f>
        <v/>
      </c>
      <c r="M1379" s="12">
        <f>IFERROR(L1379-E1379-F1379+G1379+H1379+I1379-J1379-K1379, "")</f>
        <v/>
      </c>
      <c r="N1379" s="11">
        <f>IFERROR(_xll.ciqfunctions.udf.CIQ(mh_ticker, "IQ_EBITDA_EST", IQ_NTM, B1379, , , "USD"), "")</f>
        <v/>
      </c>
      <c r="O1379" s="13">
        <f>IFERROR(M1379/N1379, "")</f>
        <v/>
      </c>
    </row>
    <row r="1380">
      <c r="B1380" s="8" t="n"/>
      <c r="C1380" s="9">
        <f>IFERROR(_xll.ciqfunctions.udf.CIQ(mh_ticker, "IQ_LASTSALEPRICE", B1380), "")</f>
        <v/>
      </c>
      <c r="D1380" s="10">
        <f>IFERROR(_xll.ciqfunctions.udf.CIQ(mh_ticker, "IQ_SHARESOUTSTANDING_OUT", B1380), "")</f>
        <v/>
      </c>
      <c r="E1380" s="11">
        <f>IFERROR(_xll.ciqfunctions.udf.CIQ(mh_ticker, "IQ_CASH_EQUIV", , B1380), "")</f>
        <v/>
      </c>
      <c r="F1380" s="11">
        <f>IFERROR(_xll.ciqfunctions.udf.CIQ(mh_ticker, "IQ_ST_INVEST", , B1380), "")</f>
        <v/>
      </c>
      <c r="G1380" s="11">
        <f>IFERROR(_xll.ciqfunctions.udf.CIQ(mh_ticker, "IQ_TOTAL_DEBT_EXCL_OPER_LEASES", , B1380), "")</f>
        <v/>
      </c>
      <c r="H1380" s="11">
        <f>IFERROR(_xll.ciqfunctions.udf.CIQ(mh_ticker, "IQ_PREF_EQUITY", , B1380), "")</f>
        <v/>
      </c>
      <c r="I1380" s="11">
        <f>IFERROR(_xll.ciqfunctions.udf.CIQ(mh_ticker, "IQ_MINORITY_INTEREST", , B1380), "")</f>
        <v/>
      </c>
      <c r="J1380" s="11">
        <f>IFERROR(_xll.ciqfunctions.udf.CIQ(mh_ticker, "IQ_EQUITY_METHOD", , B1380), "")</f>
        <v/>
      </c>
      <c r="K1380" s="11">
        <f>IFERROR(_xll.ciqfunctions.udf.CIQ(mh_ticker, "IQ_LT_Mark_Securities", , B1380), "")</f>
        <v/>
      </c>
      <c r="L1380" s="12">
        <f>IFERROR(C1380*D1380, "")</f>
        <v/>
      </c>
      <c r="M1380" s="12">
        <f>IFERROR(L1380-E1380-F1380+G1380+H1380+I1380-J1380-K1380, "")</f>
        <v/>
      </c>
      <c r="N1380" s="11">
        <f>IFERROR(_xll.ciqfunctions.udf.CIQ(mh_ticker, "IQ_EBITDA_EST", IQ_NTM, B1380, , , "USD"), "")</f>
        <v/>
      </c>
      <c r="O1380" s="13">
        <f>IFERROR(M1380/N1380, "")</f>
        <v/>
      </c>
    </row>
    <row r="1381">
      <c r="B1381" s="8" t="n"/>
      <c r="C1381" s="9">
        <f>IFERROR(_xll.ciqfunctions.udf.CIQ(mh_ticker, "IQ_LASTSALEPRICE", B1381), "")</f>
        <v/>
      </c>
      <c r="D1381" s="10">
        <f>IFERROR(_xll.ciqfunctions.udf.CIQ(mh_ticker, "IQ_SHARESOUTSTANDING_OUT", B1381), "")</f>
        <v/>
      </c>
      <c r="E1381" s="11">
        <f>IFERROR(_xll.ciqfunctions.udf.CIQ(mh_ticker, "IQ_CASH_EQUIV", , B1381), "")</f>
        <v/>
      </c>
      <c r="F1381" s="11">
        <f>IFERROR(_xll.ciqfunctions.udf.CIQ(mh_ticker, "IQ_ST_INVEST", , B1381), "")</f>
        <v/>
      </c>
      <c r="G1381" s="11">
        <f>IFERROR(_xll.ciqfunctions.udf.CIQ(mh_ticker, "IQ_TOTAL_DEBT_EXCL_OPER_LEASES", , B1381), "")</f>
        <v/>
      </c>
      <c r="H1381" s="11">
        <f>IFERROR(_xll.ciqfunctions.udf.CIQ(mh_ticker, "IQ_PREF_EQUITY", , B1381), "")</f>
        <v/>
      </c>
      <c r="I1381" s="11">
        <f>IFERROR(_xll.ciqfunctions.udf.CIQ(mh_ticker, "IQ_MINORITY_INTEREST", , B1381), "")</f>
        <v/>
      </c>
      <c r="J1381" s="11">
        <f>IFERROR(_xll.ciqfunctions.udf.CIQ(mh_ticker, "IQ_EQUITY_METHOD", , B1381), "")</f>
        <v/>
      </c>
      <c r="K1381" s="11">
        <f>IFERROR(_xll.ciqfunctions.udf.CIQ(mh_ticker, "IQ_LT_Mark_Securities", , B1381), "")</f>
        <v/>
      </c>
      <c r="L1381" s="12">
        <f>IFERROR(C1381*D1381, "")</f>
        <v/>
      </c>
      <c r="M1381" s="12">
        <f>IFERROR(L1381-E1381-F1381+G1381+H1381+I1381-J1381-K1381, "")</f>
        <v/>
      </c>
      <c r="N1381" s="11">
        <f>IFERROR(_xll.ciqfunctions.udf.CIQ(mh_ticker, "IQ_EBITDA_EST", IQ_NTM, B1381, , , "USD"), "")</f>
        <v/>
      </c>
      <c r="O1381" s="13">
        <f>IFERROR(M1381/N1381, "")</f>
        <v/>
      </c>
    </row>
    <row r="1382">
      <c r="B1382" s="8" t="n"/>
      <c r="C1382" s="9">
        <f>IFERROR(_xll.ciqfunctions.udf.CIQ(mh_ticker, "IQ_LASTSALEPRICE", B1382), "")</f>
        <v/>
      </c>
      <c r="D1382" s="10">
        <f>IFERROR(_xll.ciqfunctions.udf.CIQ(mh_ticker, "IQ_SHARESOUTSTANDING_OUT", B1382), "")</f>
        <v/>
      </c>
      <c r="E1382" s="11">
        <f>IFERROR(_xll.ciqfunctions.udf.CIQ(mh_ticker, "IQ_CASH_EQUIV", , B1382), "")</f>
        <v/>
      </c>
      <c r="F1382" s="11">
        <f>IFERROR(_xll.ciqfunctions.udf.CIQ(mh_ticker, "IQ_ST_INVEST", , B1382), "")</f>
        <v/>
      </c>
      <c r="G1382" s="11">
        <f>IFERROR(_xll.ciqfunctions.udf.CIQ(mh_ticker, "IQ_TOTAL_DEBT_EXCL_OPER_LEASES", , B1382), "")</f>
        <v/>
      </c>
      <c r="H1382" s="11">
        <f>IFERROR(_xll.ciqfunctions.udf.CIQ(mh_ticker, "IQ_PREF_EQUITY", , B1382), "")</f>
        <v/>
      </c>
      <c r="I1382" s="11">
        <f>IFERROR(_xll.ciqfunctions.udf.CIQ(mh_ticker, "IQ_MINORITY_INTEREST", , B1382), "")</f>
        <v/>
      </c>
      <c r="J1382" s="11">
        <f>IFERROR(_xll.ciqfunctions.udf.CIQ(mh_ticker, "IQ_EQUITY_METHOD", , B1382), "")</f>
        <v/>
      </c>
      <c r="K1382" s="11">
        <f>IFERROR(_xll.ciqfunctions.udf.CIQ(mh_ticker, "IQ_LT_Mark_Securities", , B1382), "")</f>
        <v/>
      </c>
      <c r="L1382" s="12">
        <f>IFERROR(C1382*D1382, "")</f>
        <v/>
      </c>
      <c r="M1382" s="12">
        <f>IFERROR(L1382-E1382-F1382+G1382+H1382+I1382-J1382-K1382, "")</f>
        <v/>
      </c>
      <c r="N1382" s="11">
        <f>IFERROR(_xll.ciqfunctions.udf.CIQ(mh_ticker, "IQ_EBITDA_EST", IQ_NTM, B1382, , , "USD"), "")</f>
        <v/>
      </c>
      <c r="O1382" s="13">
        <f>IFERROR(M1382/N1382, "")</f>
        <v/>
      </c>
    </row>
    <row r="1383">
      <c r="B1383" s="8" t="n"/>
      <c r="C1383" s="9">
        <f>IFERROR(_xll.ciqfunctions.udf.CIQ(mh_ticker, "IQ_LASTSALEPRICE", B1383), "")</f>
        <v/>
      </c>
      <c r="D1383" s="10">
        <f>IFERROR(_xll.ciqfunctions.udf.CIQ(mh_ticker, "IQ_SHARESOUTSTANDING_OUT", B1383), "")</f>
        <v/>
      </c>
      <c r="E1383" s="11">
        <f>IFERROR(_xll.ciqfunctions.udf.CIQ(mh_ticker, "IQ_CASH_EQUIV", , B1383), "")</f>
        <v/>
      </c>
      <c r="F1383" s="11">
        <f>IFERROR(_xll.ciqfunctions.udf.CIQ(mh_ticker, "IQ_ST_INVEST", , B1383), "")</f>
        <v/>
      </c>
      <c r="G1383" s="11">
        <f>IFERROR(_xll.ciqfunctions.udf.CIQ(mh_ticker, "IQ_TOTAL_DEBT_EXCL_OPER_LEASES", , B1383), "")</f>
        <v/>
      </c>
      <c r="H1383" s="11">
        <f>IFERROR(_xll.ciqfunctions.udf.CIQ(mh_ticker, "IQ_PREF_EQUITY", , B1383), "")</f>
        <v/>
      </c>
      <c r="I1383" s="11">
        <f>IFERROR(_xll.ciqfunctions.udf.CIQ(mh_ticker, "IQ_MINORITY_INTEREST", , B1383), "")</f>
        <v/>
      </c>
      <c r="J1383" s="11">
        <f>IFERROR(_xll.ciqfunctions.udf.CIQ(mh_ticker, "IQ_EQUITY_METHOD", , B1383), "")</f>
        <v/>
      </c>
      <c r="K1383" s="11">
        <f>IFERROR(_xll.ciqfunctions.udf.CIQ(mh_ticker, "IQ_LT_Mark_Securities", , B1383), "")</f>
        <v/>
      </c>
      <c r="L1383" s="12">
        <f>IFERROR(C1383*D1383, "")</f>
        <v/>
      </c>
      <c r="M1383" s="12">
        <f>IFERROR(L1383-E1383-F1383+G1383+H1383+I1383-J1383-K1383, "")</f>
        <v/>
      </c>
      <c r="N1383" s="11">
        <f>IFERROR(_xll.ciqfunctions.udf.CIQ(mh_ticker, "IQ_EBITDA_EST", IQ_NTM, B1383, , , "USD"), "")</f>
        <v/>
      </c>
      <c r="O1383" s="13">
        <f>IFERROR(M1383/N1383, "")</f>
        <v/>
      </c>
    </row>
    <row r="1384">
      <c r="B1384" s="8" t="n"/>
      <c r="C1384" s="9">
        <f>IFERROR(_xll.ciqfunctions.udf.CIQ(mh_ticker, "IQ_LASTSALEPRICE", B1384), "")</f>
        <v/>
      </c>
      <c r="D1384" s="10">
        <f>IFERROR(_xll.ciqfunctions.udf.CIQ(mh_ticker, "IQ_SHARESOUTSTANDING_OUT", B1384), "")</f>
        <v/>
      </c>
      <c r="E1384" s="11">
        <f>IFERROR(_xll.ciqfunctions.udf.CIQ(mh_ticker, "IQ_CASH_EQUIV", , B1384), "")</f>
        <v/>
      </c>
      <c r="F1384" s="11">
        <f>IFERROR(_xll.ciqfunctions.udf.CIQ(mh_ticker, "IQ_ST_INVEST", , B1384), "")</f>
        <v/>
      </c>
      <c r="G1384" s="11">
        <f>IFERROR(_xll.ciqfunctions.udf.CIQ(mh_ticker, "IQ_TOTAL_DEBT_EXCL_OPER_LEASES", , B1384), "")</f>
        <v/>
      </c>
      <c r="H1384" s="11">
        <f>IFERROR(_xll.ciqfunctions.udf.CIQ(mh_ticker, "IQ_PREF_EQUITY", , B1384), "")</f>
        <v/>
      </c>
      <c r="I1384" s="11">
        <f>IFERROR(_xll.ciqfunctions.udf.CIQ(mh_ticker, "IQ_MINORITY_INTEREST", , B1384), "")</f>
        <v/>
      </c>
      <c r="J1384" s="11">
        <f>IFERROR(_xll.ciqfunctions.udf.CIQ(mh_ticker, "IQ_EQUITY_METHOD", , B1384), "")</f>
        <v/>
      </c>
      <c r="K1384" s="11">
        <f>IFERROR(_xll.ciqfunctions.udf.CIQ(mh_ticker, "IQ_LT_Mark_Securities", , B1384), "")</f>
        <v/>
      </c>
      <c r="L1384" s="12">
        <f>IFERROR(C1384*D1384, "")</f>
        <v/>
      </c>
      <c r="M1384" s="12">
        <f>IFERROR(L1384-E1384-F1384+G1384+H1384+I1384-J1384-K1384, "")</f>
        <v/>
      </c>
      <c r="N1384" s="11">
        <f>IFERROR(_xll.ciqfunctions.udf.CIQ(mh_ticker, "IQ_EBITDA_EST", IQ_NTM, B1384, , , "USD"), "")</f>
        <v/>
      </c>
      <c r="O1384" s="13">
        <f>IFERROR(M1384/N1384, "")</f>
        <v/>
      </c>
    </row>
    <row r="1385">
      <c r="B1385" s="8" t="n"/>
      <c r="C1385" s="9">
        <f>IFERROR(_xll.ciqfunctions.udf.CIQ(mh_ticker, "IQ_LASTSALEPRICE", B1385), "")</f>
        <v/>
      </c>
      <c r="D1385" s="10">
        <f>IFERROR(_xll.ciqfunctions.udf.CIQ(mh_ticker, "IQ_SHARESOUTSTANDING_OUT", B1385), "")</f>
        <v/>
      </c>
      <c r="E1385" s="11">
        <f>IFERROR(_xll.ciqfunctions.udf.CIQ(mh_ticker, "IQ_CASH_EQUIV", , B1385), "")</f>
        <v/>
      </c>
      <c r="F1385" s="11">
        <f>IFERROR(_xll.ciqfunctions.udf.CIQ(mh_ticker, "IQ_ST_INVEST", , B1385), "")</f>
        <v/>
      </c>
      <c r="G1385" s="11">
        <f>IFERROR(_xll.ciqfunctions.udf.CIQ(mh_ticker, "IQ_TOTAL_DEBT_EXCL_OPER_LEASES", , B1385), "")</f>
        <v/>
      </c>
      <c r="H1385" s="11">
        <f>IFERROR(_xll.ciqfunctions.udf.CIQ(mh_ticker, "IQ_PREF_EQUITY", , B1385), "")</f>
        <v/>
      </c>
      <c r="I1385" s="11">
        <f>IFERROR(_xll.ciqfunctions.udf.CIQ(mh_ticker, "IQ_MINORITY_INTEREST", , B1385), "")</f>
        <v/>
      </c>
      <c r="J1385" s="11">
        <f>IFERROR(_xll.ciqfunctions.udf.CIQ(mh_ticker, "IQ_EQUITY_METHOD", , B1385), "")</f>
        <v/>
      </c>
      <c r="K1385" s="11">
        <f>IFERROR(_xll.ciqfunctions.udf.CIQ(mh_ticker, "IQ_LT_Mark_Securities", , B1385), "")</f>
        <v/>
      </c>
      <c r="L1385" s="12">
        <f>IFERROR(C1385*D1385, "")</f>
        <v/>
      </c>
      <c r="M1385" s="12">
        <f>IFERROR(L1385-E1385-F1385+G1385+H1385+I1385-J1385-K1385, "")</f>
        <v/>
      </c>
      <c r="N1385" s="11">
        <f>IFERROR(_xll.ciqfunctions.udf.CIQ(mh_ticker, "IQ_EBITDA_EST", IQ_NTM, B1385, , , "USD"), "")</f>
        <v/>
      </c>
      <c r="O1385" s="13">
        <f>IFERROR(M1385/N1385, "")</f>
        <v/>
      </c>
    </row>
    <row r="1386">
      <c r="B1386" s="8" t="n"/>
      <c r="C1386" s="9">
        <f>IFERROR(_xll.ciqfunctions.udf.CIQ(mh_ticker, "IQ_LASTSALEPRICE", B1386), "")</f>
        <v/>
      </c>
      <c r="D1386" s="10">
        <f>IFERROR(_xll.ciqfunctions.udf.CIQ(mh_ticker, "IQ_SHARESOUTSTANDING_OUT", B1386), "")</f>
        <v/>
      </c>
      <c r="E1386" s="11">
        <f>IFERROR(_xll.ciqfunctions.udf.CIQ(mh_ticker, "IQ_CASH_EQUIV", , B1386), "")</f>
        <v/>
      </c>
      <c r="F1386" s="11">
        <f>IFERROR(_xll.ciqfunctions.udf.CIQ(mh_ticker, "IQ_ST_INVEST", , B1386), "")</f>
        <v/>
      </c>
      <c r="G1386" s="11">
        <f>IFERROR(_xll.ciqfunctions.udf.CIQ(mh_ticker, "IQ_TOTAL_DEBT_EXCL_OPER_LEASES", , B1386), "")</f>
        <v/>
      </c>
      <c r="H1386" s="11">
        <f>IFERROR(_xll.ciqfunctions.udf.CIQ(mh_ticker, "IQ_PREF_EQUITY", , B1386), "")</f>
        <v/>
      </c>
      <c r="I1386" s="11">
        <f>IFERROR(_xll.ciqfunctions.udf.CIQ(mh_ticker, "IQ_MINORITY_INTEREST", , B1386), "")</f>
        <v/>
      </c>
      <c r="J1386" s="11">
        <f>IFERROR(_xll.ciqfunctions.udf.CIQ(mh_ticker, "IQ_EQUITY_METHOD", , B1386), "")</f>
        <v/>
      </c>
      <c r="K1386" s="11">
        <f>IFERROR(_xll.ciqfunctions.udf.CIQ(mh_ticker, "IQ_LT_Mark_Securities", , B1386), "")</f>
        <v/>
      </c>
      <c r="L1386" s="12">
        <f>IFERROR(C1386*D1386, "")</f>
        <v/>
      </c>
      <c r="M1386" s="12">
        <f>IFERROR(L1386-E1386-F1386+G1386+H1386+I1386-J1386-K1386, "")</f>
        <v/>
      </c>
      <c r="N1386" s="11">
        <f>IFERROR(_xll.ciqfunctions.udf.CIQ(mh_ticker, "IQ_EBITDA_EST", IQ_NTM, B1386, , , "USD"), "")</f>
        <v/>
      </c>
      <c r="O1386" s="13">
        <f>IFERROR(M1386/N1386, "")</f>
        <v/>
      </c>
    </row>
    <row r="1387">
      <c r="B1387" s="8" t="n"/>
      <c r="C1387" s="9">
        <f>IFERROR(_xll.ciqfunctions.udf.CIQ(mh_ticker, "IQ_LASTSALEPRICE", B1387), "")</f>
        <v/>
      </c>
      <c r="D1387" s="10">
        <f>IFERROR(_xll.ciqfunctions.udf.CIQ(mh_ticker, "IQ_SHARESOUTSTANDING_OUT", B1387), "")</f>
        <v/>
      </c>
      <c r="E1387" s="11">
        <f>IFERROR(_xll.ciqfunctions.udf.CIQ(mh_ticker, "IQ_CASH_EQUIV", , B1387), "")</f>
        <v/>
      </c>
      <c r="F1387" s="11">
        <f>IFERROR(_xll.ciqfunctions.udf.CIQ(mh_ticker, "IQ_ST_INVEST", , B1387), "")</f>
        <v/>
      </c>
      <c r="G1387" s="11">
        <f>IFERROR(_xll.ciqfunctions.udf.CIQ(mh_ticker, "IQ_TOTAL_DEBT_EXCL_OPER_LEASES", , B1387), "")</f>
        <v/>
      </c>
      <c r="H1387" s="11">
        <f>IFERROR(_xll.ciqfunctions.udf.CIQ(mh_ticker, "IQ_PREF_EQUITY", , B1387), "")</f>
        <v/>
      </c>
      <c r="I1387" s="11">
        <f>IFERROR(_xll.ciqfunctions.udf.CIQ(mh_ticker, "IQ_MINORITY_INTEREST", , B1387), "")</f>
        <v/>
      </c>
      <c r="J1387" s="11">
        <f>IFERROR(_xll.ciqfunctions.udf.CIQ(mh_ticker, "IQ_EQUITY_METHOD", , B1387), "")</f>
        <v/>
      </c>
      <c r="K1387" s="11">
        <f>IFERROR(_xll.ciqfunctions.udf.CIQ(mh_ticker, "IQ_LT_Mark_Securities", , B1387), "")</f>
        <v/>
      </c>
      <c r="L1387" s="12">
        <f>IFERROR(C1387*D1387, "")</f>
        <v/>
      </c>
      <c r="M1387" s="12">
        <f>IFERROR(L1387-E1387-F1387+G1387+H1387+I1387-J1387-K1387, "")</f>
        <v/>
      </c>
      <c r="N1387" s="11">
        <f>IFERROR(_xll.ciqfunctions.udf.CIQ(mh_ticker, "IQ_EBITDA_EST", IQ_NTM, B1387, , , "USD"), "")</f>
        <v/>
      </c>
      <c r="O1387" s="13">
        <f>IFERROR(M1387/N1387, "")</f>
        <v/>
      </c>
    </row>
    <row r="1388">
      <c r="B1388" s="8" t="n"/>
      <c r="C1388" s="9">
        <f>IFERROR(_xll.ciqfunctions.udf.CIQ(mh_ticker, "IQ_LASTSALEPRICE", B1388), "")</f>
        <v/>
      </c>
      <c r="D1388" s="10">
        <f>IFERROR(_xll.ciqfunctions.udf.CIQ(mh_ticker, "IQ_SHARESOUTSTANDING_OUT", B1388), "")</f>
        <v/>
      </c>
      <c r="E1388" s="11">
        <f>IFERROR(_xll.ciqfunctions.udf.CIQ(mh_ticker, "IQ_CASH_EQUIV", , B1388), "")</f>
        <v/>
      </c>
      <c r="F1388" s="11">
        <f>IFERROR(_xll.ciqfunctions.udf.CIQ(mh_ticker, "IQ_ST_INVEST", , B1388), "")</f>
        <v/>
      </c>
      <c r="G1388" s="11">
        <f>IFERROR(_xll.ciqfunctions.udf.CIQ(mh_ticker, "IQ_TOTAL_DEBT_EXCL_OPER_LEASES", , B1388), "")</f>
        <v/>
      </c>
      <c r="H1388" s="11">
        <f>IFERROR(_xll.ciqfunctions.udf.CIQ(mh_ticker, "IQ_PREF_EQUITY", , B1388), "")</f>
        <v/>
      </c>
      <c r="I1388" s="11">
        <f>IFERROR(_xll.ciqfunctions.udf.CIQ(mh_ticker, "IQ_MINORITY_INTEREST", , B1388), "")</f>
        <v/>
      </c>
      <c r="J1388" s="11">
        <f>IFERROR(_xll.ciqfunctions.udf.CIQ(mh_ticker, "IQ_EQUITY_METHOD", , B1388), "")</f>
        <v/>
      </c>
      <c r="K1388" s="11">
        <f>IFERROR(_xll.ciqfunctions.udf.CIQ(mh_ticker, "IQ_LT_Mark_Securities", , B1388), "")</f>
        <v/>
      </c>
      <c r="L1388" s="12">
        <f>IFERROR(C1388*D1388, "")</f>
        <v/>
      </c>
      <c r="M1388" s="12">
        <f>IFERROR(L1388-E1388-F1388+G1388+H1388+I1388-J1388-K1388, "")</f>
        <v/>
      </c>
      <c r="N1388" s="11">
        <f>IFERROR(_xll.ciqfunctions.udf.CIQ(mh_ticker, "IQ_EBITDA_EST", IQ_NTM, B1388, , , "USD"), "")</f>
        <v/>
      </c>
      <c r="O1388" s="13">
        <f>IFERROR(M1388/N1388, "")</f>
        <v/>
      </c>
    </row>
    <row r="1389">
      <c r="B1389" s="8" t="n"/>
      <c r="C1389" s="9">
        <f>IFERROR(_xll.ciqfunctions.udf.CIQ(mh_ticker, "IQ_LASTSALEPRICE", B1389), "")</f>
        <v/>
      </c>
      <c r="D1389" s="10">
        <f>IFERROR(_xll.ciqfunctions.udf.CIQ(mh_ticker, "IQ_SHARESOUTSTANDING_OUT", B1389), "")</f>
        <v/>
      </c>
      <c r="E1389" s="11">
        <f>IFERROR(_xll.ciqfunctions.udf.CIQ(mh_ticker, "IQ_CASH_EQUIV", , B1389), "")</f>
        <v/>
      </c>
      <c r="F1389" s="11">
        <f>IFERROR(_xll.ciqfunctions.udf.CIQ(mh_ticker, "IQ_ST_INVEST", , B1389), "")</f>
        <v/>
      </c>
      <c r="G1389" s="11">
        <f>IFERROR(_xll.ciqfunctions.udf.CIQ(mh_ticker, "IQ_TOTAL_DEBT_EXCL_OPER_LEASES", , B1389), "")</f>
        <v/>
      </c>
      <c r="H1389" s="11">
        <f>IFERROR(_xll.ciqfunctions.udf.CIQ(mh_ticker, "IQ_PREF_EQUITY", , B1389), "")</f>
        <v/>
      </c>
      <c r="I1389" s="11">
        <f>IFERROR(_xll.ciqfunctions.udf.CIQ(mh_ticker, "IQ_MINORITY_INTEREST", , B1389), "")</f>
        <v/>
      </c>
      <c r="J1389" s="11">
        <f>IFERROR(_xll.ciqfunctions.udf.CIQ(mh_ticker, "IQ_EQUITY_METHOD", , B1389), "")</f>
        <v/>
      </c>
      <c r="K1389" s="11">
        <f>IFERROR(_xll.ciqfunctions.udf.CIQ(mh_ticker, "IQ_LT_Mark_Securities", , B1389), "")</f>
        <v/>
      </c>
      <c r="L1389" s="12">
        <f>IFERROR(C1389*D1389, "")</f>
        <v/>
      </c>
      <c r="M1389" s="12">
        <f>IFERROR(L1389-E1389-F1389+G1389+H1389+I1389-J1389-K1389, "")</f>
        <v/>
      </c>
      <c r="N1389" s="11">
        <f>IFERROR(_xll.ciqfunctions.udf.CIQ(mh_ticker, "IQ_EBITDA_EST", IQ_NTM, B1389, , , "USD"), "")</f>
        <v/>
      </c>
      <c r="O1389" s="13">
        <f>IFERROR(M1389/N1389, "")</f>
        <v/>
      </c>
    </row>
    <row r="1390">
      <c r="B1390" s="8" t="n"/>
      <c r="C1390" s="9">
        <f>IFERROR(_xll.ciqfunctions.udf.CIQ(mh_ticker, "IQ_LASTSALEPRICE", B1390), "")</f>
        <v/>
      </c>
      <c r="D1390" s="10">
        <f>IFERROR(_xll.ciqfunctions.udf.CIQ(mh_ticker, "IQ_SHARESOUTSTANDING_OUT", B1390), "")</f>
        <v/>
      </c>
      <c r="E1390" s="11">
        <f>IFERROR(_xll.ciqfunctions.udf.CIQ(mh_ticker, "IQ_CASH_EQUIV", , B1390), "")</f>
        <v/>
      </c>
      <c r="F1390" s="11">
        <f>IFERROR(_xll.ciqfunctions.udf.CIQ(mh_ticker, "IQ_ST_INVEST", , B1390), "")</f>
        <v/>
      </c>
      <c r="G1390" s="11">
        <f>IFERROR(_xll.ciqfunctions.udf.CIQ(mh_ticker, "IQ_TOTAL_DEBT_EXCL_OPER_LEASES", , B1390), "")</f>
        <v/>
      </c>
      <c r="H1390" s="11">
        <f>IFERROR(_xll.ciqfunctions.udf.CIQ(mh_ticker, "IQ_PREF_EQUITY", , B1390), "")</f>
        <v/>
      </c>
      <c r="I1390" s="11">
        <f>IFERROR(_xll.ciqfunctions.udf.CIQ(mh_ticker, "IQ_MINORITY_INTEREST", , B1390), "")</f>
        <v/>
      </c>
      <c r="J1390" s="11">
        <f>IFERROR(_xll.ciqfunctions.udf.CIQ(mh_ticker, "IQ_EQUITY_METHOD", , B1390), "")</f>
        <v/>
      </c>
      <c r="K1390" s="11">
        <f>IFERROR(_xll.ciqfunctions.udf.CIQ(mh_ticker, "IQ_LT_Mark_Securities", , B1390), "")</f>
        <v/>
      </c>
      <c r="L1390" s="12">
        <f>IFERROR(C1390*D1390, "")</f>
        <v/>
      </c>
      <c r="M1390" s="12">
        <f>IFERROR(L1390-E1390-F1390+G1390+H1390+I1390-J1390-K1390, "")</f>
        <v/>
      </c>
      <c r="N1390" s="11">
        <f>IFERROR(_xll.ciqfunctions.udf.CIQ(mh_ticker, "IQ_EBITDA_EST", IQ_NTM, B1390, , , "USD"), "")</f>
        <v/>
      </c>
      <c r="O1390" s="13">
        <f>IFERROR(M1390/N1390, "")</f>
        <v/>
      </c>
    </row>
    <row r="1391">
      <c r="B1391" s="8" t="n"/>
      <c r="C1391" s="9">
        <f>IFERROR(_xll.ciqfunctions.udf.CIQ(mh_ticker, "IQ_LASTSALEPRICE", B1391), "")</f>
        <v/>
      </c>
      <c r="D1391" s="10">
        <f>IFERROR(_xll.ciqfunctions.udf.CIQ(mh_ticker, "IQ_SHARESOUTSTANDING_OUT", B1391), "")</f>
        <v/>
      </c>
      <c r="E1391" s="11">
        <f>IFERROR(_xll.ciqfunctions.udf.CIQ(mh_ticker, "IQ_CASH_EQUIV", , B1391), "")</f>
        <v/>
      </c>
      <c r="F1391" s="11">
        <f>IFERROR(_xll.ciqfunctions.udf.CIQ(mh_ticker, "IQ_ST_INVEST", , B1391), "")</f>
        <v/>
      </c>
      <c r="G1391" s="11">
        <f>IFERROR(_xll.ciqfunctions.udf.CIQ(mh_ticker, "IQ_TOTAL_DEBT_EXCL_OPER_LEASES", , B1391), "")</f>
        <v/>
      </c>
      <c r="H1391" s="11">
        <f>IFERROR(_xll.ciqfunctions.udf.CIQ(mh_ticker, "IQ_PREF_EQUITY", , B1391), "")</f>
        <v/>
      </c>
      <c r="I1391" s="11">
        <f>IFERROR(_xll.ciqfunctions.udf.CIQ(mh_ticker, "IQ_MINORITY_INTEREST", , B1391), "")</f>
        <v/>
      </c>
      <c r="J1391" s="11">
        <f>IFERROR(_xll.ciqfunctions.udf.CIQ(mh_ticker, "IQ_EQUITY_METHOD", , B1391), "")</f>
        <v/>
      </c>
      <c r="K1391" s="11">
        <f>IFERROR(_xll.ciqfunctions.udf.CIQ(mh_ticker, "IQ_LT_Mark_Securities", , B1391), "")</f>
        <v/>
      </c>
      <c r="L1391" s="12">
        <f>IFERROR(C1391*D1391, "")</f>
        <v/>
      </c>
      <c r="M1391" s="12">
        <f>IFERROR(L1391-E1391-F1391+G1391+H1391+I1391-J1391-K1391, "")</f>
        <v/>
      </c>
      <c r="N1391" s="11">
        <f>IFERROR(_xll.ciqfunctions.udf.CIQ(mh_ticker, "IQ_EBITDA_EST", IQ_NTM, B1391, , , "USD"), "")</f>
        <v/>
      </c>
      <c r="O1391" s="13">
        <f>IFERROR(M1391/N1391, "")</f>
        <v/>
      </c>
    </row>
    <row r="1392">
      <c r="B1392" s="8" t="n"/>
      <c r="C1392" s="9">
        <f>IFERROR(_xll.ciqfunctions.udf.CIQ(mh_ticker, "IQ_LASTSALEPRICE", B1392), "")</f>
        <v/>
      </c>
      <c r="D1392" s="10">
        <f>IFERROR(_xll.ciqfunctions.udf.CIQ(mh_ticker, "IQ_SHARESOUTSTANDING_OUT", B1392), "")</f>
        <v/>
      </c>
      <c r="E1392" s="11">
        <f>IFERROR(_xll.ciqfunctions.udf.CIQ(mh_ticker, "IQ_CASH_EQUIV", , B1392), "")</f>
        <v/>
      </c>
      <c r="F1392" s="11">
        <f>IFERROR(_xll.ciqfunctions.udf.CIQ(mh_ticker, "IQ_ST_INVEST", , B1392), "")</f>
        <v/>
      </c>
      <c r="G1392" s="11">
        <f>IFERROR(_xll.ciqfunctions.udf.CIQ(mh_ticker, "IQ_TOTAL_DEBT_EXCL_OPER_LEASES", , B1392), "")</f>
        <v/>
      </c>
      <c r="H1392" s="11">
        <f>IFERROR(_xll.ciqfunctions.udf.CIQ(mh_ticker, "IQ_PREF_EQUITY", , B1392), "")</f>
        <v/>
      </c>
      <c r="I1392" s="11">
        <f>IFERROR(_xll.ciqfunctions.udf.CIQ(mh_ticker, "IQ_MINORITY_INTEREST", , B1392), "")</f>
        <v/>
      </c>
      <c r="J1392" s="11">
        <f>IFERROR(_xll.ciqfunctions.udf.CIQ(mh_ticker, "IQ_EQUITY_METHOD", , B1392), "")</f>
        <v/>
      </c>
      <c r="K1392" s="11">
        <f>IFERROR(_xll.ciqfunctions.udf.CIQ(mh_ticker, "IQ_LT_Mark_Securities", , B1392), "")</f>
        <v/>
      </c>
      <c r="L1392" s="12">
        <f>IFERROR(C1392*D1392, "")</f>
        <v/>
      </c>
      <c r="M1392" s="12">
        <f>IFERROR(L1392-E1392-F1392+G1392+H1392+I1392-J1392-K1392, "")</f>
        <v/>
      </c>
      <c r="N1392" s="11">
        <f>IFERROR(_xll.ciqfunctions.udf.CIQ(mh_ticker, "IQ_EBITDA_EST", IQ_NTM, B1392, , , "USD"), "")</f>
        <v/>
      </c>
      <c r="O1392" s="13">
        <f>IFERROR(M1392/N1392, "")</f>
        <v/>
      </c>
    </row>
    <row r="1393">
      <c r="B1393" s="8" t="n"/>
      <c r="C1393" s="9">
        <f>IFERROR(_xll.ciqfunctions.udf.CIQ(mh_ticker, "IQ_LASTSALEPRICE", B1393), "")</f>
        <v/>
      </c>
      <c r="D1393" s="10">
        <f>IFERROR(_xll.ciqfunctions.udf.CIQ(mh_ticker, "IQ_SHARESOUTSTANDING_OUT", B1393), "")</f>
        <v/>
      </c>
      <c r="E1393" s="11">
        <f>IFERROR(_xll.ciqfunctions.udf.CIQ(mh_ticker, "IQ_CASH_EQUIV", , B1393), "")</f>
        <v/>
      </c>
      <c r="F1393" s="11">
        <f>IFERROR(_xll.ciqfunctions.udf.CIQ(mh_ticker, "IQ_ST_INVEST", , B1393), "")</f>
        <v/>
      </c>
      <c r="G1393" s="11">
        <f>IFERROR(_xll.ciqfunctions.udf.CIQ(mh_ticker, "IQ_TOTAL_DEBT_EXCL_OPER_LEASES", , B1393), "")</f>
        <v/>
      </c>
      <c r="H1393" s="11">
        <f>IFERROR(_xll.ciqfunctions.udf.CIQ(mh_ticker, "IQ_PREF_EQUITY", , B1393), "")</f>
        <v/>
      </c>
      <c r="I1393" s="11">
        <f>IFERROR(_xll.ciqfunctions.udf.CIQ(mh_ticker, "IQ_MINORITY_INTEREST", , B1393), "")</f>
        <v/>
      </c>
      <c r="J1393" s="11">
        <f>IFERROR(_xll.ciqfunctions.udf.CIQ(mh_ticker, "IQ_EQUITY_METHOD", , B1393), "")</f>
        <v/>
      </c>
      <c r="K1393" s="11">
        <f>IFERROR(_xll.ciqfunctions.udf.CIQ(mh_ticker, "IQ_LT_Mark_Securities", , B1393), "")</f>
        <v/>
      </c>
      <c r="L1393" s="12">
        <f>IFERROR(C1393*D1393, "")</f>
        <v/>
      </c>
      <c r="M1393" s="12">
        <f>IFERROR(L1393-E1393-F1393+G1393+H1393+I1393-J1393-K1393, "")</f>
        <v/>
      </c>
      <c r="N1393" s="11">
        <f>IFERROR(_xll.ciqfunctions.udf.CIQ(mh_ticker, "IQ_EBITDA_EST", IQ_NTM, B1393, , , "USD"), "")</f>
        <v/>
      </c>
      <c r="O1393" s="13">
        <f>IFERROR(M1393/N1393, "")</f>
        <v/>
      </c>
    </row>
    <row r="1394">
      <c r="B1394" s="8" t="n"/>
      <c r="C1394" s="9">
        <f>IFERROR(_xll.ciqfunctions.udf.CIQ(mh_ticker, "IQ_LASTSALEPRICE", B1394), "")</f>
        <v/>
      </c>
      <c r="D1394" s="10">
        <f>IFERROR(_xll.ciqfunctions.udf.CIQ(mh_ticker, "IQ_SHARESOUTSTANDING_OUT", B1394), "")</f>
        <v/>
      </c>
      <c r="E1394" s="11">
        <f>IFERROR(_xll.ciqfunctions.udf.CIQ(mh_ticker, "IQ_CASH_EQUIV", , B1394), "")</f>
        <v/>
      </c>
      <c r="F1394" s="11">
        <f>IFERROR(_xll.ciqfunctions.udf.CIQ(mh_ticker, "IQ_ST_INVEST", , B1394), "")</f>
        <v/>
      </c>
      <c r="G1394" s="11">
        <f>IFERROR(_xll.ciqfunctions.udf.CIQ(mh_ticker, "IQ_TOTAL_DEBT_EXCL_OPER_LEASES", , B1394), "")</f>
        <v/>
      </c>
      <c r="H1394" s="11">
        <f>IFERROR(_xll.ciqfunctions.udf.CIQ(mh_ticker, "IQ_PREF_EQUITY", , B1394), "")</f>
        <v/>
      </c>
      <c r="I1394" s="11">
        <f>IFERROR(_xll.ciqfunctions.udf.CIQ(mh_ticker, "IQ_MINORITY_INTEREST", , B1394), "")</f>
        <v/>
      </c>
      <c r="J1394" s="11">
        <f>IFERROR(_xll.ciqfunctions.udf.CIQ(mh_ticker, "IQ_EQUITY_METHOD", , B1394), "")</f>
        <v/>
      </c>
      <c r="K1394" s="11">
        <f>IFERROR(_xll.ciqfunctions.udf.CIQ(mh_ticker, "IQ_LT_Mark_Securities", , B1394), "")</f>
        <v/>
      </c>
      <c r="L1394" s="12">
        <f>IFERROR(C1394*D1394, "")</f>
        <v/>
      </c>
      <c r="M1394" s="12">
        <f>IFERROR(L1394-E1394-F1394+G1394+H1394+I1394-J1394-K1394, "")</f>
        <v/>
      </c>
      <c r="N1394" s="11">
        <f>IFERROR(_xll.ciqfunctions.udf.CIQ(mh_ticker, "IQ_EBITDA_EST", IQ_NTM, B1394, , , "USD"), "")</f>
        <v/>
      </c>
      <c r="O1394" s="13">
        <f>IFERROR(M1394/N1394, "")</f>
        <v/>
      </c>
    </row>
    <row r="1395">
      <c r="B1395" s="8" t="n"/>
      <c r="C1395" s="9">
        <f>IFERROR(_xll.ciqfunctions.udf.CIQ(mh_ticker, "IQ_LASTSALEPRICE", B1395), "")</f>
        <v/>
      </c>
      <c r="D1395" s="10">
        <f>IFERROR(_xll.ciqfunctions.udf.CIQ(mh_ticker, "IQ_SHARESOUTSTANDING_OUT", B1395), "")</f>
        <v/>
      </c>
      <c r="E1395" s="11">
        <f>IFERROR(_xll.ciqfunctions.udf.CIQ(mh_ticker, "IQ_CASH_EQUIV", , B1395), "")</f>
        <v/>
      </c>
      <c r="F1395" s="11">
        <f>IFERROR(_xll.ciqfunctions.udf.CIQ(mh_ticker, "IQ_ST_INVEST", , B1395), "")</f>
        <v/>
      </c>
      <c r="G1395" s="11">
        <f>IFERROR(_xll.ciqfunctions.udf.CIQ(mh_ticker, "IQ_TOTAL_DEBT_EXCL_OPER_LEASES", , B1395), "")</f>
        <v/>
      </c>
      <c r="H1395" s="11">
        <f>IFERROR(_xll.ciqfunctions.udf.CIQ(mh_ticker, "IQ_PREF_EQUITY", , B1395), "")</f>
        <v/>
      </c>
      <c r="I1395" s="11">
        <f>IFERROR(_xll.ciqfunctions.udf.CIQ(mh_ticker, "IQ_MINORITY_INTEREST", , B1395), "")</f>
        <v/>
      </c>
      <c r="J1395" s="11">
        <f>IFERROR(_xll.ciqfunctions.udf.CIQ(mh_ticker, "IQ_EQUITY_METHOD", , B1395), "")</f>
        <v/>
      </c>
      <c r="K1395" s="11">
        <f>IFERROR(_xll.ciqfunctions.udf.CIQ(mh_ticker, "IQ_LT_Mark_Securities", , B1395), "")</f>
        <v/>
      </c>
      <c r="L1395" s="12">
        <f>IFERROR(C1395*D1395, "")</f>
        <v/>
      </c>
      <c r="M1395" s="12">
        <f>IFERROR(L1395-E1395-F1395+G1395+H1395+I1395-J1395-K1395, "")</f>
        <v/>
      </c>
      <c r="N1395" s="11">
        <f>IFERROR(_xll.ciqfunctions.udf.CIQ(mh_ticker, "IQ_EBITDA_EST", IQ_NTM, B1395, , , "USD"), "")</f>
        <v/>
      </c>
      <c r="O1395" s="13">
        <f>IFERROR(M1395/N1395, "")</f>
        <v/>
      </c>
    </row>
    <row r="1396">
      <c r="B1396" s="8" t="n"/>
      <c r="C1396" s="9">
        <f>IFERROR(_xll.ciqfunctions.udf.CIQ(mh_ticker, "IQ_LASTSALEPRICE", B1396), "")</f>
        <v/>
      </c>
      <c r="D1396" s="10">
        <f>IFERROR(_xll.ciqfunctions.udf.CIQ(mh_ticker, "IQ_SHARESOUTSTANDING_OUT", B1396), "")</f>
        <v/>
      </c>
      <c r="E1396" s="11">
        <f>IFERROR(_xll.ciqfunctions.udf.CIQ(mh_ticker, "IQ_CASH_EQUIV", , B1396), "")</f>
        <v/>
      </c>
      <c r="F1396" s="11">
        <f>IFERROR(_xll.ciqfunctions.udf.CIQ(mh_ticker, "IQ_ST_INVEST", , B1396), "")</f>
        <v/>
      </c>
      <c r="G1396" s="11">
        <f>IFERROR(_xll.ciqfunctions.udf.CIQ(mh_ticker, "IQ_TOTAL_DEBT_EXCL_OPER_LEASES", , B1396), "")</f>
        <v/>
      </c>
      <c r="H1396" s="11">
        <f>IFERROR(_xll.ciqfunctions.udf.CIQ(mh_ticker, "IQ_PREF_EQUITY", , B1396), "")</f>
        <v/>
      </c>
      <c r="I1396" s="11">
        <f>IFERROR(_xll.ciqfunctions.udf.CIQ(mh_ticker, "IQ_MINORITY_INTEREST", , B1396), "")</f>
        <v/>
      </c>
      <c r="J1396" s="11">
        <f>IFERROR(_xll.ciqfunctions.udf.CIQ(mh_ticker, "IQ_EQUITY_METHOD", , B1396), "")</f>
        <v/>
      </c>
      <c r="K1396" s="11">
        <f>IFERROR(_xll.ciqfunctions.udf.CIQ(mh_ticker, "IQ_LT_Mark_Securities", , B1396), "")</f>
        <v/>
      </c>
      <c r="L1396" s="12">
        <f>IFERROR(C1396*D1396, "")</f>
        <v/>
      </c>
      <c r="M1396" s="12">
        <f>IFERROR(L1396-E1396-F1396+G1396+H1396+I1396-J1396-K1396, "")</f>
        <v/>
      </c>
      <c r="N1396" s="11">
        <f>IFERROR(_xll.ciqfunctions.udf.CIQ(mh_ticker, "IQ_EBITDA_EST", IQ_NTM, B1396, , , "USD"), "")</f>
        <v/>
      </c>
      <c r="O1396" s="13">
        <f>IFERROR(M1396/N1396, "")</f>
        <v/>
      </c>
    </row>
    <row r="1397">
      <c r="B1397" s="8" t="n"/>
      <c r="C1397" s="9">
        <f>IFERROR(_xll.ciqfunctions.udf.CIQ(mh_ticker, "IQ_LASTSALEPRICE", B1397), "")</f>
        <v/>
      </c>
      <c r="D1397" s="10">
        <f>IFERROR(_xll.ciqfunctions.udf.CIQ(mh_ticker, "IQ_SHARESOUTSTANDING_OUT", B1397), "")</f>
        <v/>
      </c>
      <c r="E1397" s="11">
        <f>IFERROR(_xll.ciqfunctions.udf.CIQ(mh_ticker, "IQ_CASH_EQUIV", , B1397), "")</f>
        <v/>
      </c>
      <c r="F1397" s="11">
        <f>IFERROR(_xll.ciqfunctions.udf.CIQ(mh_ticker, "IQ_ST_INVEST", , B1397), "")</f>
        <v/>
      </c>
      <c r="G1397" s="11">
        <f>IFERROR(_xll.ciqfunctions.udf.CIQ(mh_ticker, "IQ_TOTAL_DEBT_EXCL_OPER_LEASES", , B1397), "")</f>
        <v/>
      </c>
      <c r="H1397" s="11">
        <f>IFERROR(_xll.ciqfunctions.udf.CIQ(mh_ticker, "IQ_PREF_EQUITY", , B1397), "")</f>
        <v/>
      </c>
      <c r="I1397" s="11">
        <f>IFERROR(_xll.ciqfunctions.udf.CIQ(mh_ticker, "IQ_MINORITY_INTEREST", , B1397), "")</f>
        <v/>
      </c>
      <c r="J1397" s="11">
        <f>IFERROR(_xll.ciqfunctions.udf.CIQ(mh_ticker, "IQ_EQUITY_METHOD", , B1397), "")</f>
        <v/>
      </c>
      <c r="K1397" s="11">
        <f>IFERROR(_xll.ciqfunctions.udf.CIQ(mh_ticker, "IQ_LT_Mark_Securities", , B1397), "")</f>
        <v/>
      </c>
      <c r="L1397" s="12">
        <f>IFERROR(C1397*D1397, "")</f>
        <v/>
      </c>
      <c r="M1397" s="12">
        <f>IFERROR(L1397-E1397-F1397+G1397+H1397+I1397-J1397-K1397, "")</f>
        <v/>
      </c>
      <c r="N1397" s="11">
        <f>IFERROR(_xll.ciqfunctions.udf.CIQ(mh_ticker, "IQ_EBITDA_EST", IQ_NTM, B1397, , , "USD"), "")</f>
        <v/>
      </c>
      <c r="O1397" s="13">
        <f>IFERROR(M1397/N1397, "")</f>
        <v/>
      </c>
    </row>
    <row r="1398">
      <c r="B1398" s="8" t="n"/>
      <c r="C1398" s="9">
        <f>IFERROR(_xll.ciqfunctions.udf.CIQ(mh_ticker, "IQ_LASTSALEPRICE", B1398), "")</f>
        <v/>
      </c>
      <c r="D1398" s="10">
        <f>IFERROR(_xll.ciqfunctions.udf.CIQ(mh_ticker, "IQ_SHARESOUTSTANDING_OUT", B1398), "")</f>
        <v/>
      </c>
      <c r="E1398" s="11">
        <f>IFERROR(_xll.ciqfunctions.udf.CIQ(mh_ticker, "IQ_CASH_EQUIV", , B1398), "")</f>
        <v/>
      </c>
      <c r="F1398" s="11">
        <f>IFERROR(_xll.ciqfunctions.udf.CIQ(mh_ticker, "IQ_ST_INVEST", , B1398), "")</f>
        <v/>
      </c>
      <c r="G1398" s="11">
        <f>IFERROR(_xll.ciqfunctions.udf.CIQ(mh_ticker, "IQ_TOTAL_DEBT_EXCL_OPER_LEASES", , B1398), "")</f>
        <v/>
      </c>
      <c r="H1398" s="11">
        <f>IFERROR(_xll.ciqfunctions.udf.CIQ(mh_ticker, "IQ_PREF_EQUITY", , B1398), "")</f>
        <v/>
      </c>
      <c r="I1398" s="11">
        <f>IFERROR(_xll.ciqfunctions.udf.CIQ(mh_ticker, "IQ_MINORITY_INTEREST", , B1398), "")</f>
        <v/>
      </c>
      <c r="J1398" s="11">
        <f>IFERROR(_xll.ciqfunctions.udf.CIQ(mh_ticker, "IQ_EQUITY_METHOD", , B1398), "")</f>
        <v/>
      </c>
      <c r="K1398" s="11">
        <f>IFERROR(_xll.ciqfunctions.udf.CIQ(mh_ticker, "IQ_LT_Mark_Securities", , B1398), "")</f>
        <v/>
      </c>
      <c r="L1398" s="12">
        <f>IFERROR(C1398*D1398, "")</f>
        <v/>
      </c>
      <c r="M1398" s="12">
        <f>IFERROR(L1398-E1398-F1398+G1398+H1398+I1398-J1398-K1398, "")</f>
        <v/>
      </c>
      <c r="N1398" s="11">
        <f>IFERROR(_xll.ciqfunctions.udf.CIQ(mh_ticker, "IQ_EBITDA_EST", IQ_NTM, B1398, , , "USD"), "")</f>
        <v/>
      </c>
      <c r="O1398" s="13">
        <f>IFERROR(M1398/N1398, "")</f>
        <v/>
      </c>
    </row>
    <row r="1399">
      <c r="B1399" s="8" t="n"/>
      <c r="C1399" s="9">
        <f>IFERROR(_xll.ciqfunctions.udf.CIQ(mh_ticker, "IQ_LASTSALEPRICE", B1399), "")</f>
        <v/>
      </c>
      <c r="D1399" s="10">
        <f>IFERROR(_xll.ciqfunctions.udf.CIQ(mh_ticker, "IQ_SHARESOUTSTANDING_OUT", B1399), "")</f>
        <v/>
      </c>
      <c r="E1399" s="11">
        <f>IFERROR(_xll.ciqfunctions.udf.CIQ(mh_ticker, "IQ_CASH_EQUIV", , B1399), "")</f>
        <v/>
      </c>
      <c r="F1399" s="11">
        <f>IFERROR(_xll.ciqfunctions.udf.CIQ(mh_ticker, "IQ_ST_INVEST", , B1399), "")</f>
        <v/>
      </c>
      <c r="G1399" s="11">
        <f>IFERROR(_xll.ciqfunctions.udf.CIQ(mh_ticker, "IQ_TOTAL_DEBT_EXCL_OPER_LEASES", , B1399), "")</f>
        <v/>
      </c>
      <c r="H1399" s="11">
        <f>IFERROR(_xll.ciqfunctions.udf.CIQ(mh_ticker, "IQ_PREF_EQUITY", , B1399), "")</f>
        <v/>
      </c>
      <c r="I1399" s="11">
        <f>IFERROR(_xll.ciqfunctions.udf.CIQ(mh_ticker, "IQ_MINORITY_INTEREST", , B1399), "")</f>
        <v/>
      </c>
      <c r="J1399" s="11">
        <f>IFERROR(_xll.ciqfunctions.udf.CIQ(mh_ticker, "IQ_EQUITY_METHOD", , B1399), "")</f>
        <v/>
      </c>
      <c r="K1399" s="11">
        <f>IFERROR(_xll.ciqfunctions.udf.CIQ(mh_ticker, "IQ_LT_Mark_Securities", , B1399), "")</f>
        <v/>
      </c>
      <c r="L1399" s="12">
        <f>IFERROR(C1399*D1399, "")</f>
        <v/>
      </c>
      <c r="M1399" s="12">
        <f>IFERROR(L1399-E1399-F1399+G1399+H1399+I1399-J1399-K1399, "")</f>
        <v/>
      </c>
      <c r="N1399" s="11">
        <f>IFERROR(_xll.ciqfunctions.udf.CIQ(mh_ticker, "IQ_EBITDA_EST", IQ_NTM, B1399, , , "USD"), "")</f>
        <v/>
      </c>
      <c r="O1399" s="13">
        <f>IFERROR(M1399/N1399, "")</f>
        <v/>
      </c>
    </row>
    <row r="1400">
      <c r="B1400" s="8" t="n"/>
      <c r="C1400" s="9">
        <f>IFERROR(_xll.ciqfunctions.udf.CIQ(mh_ticker, "IQ_LASTSALEPRICE", B1400), "")</f>
        <v/>
      </c>
      <c r="D1400" s="10">
        <f>IFERROR(_xll.ciqfunctions.udf.CIQ(mh_ticker, "IQ_SHARESOUTSTANDING_OUT", B1400), "")</f>
        <v/>
      </c>
      <c r="E1400" s="11">
        <f>IFERROR(_xll.ciqfunctions.udf.CIQ(mh_ticker, "IQ_CASH_EQUIV", , B1400), "")</f>
        <v/>
      </c>
      <c r="F1400" s="11">
        <f>IFERROR(_xll.ciqfunctions.udf.CIQ(mh_ticker, "IQ_ST_INVEST", , B1400), "")</f>
        <v/>
      </c>
      <c r="G1400" s="11">
        <f>IFERROR(_xll.ciqfunctions.udf.CIQ(mh_ticker, "IQ_TOTAL_DEBT_EXCL_OPER_LEASES", , B1400), "")</f>
        <v/>
      </c>
      <c r="H1400" s="11">
        <f>IFERROR(_xll.ciqfunctions.udf.CIQ(mh_ticker, "IQ_PREF_EQUITY", , B1400), "")</f>
        <v/>
      </c>
      <c r="I1400" s="11">
        <f>IFERROR(_xll.ciqfunctions.udf.CIQ(mh_ticker, "IQ_MINORITY_INTEREST", , B1400), "")</f>
        <v/>
      </c>
      <c r="J1400" s="11">
        <f>IFERROR(_xll.ciqfunctions.udf.CIQ(mh_ticker, "IQ_EQUITY_METHOD", , B1400), "")</f>
        <v/>
      </c>
      <c r="K1400" s="11">
        <f>IFERROR(_xll.ciqfunctions.udf.CIQ(mh_ticker, "IQ_LT_Mark_Securities", , B1400), "")</f>
        <v/>
      </c>
      <c r="L1400" s="12">
        <f>IFERROR(C1400*D1400, "")</f>
        <v/>
      </c>
      <c r="M1400" s="12">
        <f>IFERROR(L1400-E1400-F1400+G1400+H1400+I1400-J1400-K1400, "")</f>
        <v/>
      </c>
      <c r="N1400" s="11">
        <f>IFERROR(_xll.ciqfunctions.udf.CIQ(mh_ticker, "IQ_EBITDA_EST", IQ_NTM, B1400, , , "USD"), "")</f>
        <v/>
      </c>
      <c r="O1400" s="13">
        <f>IFERROR(M1400/N1400, "")</f>
        <v/>
      </c>
    </row>
    <row r="1401">
      <c r="B1401" s="8" t="n"/>
      <c r="C1401" s="9">
        <f>IFERROR(_xll.ciqfunctions.udf.CIQ(mh_ticker, "IQ_LASTSALEPRICE", B1401), "")</f>
        <v/>
      </c>
      <c r="D1401" s="10">
        <f>IFERROR(_xll.ciqfunctions.udf.CIQ(mh_ticker, "IQ_SHARESOUTSTANDING_OUT", B1401), "")</f>
        <v/>
      </c>
      <c r="E1401" s="11">
        <f>IFERROR(_xll.ciqfunctions.udf.CIQ(mh_ticker, "IQ_CASH_EQUIV", , B1401), "")</f>
        <v/>
      </c>
      <c r="F1401" s="11">
        <f>IFERROR(_xll.ciqfunctions.udf.CIQ(mh_ticker, "IQ_ST_INVEST", , B1401), "")</f>
        <v/>
      </c>
      <c r="G1401" s="11">
        <f>IFERROR(_xll.ciqfunctions.udf.CIQ(mh_ticker, "IQ_TOTAL_DEBT_EXCL_OPER_LEASES", , B1401), "")</f>
        <v/>
      </c>
      <c r="H1401" s="11">
        <f>IFERROR(_xll.ciqfunctions.udf.CIQ(mh_ticker, "IQ_PREF_EQUITY", , B1401), "")</f>
        <v/>
      </c>
      <c r="I1401" s="11">
        <f>IFERROR(_xll.ciqfunctions.udf.CIQ(mh_ticker, "IQ_MINORITY_INTEREST", , B1401), "")</f>
        <v/>
      </c>
      <c r="J1401" s="11">
        <f>IFERROR(_xll.ciqfunctions.udf.CIQ(mh_ticker, "IQ_EQUITY_METHOD", , B1401), "")</f>
        <v/>
      </c>
      <c r="K1401" s="11">
        <f>IFERROR(_xll.ciqfunctions.udf.CIQ(mh_ticker, "IQ_LT_Mark_Securities", , B1401), "")</f>
        <v/>
      </c>
      <c r="L1401" s="12">
        <f>IFERROR(C1401*D1401, "")</f>
        <v/>
      </c>
      <c r="M1401" s="12">
        <f>IFERROR(L1401-E1401-F1401+G1401+H1401+I1401-J1401-K1401, "")</f>
        <v/>
      </c>
      <c r="N1401" s="11">
        <f>IFERROR(_xll.ciqfunctions.udf.CIQ(mh_ticker, "IQ_EBITDA_EST", IQ_NTM, B1401, , , "USD"), "")</f>
        <v/>
      </c>
      <c r="O1401" s="13">
        <f>IFERROR(M1401/N1401, "")</f>
        <v/>
      </c>
    </row>
    <row r="1402">
      <c r="B1402" s="8" t="n"/>
      <c r="C1402" s="9">
        <f>IFERROR(_xll.ciqfunctions.udf.CIQ(mh_ticker, "IQ_LASTSALEPRICE", B1402), "")</f>
        <v/>
      </c>
      <c r="D1402" s="10">
        <f>IFERROR(_xll.ciqfunctions.udf.CIQ(mh_ticker, "IQ_SHARESOUTSTANDING_OUT", B1402), "")</f>
        <v/>
      </c>
      <c r="E1402" s="11">
        <f>IFERROR(_xll.ciqfunctions.udf.CIQ(mh_ticker, "IQ_CASH_EQUIV", , B1402), "")</f>
        <v/>
      </c>
      <c r="F1402" s="11">
        <f>IFERROR(_xll.ciqfunctions.udf.CIQ(mh_ticker, "IQ_ST_INVEST", , B1402), "")</f>
        <v/>
      </c>
      <c r="G1402" s="11">
        <f>IFERROR(_xll.ciqfunctions.udf.CIQ(mh_ticker, "IQ_TOTAL_DEBT_EXCL_OPER_LEASES", , B1402), "")</f>
        <v/>
      </c>
      <c r="H1402" s="11">
        <f>IFERROR(_xll.ciqfunctions.udf.CIQ(mh_ticker, "IQ_PREF_EQUITY", , B1402), "")</f>
        <v/>
      </c>
      <c r="I1402" s="11">
        <f>IFERROR(_xll.ciqfunctions.udf.CIQ(mh_ticker, "IQ_MINORITY_INTEREST", , B1402), "")</f>
        <v/>
      </c>
      <c r="J1402" s="11">
        <f>IFERROR(_xll.ciqfunctions.udf.CIQ(mh_ticker, "IQ_EQUITY_METHOD", , B1402), "")</f>
        <v/>
      </c>
      <c r="K1402" s="11">
        <f>IFERROR(_xll.ciqfunctions.udf.CIQ(mh_ticker, "IQ_LT_Mark_Securities", , B1402), "")</f>
        <v/>
      </c>
      <c r="L1402" s="12">
        <f>IFERROR(C1402*D1402, "")</f>
        <v/>
      </c>
      <c r="M1402" s="12">
        <f>IFERROR(L1402-E1402-F1402+G1402+H1402+I1402-J1402-K1402, "")</f>
        <v/>
      </c>
      <c r="N1402" s="11">
        <f>IFERROR(_xll.ciqfunctions.udf.CIQ(mh_ticker, "IQ_EBITDA_EST", IQ_NTM, B1402, , , "USD"), "")</f>
        <v/>
      </c>
      <c r="O1402" s="13">
        <f>IFERROR(M1402/N1402, "")</f>
        <v/>
      </c>
    </row>
    <row r="1403">
      <c r="B1403" s="8" t="n"/>
      <c r="C1403" s="9">
        <f>IFERROR(_xll.ciqfunctions.udf.CIQ(mh_ticker, "IQ_LASTSALEPRICE", B1403), "")</f>
        <v/>
      </c>
      <c r="D1403" s="10">
        <f>IFERROR(_xll.ciqfunctions.udf.CIQ(mh_ticker, "IQ_SHARESOUTSTANDING_OUT", B1403), "")</f>
        <v/>
      </c>
      <c r="E1403" s="11">
        <f>IFERROR(_xll.ciqfunctions.udf.CIQ(mh_ticker, "IQ_CASH_EQUIV", , B1403), "")</f>
        <v/>
      </c>
      <c r="F1403" s="11">
        <f>IFERROR(_xll.ciqfunctions.udf.CIQ(mh_ticker, "IQ_ST_INVEST", , B1403), "")</f>
        <v/>
      </c>
      <c r="G1403" s="11">
        <f>IFERROR(_xll.ciqfunctions.udf.CIQ(mh_ticker, "IQ_TOTAL_DEBT_EXCL_OPER_LEASES", , B1403), "")</f>
        <v/>
      </c>
      <c r="H1403" s="11">
        <f>IFERROR(_xll.ciqfunctions.udf.CIQ(mh_ticker, "IQ_PREF_EQUITY", , B1403), "")</f>
        <v/>
      </c>
      <c r="I1403" s="11">
        <f>IFERROR(_xll.ciqfunctions.udf.CIQ(mh_ticker, "IQ_MINORITY_INTEREST", , B1403), "")</f>
        <v/>
      </c>
      <c r="J1403" s="11">
        <f>IFERROR(_xll.ciqfunctions.udf.CIQ(mh_ticker, "IQ_EQUITY_METHOD", , B1403), "")</f>
        <v/>
      </c>
      <c r="K1403" s="11">
        <f>IFERROR(_xll.ciqfunctions.udf.CIQ(mh_ticker, "IQ_LT_Mark_Securities", , B1403), "")</f>
        <v/>
      </c>
      <c r="L1403" s="12">
        <f>IFERROR(C1403*D1403, "")</f>
        <v/>
      </c>
      <c r="M1403" s="12">
        <f>IFERROR(L1403-E1403-F1403+G1403+H1403+I1403-J1403-K1403, "")</f>
        <v/>
      </c>
      <c r="N1403" s="11">
        <f>IFERROR(_xll.ciqfunctions.udf.CIQ(mh_ticker, "IQ_EBITDA_EST", IQ_NTM, B1403, , , "USD"), "")</f>
        <v/>
      </c>
      <c r="O1403" s="13">
        <f>IFERROR(M1403/N1403, "")</f>
        <v/>
      </c>
    </row>
    <row r="1404">
      <c r="B1404" s="8" t="n"/>
      <c r="C1404" s="9">
        <f>IFERROR(_xll.ciqfunctions.udf.CIQ(mh_ticker, "IQ_LASTSALEPRICE", B1404), "")</f>
        <v/>
      </c>
      <c r="D1404" s="10">
        <f>IFERROR(_xll.ciqfunctions.udf.CIQ(mh_ticker, "IQ_SHARESOUTSTANDING_OUT", B1404), "")</f>
        <v/>
      </c>
      <c r="E1404" s="11">
        <f>IFERROR(_xll.ciqfunctions.udf.CIQ(mh_ticker, "IQ_CASH_EQUIV", , B1404), "")</f>
        <v/>
      </c>
      <c r="F1404" s="11">
        <f>IFERROR(_xll.ciqfunctions.udf.CIQ(mh_ticker, "IQ_ST_INVEST", , B1404), "")</f>
        <v/>
      </c>
      <c r="G1404" s="11">
        <f>IFERROR(_xll.ciqfunctions.udf.CIQ(mh_ticker, "IQ_TOTAL_DEBT_EXCL_OPER_LEASES", , B1404), "")</f>
        <v/>
      </c>
      <c r="H1404" s="11">
        <f>IFERROR(_xll.ciqfunctions.udf.CIQ(mh_ticker, "IQ_PREF_EQUITY", , B1404), "")</f>
        <v/>
      </c>
      <c r="I1404" s="11">
        <f>IFERROR(_xll.ciqfunctions.udf.CIQ(mh_ticker, "IQ_MINORITY_INTEREST", , B1404), "")</f>
        <v/>
      </c>
      <c r="J1404" s="11">
        <f>IFERROR(_xll.ciqfunctions.udf.CIQ(mh_ticker, "IQ_EQUITY_METHOD", , B1404), "")</f>
        <v/>
      </c>
      <c r="K1404" s="11">
        <f>IFERROR(_xll.ciqfunctions.udf.CIQ(mh_ticker, "IQ_LT_Mark_Securities", , B1404), "")</f>
        <v/>
      </c>
      <c r="L1404" s="12">
        <f>IFERROR(C1404*D1404, "")</f>
        <v/>
      </c>
      <c r="M1404" s="12">
        <f>IFERROR(L1404-E1404-F1404+G1404+H1404+I1404-J1404-K1404, "")</f>
        <v/>
      </c>
      <c r="N1404" s="11">
        <f>IFERROR(_xll.ciqfunctions.udf.CIQ(mh_ticker, "IQ_EBITDA_EST", IQ_NTM, B1404, , , "USD"), "")</f>
        <v/>
      </c>
      <c r="O1404" s="13">
        <f>IFERROR(M1404/N1404, "")</f>
        <v/>
      </c>
    </row>
    <row r="1405">
      <c r="B1405" s="8" t="n"/>
      <c r="C1405" s="9">
        <f>IFERROR(_xll.ciqfunctions.udf.CIQ(mh_ticker, "IQ_LASTSALEPRICE", B1405), "")</f>
        <v/>
      </c>
      <c r="D1405" s="10">
        <f>IFERROR(_xll.ciqfunctions.udf.CIQ(mh_ticker, "IQ_SHARESOUTSTANDING_OUT", B1405), "")</f>
        <v/>
      </c>
      <c r="E1405" s="11">
        <f>IFERROR(_xll.ciqfunctions.udf.CIQ(mh_ticker, "IQ_CASH_EQUIV", , B1405), "")</f>
        <v/>
      </c>
      <c r="F1405" s="11">
        <f>IFERROR(_xll.ciqfunctions.udf.CIQ(mh_ticker, "IQ_ST_INVEST", , B1405), "")</f>
        <v/>
      </c>
      <c r="G1405" s="11">
        <f>IFERROR(_xll.ciqfunctions.udf.CIQ(mh_ticker, "IQ_TOTAL_DEBT_EXCL_OPER_LEASES", , B1405), "")</f>
        <v/>
      </c>
      <c r="H1405" s="11">
        <f>IFERROR(_xll.ciqfunctions.udf.CIQ(mh_ticker, "IQ_PREF_EQUITY", , B1405), "")</f>
        <v/>
      </c>
      <c r="I1405" s="11">
        <f>IFERROR(_xll.ciqfunctions.udf.CIQ(mh_ticker, "IQ_MINORITY_INTEREST", , B1405), "")</f>
        <v/>
      </c>
      <c r="J1405" s="11">
        <f>IFERROR(_xll.ciqfunctions.udf.CIQ(mh_ticker, "IQ_EQUITY_METHOD", , B1405), "")</f>
        <v/>
      </c>
      <c r="K1405" s="11">
        <f>IFERROR(_xll.ciqfunctions.udf.CIQ(mh_ticker, "IQ_LT_Mark_Securities", , B1405), "")</f>
        <v/>
      </c>
      <c r="L1405" s="12">
        <f>IFERROR(C1405*D1405, "")</f>
        <v/>
      </c>
      <c r="M1405" s="12">
        <f>IFERROR(L1405-E1405-F1405+G1405+H1405+I1405-J1405-K1405, "")</f>
        <v/>
      </c>
      <c r="N1405" s="11">
        <f>IFERROR(_xll.ciqfunctions.udf.CIQ(mh_ticker, "IQ_EBITDA_EST", IQ_NTM, B1405, , , "USD"), "")</f>
        <v/>
      </c>
      <c r="O1405" s="13">
        <f>IFERROR(M1405/N1405, "")</f>
        <v/>
      </c>
    </row>
    <row r="1406">
      <c r="B1406" s="8" t="n"/>
      <c r="C1406" s="9">
        <f>IFERROR(_xll.ciqfunctions.udf.CIQ(mh_ticker, "IQ_LASTSALEPRICE", B1406), "")</f>
        <v/>
      </c>
      <c r="D1406" s="10">
        <f>IFERROR(_xll.ciqfunctions.udf.CIQ(mh_ticker, "IQ_SHARESOUTSTANDING_OUT", B1406), "")</f>
        <v/>
      </c>
      <c r="E1406" s="11">
        <f>IFERROR(_xll.ciqfunctions.udf.CIQ(mh_ticker, "IQ_CASH_EQUIV", , B1406), "")</f>
        <v/>
      </c>
      <c r="F1406" s="11">
        <f>IFERROR(_xll.ciqfunctions.udf.CIQ(mh_ticker, "IQ_ST_INVEST", , B1406), "")</f>
        <v/>
      </c>
      <c r="G1406" s="11">
        <f>IFERROR(_xll.ciqfunctions.udf.CIQ(mh_ticker, "IQ_TOTAL_DEBT_EXCL_OPER_LEASES", , B1406), "")</f>
        <v/>
      </c>
      <c r="H1406" s="11">
        <f>IFERROR(_xll.ciqfunctions.udf.CIQ(mh_ticker, "IQ_PREF_EQUITY", , B1406), "")</f>
        <v/>
      </c>
      <c r="I1406" s="11">
        <f>IFERROR(_xll.ciqfunctions.udf.CIQ(mh_ticker, "IQ_MINORITY_INTEREST", , B1406), "")</f>
        <v/>
      </c>
      <c r="J1406" s="11">
        <f>IFERROR(_xll.ciqfunctions.udf.CIQ(mh_ticker, "IQ_EQUITY_METHOD", , B1406), "")</f>
        <v/>
      </c>
      <c r="K1406" s="11">
        <f>IFERROR(_xll.ciqfunctions.udf.CIQ(mh_ticker, "IQ_LT_Mark_Securities", , B1406), "")</f>
        <v/>
      </c>
      <c r="L1406" s="12">
        <f>IFERROR(C1406*D1406, "")</f>
        <v/>
      </c>
      <c r="M1406" s="12">
        <f>IFERROR(L1406-E1406-F1406+G1406+H1406+I1406-J1406-K1406, "")</f>
        <v/>
      </c>
      <c r="N1406" s="11">
        <f>IFERROR(_xll.ciqfunctions.udf.CIQ(mh_ticker, "IQ_EBITDA_EST", IQ_NTM, B1406, , , "USD"), "")</f>
        <v/>
      </c>
      <c r="O1406" s="13">
        <f>IFERROR(M1406/N1406, "")</f>
        <v/>
      </c>
    </row>
    <row r="1407">
      <c r="B1407" s="8" t="n"/>
      <c r="C1407" s="9">
        <f>IFERROR(_xll.ciqfunctions.udf.CIQ(mh_ticker, "IQ_LASTSALEPRICE", B1407), "")</f>
        <v/>
      </c>
      <c r="D1407" s="10">
        <f>IFERROR(_xll.ciqfunctions.udf.CIQ(mh_ticker, "IQ_SHARESOUTSTANDING_OUT", B1407), "")</f>
        <v/>
      </c>
      <c r="E1407" s="11">
        <f>IFERROR(_xll.ciqfunctions.udf.CIQ(mh_ticker, "IQ_CASH_EQUIV", , B1407), "")</f>
        <v/>
      </c>
      <c r="F1407" s="11">
        <f>IFERROR(_xll.ciqfunctions.udf.CIQ(mh_ticker, "IQ_ST_INVEST", , B1407), "")</f>
        <v/>
      </c>
      <c r="G1407" s="11">
        <f>IFERROR(_xll.ciqfunctions.udf.CIQ(mh_ticker, "IQ_TOTAL_DEBT_EXCL_OPER_LEASES", , B1407), "")</f>
        <v/>
      </c>
      <c r="H1407" s="11">
        <f>IFERROR(_xll.ciqfunctions.udf.CIQ(mh_ticker, "IQ_PREF_EQUITY", , B1407), "")</f>
        <v/>
      </c>
      <c r="I1407" s="11">
        <f>IFERROR(_xll.ciqfunctions.udf.CIQ(mh_ticker, "IQ_MINORITY_INTEREST", , B1407), "")</f>
        <v/>
      </c>
      <c r="J1407" s="11">
        <f>IFERROR(_xll.ciqfunctions.udf.CIQ(mh_ticker, "IQ_EQUITY_METHOD", , B1407), "")</f>
        <v/>
      </c>
      <c r="K1407" s="11">
        <f>IFERROR(_xll.ciqfunctions.udf.CIQ(mh_ticker, "IQ_LT_Mark_Securities", , B1407), "")</f>
        <v/>
      </c>
      <c r="L1407" s="12">
        <f>IFERROR(C1407*D1407, "")</f>
        <v/>
      </c>
      <c r="M1407" s="12">
        <f>IFERROR(L1407-E1407-F1407+G1407+H1407+I1407-J1407-K1407, "")</f>
        <v/>
      </c>
      <c r="N1407" s="11">
        <f>IFERROR(_xll.ciqfunctions.udf.CIQ(mh_ticker, "IQ_EBITDA_EST", IQ_NTM, B1407, , , "USD"), "")</f>
        <v/>
      </c>
      <c r="O1407" s="13">
        <f>IFERROR(M1407/N1407, "")</f>
        <v/>
      </c>
    </row>
    <row r="1408">
      <c r="B1408" s="8" t="n"/>
      <c r="C1408" s="9">
        <f>IFERROR(_xll.ciqfunctions.udf.CIQ(mh_ticker, "IQ_LASTSALEPRICE", B1408), "")</f>
        <v/>
      </c>
      <c r="D1408" s="10">
        <f>IFERROR(_xll.ciqfunctions.udf.CIQ(mh_ticker, "IQ_SHARESOUTSTANDING_OUT", B1408), "")</f>
        <v/>
      </c>
      <c r="E1408" s="11">
        <f>IFERROR(_xll.ciqfunctions.udf.CIQ(mh_ticker, "IQ_CASH_EQUIV", , B1408), "")</f>
        <v/>
      </c>
      <c r="F1408" s="11">
        <f>IFERROR(_xll.ciqfunctions.udf.CIQ(mh_ticker, "IQ_ST_INVEST", , B1408), "")</f>
        <v/>
      </c>
      <c r="G1408" s="11">
        <f>IFERROR(_xll.ciqfunctions.udf.CIQ(mh_ticker, "IQ_TOTAL_DEBT_EXCL_OPER_LEASES", , B1408), "")</f>
        <v/>
      </c>
      <c r="H1408" s="11">
        <f>IFERROR(_xll.ciqfunctions.udf.CIQ(mh_ticker, "IQ_PREF_EQUITY", , B1408), "")</f>
        <v/>
      </c>
      <c r="I1408" s="11">
        <f>IFERROR(_xll.ciqfunctions.udf.CIQ(mh_ticker, "IQ_MINORITY_INTEREST", , B1408), "")</f>
        <v/>
      </c>
      <c r="J1408" s="11">
        <f>IFERROR(_xll.ciqfunctions.udf.CIQ(mh_ticker, "IQ_EQUITY_METHOD", , B1408), "")</f>
        <v/>
      </c>
      <c r="K1408" s="11">
        <f>IFERROR(_xll.ciqfunctions.udf.CIQ(mh_ticker, "IQ_LT_Mark_Securities", , B1408), "")</f>
        <v/>
      </c>
      <c r="L1408" s="12">
        <f>IFERROR(C1408*D1408, "")</f>
        <v/>
      </c>
      <c r="M1408" s="12">
        <f>IFERROR(L1408-E1408-F1408+G1408+H1408+I1408-J1408-K1408, "")</f>
        <v/>
      </c>
      <c r="N1408" s="11">
        <f>IFERROR(_xll.ciqfunctions.udf.CIQ(mh_ticker, "IQ_EBITDA_EST", IQ_NTM, B1408, , , "USD"), "")</f>
        <v/>
      </c>
      <c r="O1408" s="13">
        <f>IFERROR(M1408/N1408, "")</f>
        <v/>
      </c>
    </row>
    <row r="1409">
      <c r="B1409" s="8" t="n"/>
      <c r="C1409" s="9">
        <f>IFERROR(_xll.ciqfunctions.udf.CIQ(mh_ticker, "IQ_LASTSALEPRICE", B1409), "")</f>
        <v/>
      </c>
      <c r="D1409" s="10">
        <f>IFERROR(_xll.ciqfunctions.udf.CIQ(mh_ticker, "IQ_SHARESOUTSTANDING_OUT", B1409), "")</f>
        <v/>
      </c>
      <c r="E1409" s="11">
        <f>IFERROR(_xll.ciqfunctions.udf.CIQ(mh_ticker, "IQ_CASH_EQUIV", , B1409), "")</f>
        <v/>
      </c>
      <c r="F1409" s="11">
        <f>IFERROR(_xll.ciqfunctions.udf.CIQ(mh_ticker, "IQ_ST_INVEST", , B1409), "")</f>
        <v/>
      </c>
      <c r="G1409" s="11">
        <f>IFERROR(_xll.ciqfunctions.udf.CIQ(mh_ticker, "IQ_TOTAL_DEBT_EXCL_OPER_LEASES", , B1409), "")</f>
        <v/>
      </c>
      <c r="H1409" s="11">
        <f>IFERROR(_xll.ciqfunctions.udf.CIQ(mh_ticker, "IQ_PREF_EQUITY", , B1409), "")</f>
        <v/>
      </c>
      <c r="I1409" s="11">
        <f>IFERROR(_xll.ciqfunctions.udf.CIQ(mh_ticker, "IQ_MINORITY_INTEREST", , B1409), "")</f>
        <v/>
      </c>
      <c r="J1409" s="11">
        <f>IFERROR(_xll.ciqfunctions.udf.CIQ(mh_ticker, "IQ_EQUITY_METHOD", , B1409), "")</f>
        <v/>
      </c>
      <c r="K1409" s="11">
        <f>IFERROR(_xll.ciqfunctions.udf.CIQ(mh_ticker, "IQ_LT_Mark_Securities", , B1409), "")</f>
        <v/>
      </c>
      <c r="L1409" s="12">
        <f>IFERROR(C1409*D1409, "")</f>
        <v/>
      </c>
      <c r="M1409" s="12">
        <f>IFERROR(L1409-E1409-F1409+G1409+H1409+I1409-J1409-K1409, "")</f>
        <v/>
      </c>
      <c r="N1409" s="11">
        <f>IFERROR(_xll.ciqfunctions.udf.CIQ(mh_ticker, "IQ_EBITDA_EST", IQ_NTM, B1409, , , "USD"), "")</f>
        <v/>
      </c>
      <c r="O1409" s="13">
        <f>IFERROR(M1409/N1409, "")</f>
        <v/>
      </c>
    </row>
    <row r="1410">
      <c r="B1410" s="8" t="n"/>
      <c r="C1410" s="9">
        <f>IFERROR(_xll.ciqfunctions.udf.CIQ(mh_ticker, "IQ_LASTSALEPRICE", B1410), "")</f>
        <v/>
      </c>
      <c r="D1410" s="10">
        <f>IFERROR(_xll.ciqfunctions.udf.CIQ(mh_ticker, "IQ_SHARESOUTSTANDING_OUT", B1410), "")</f>
        <v/>
      </c>
      <c r="E1410" s="11">
        <f>IFERROR(_xll.ciqfunctions.udf.CIQ(mh_ticker, "IQ_CASH_EQUIV", , B1410), "")</f>
        <v/>
      </c>
      <c r="F1410" s="11">
        <f>IFERROR(_xll.ciqfunctions.udf.CIQ(mh_ticker, "IQ_ST_INVEST", , B1410), "")</f>
        <v/>
      </c>
      <c r="G1410" s="11">
        <f>IFERROR(_xll.ciqfunctions.udf.CIQ(mh_ticker, "IQ_TOTAL_DEBT_EXCL_OPER_LEASES", , B1410), "")</f>
        <v/>
      </c>
      <c r="H1410" s="11">
        <f>IFERROR(_xll.ciqfunctions.udf.CIQ(mh_ticker, "IQ_PREF_EQUITY", , B1410), "")</f>
        <v/>
      </c>
      <c r="I1410" s="11">
        <f>IFERROR(_xll.ciqfunctions.udf.CIQ(mh_ticker, "IQ_MINORITY_INTEREST", , B1410), "")</f>
        <v/>
      </c>
      <c r="J1410" s="11">
        <f>IFERROR(_xll.ciqfunctions.udf.CIQ(mh_ticker, "IQ_EQUITY_METHOD", , B1410), "")</f>
        <v/>
      </c>
      <c r="K1410" s="11">
        <f>IFERROR(_xll.ciqfunctions.udf.CIQ(mh_ticker, "IQ_LT_Mark_Securities", , B1410), "")</f>
        <v/>
      </c>
      <c r="L1410" s="12">
        <f>IFERROR(C1410*D1410, "")</f>
        <v/>
      </c>
      <c r="M1410" s="12">
        <f>IFERROR(L1410-E1410-F1410+G1410+H1410+I1410-J1410-K1410, "")</f>
        <v/>
      </c>
      <c r="N1410" s="11">
        <f>IFERROR(_xll.ciqfunctions.udf.CIQ(mh_ticker, "IQ_EBITDA_EST", IQ_NTM, B1410, , , "USD"), "")</f>
        <v/>
      </c>
      <c r="O1410" s="13">
        <f>IFERROR(M1410/N1410, "")</f>
        <v/>
      </c>
    </row>
    <row r="1411">
      <c r="B1411" s="8" t="n"/>
      <c r="C1411" s="9">
        <f>IFERROR(_xll.ciqfunctions.udf.CIQ(mh_ticker, "IQ_LASTSALEPRICE", B1411), "")</f>
        <v/>
      </c>
      <c r="D1411" s="10">
        <f>IFERROR(_xll.ciqfunctions.udf.CIQ(mh_ticker, "IQ_SHARESOUTSTANDING_OUT", B1411), "")</f>
        <v/>
      </c>
      <c r="E1411" s="11">
        <f>IFERROR(_xll.ciqfunctions.udf.CIQ(mh_ticker, "IQ_CASH_EQUIV", , B1411), "")</f>
        <v/>
      </c>
      <c r="F1411" s="11">
        <f>IFERROR(_xll.ciqfunctions.udf.CIQ(mh_ticker, "IQ_ST_INVEST", , B1411), "")</f>
        <v/>
      </c>
      <c r="G1411" s="11">
        <f>IFERROR(_xll.ciqfunctions.udf.CIQ(mh_ticker, "IQ_TOTAL_DEBT_EXCL_OPER_LEASES", , B1411), "")</f>
        <v/>
      </c>
      <c r="H1411" s="11">
        <f>IFERROR(_xll.ciqfunctions.udf.CIQ(mh_ticker, "IQ_PREF_EQUITY", , B1411), "")</f>
        <v/>
      </c>
      <c r="I1411" s="11">
        <f>IFERROR(_xll.ciqfunctions.udf.CIQ(mh_ticker, "IQ_MINORITY_INTEREST", , B1411), "")</f>
        <v/>
      </c>
      <c r="J1411" s="11">
        <f>IFERROR(_xll.ciqfunctions.udf.CIQ(mh_ticker, "IQ_EQUITY_METHOD", , B1411), "")</f>
        <v/>
      </c>
      <c r="K1411" s="11">
        <f>IFERROR(_xll.ciqfunctions.udf.CIQ(mh_ticker, "IQ_LT_Mark_Securities", , B1411), "")</f>
        <v/>
      </c>
      <c r="L1411" s="12">
        <f>IFERROR(C1411*D1411, "")</f>
        <v/>
      </c>
      <c r="M1411" s="12">
        <f>IFERROR(L1411-E1411-F1411+G1411+H1411+I1411-J1411-K1411, "")</f>
        <v/>
      </c>
      <c r="N1411" s="11">
        <f>IFERROR(_xll.ciqfunctions.udf.CIQ(mh_ticker, "IQ_EBITDA_EST", IQ_NTM, B1411, , , "USD"), "")</f>
        <v/>
      </c>
      <c r="O1411" s="13">
        <f>IFERROR(M1411/N1411, "")</f>
        <v/>
      </c>
    </row>
    <row r="1412">
      <c r="B1412" s="8" t="n"/>
      <c r="C1412" s="9">
        <f>IFERROR(_xll.ciqfunctions.udf.CIQ(mh_ticker, "IQ_LASTSALEPRICE", B1412), "")</f>
        <v/>
      </c>
      <c r="D1412" s="10">
        <f>IFERROR(_xll.ciqfunctions.udf.CIQ(mh_ticker, "IQ_SHARESOUTSTANDING_OUT", B1412), "")</f>
        <v/>
      </c>
      <c r="E1412" s="11">
        <f>IFERROR(_xll.ciqfunctions.udf.CIQ(mh_ticker, "IQ_CASH_EQUIV", , B1412), "")</f>
        <v/>
      </c>
      <c r="F1412" s="11">
        <f>IFERROR(_xll.ciqfunctions.udf.CIQ(mh_ticker, "IQ_ST_INVEST", , B1412), "")</f>
        <v/>
      </c>
      <c r="G1412" s="11">
        <f>IFERROR(_xll.ciqfunctions.udf.CIQ(mh_ticker, "IQ_TOTAL_DEBT_EXCL_OPER_LEASES", , B1412), "")</f>
        <v/>
      </c>
      <c r="H1412" s="11">
        <f>IFERROR(_xll.ciqfunctions.udf.CIQ(mh_ticker, "IQ_PREF_EQUITY", , B1412), "")</f>
        <v/>
      </c>
      <c r="I1412" s="11">
        <f>IFERROR(_xll.ciqfunctions.udf.CIQ(mh_ticker, "IQ_MINORITY_INTEREST", , B1412), "")</f>
        <v/>
      </c>
      <c r="J1412" s="11">
        <f>IFERROR(_xll.ciqfunctions.udf.CIQ(mh_ticker, "IQ_EQUITY_METHOD", , B1412), "")</f>
        <v/>
      </c>
      <c r="K1412" s="11">
        <f>IFERROR(_xll.ciqfunctions.udf.CIQ(mh_ticker, "IQ_LT_Mark_Securities", , B1412), "")</f>
        <v/>
      </c>
      <c r="L1412" s="12">
        <f>IFERROR(C1412*D1412, "")</f>
        <v/>
      </c>
      <c r="M1412" s="12">
        <f>IFERROR(L1412-E1412-F1412+G1412+H1412+I1412-J1412-K1412, "")</f>
        <v/>
      </c>
      <c r="N1412" s="11">
        <f>IFERROR(_xll.ciqfunctions.udf.CIQ(mh_ticker, "IQ_EBITDA_EST", IQ_NTM, B1412, , , "USD"), "")</f>
        <v/>
      </c>
      <c r="O1412" s="13">
        <f>IFERROR(M1412/N1412, "")</f>
        <v/>
      </c>
    </row>
    <row r="1413">
      <c r="B1413" s="8" t="n"/>
      <c r="C1413" s="9">
        <f>IFERROR(_xll.ciqfunctions.udf.CIQ(mh_ticker, "IQ_LASTSALEPRICE", B1413), "")</f>
        <v/>
      </c>
      <c r="D1413" s="10">
        <f>IFERROR(_xll.ciqfunctions.udf.CIQ(mh_ticker, "IQ_SHARESOUTSTANDING_OUT", B1413), "")</f>
        <v/>
      </c>
      <c r="E1413" s="11">
        <f>IFERROR(_xll.ciqfunctions.udf.CIQ(mh_ticker, "IQ_CASH_EQUIV", , B1413), "")</f>
        <v/>
      </c>
      <c r="F1413" s="11">
        <f>IFERROR(_xll.ciqfunctions.udf.CIQ(mh_ticker, "IQ_ST_INVEST", , B1413), "")</f>
        <v/>
      </c>
      <c r="G1413" s="11">
        <f>IFERROR(_xll.ciqfunctions.udf.CIQ(mh_ticker, "IQ_TOTAL_DEBT_EXCL_OPER_LEASES", , B1413), "")</f>
        <v/>
      </c>
      <c r="H1413" s="11">
        <f>IFERROR(_xll.ciqfunctions.udf.CIQ(mh_ticker, "IQ_PREF_EQUITY", , B1413), "")</f>
        <v/>
      </c>
      <c r="I1413" s="11">
        <f>IFERROR(_xll.ciqfunctions.udf.CIQ(mh_ticker, "IQ_MINORITY_INTEREST", , B1413), "")</f>
        <v/>
      </c>
      <c r="J1413" s="11">
        <f>IFERROR(_xll.ciqfunctions.udf.CIQ(mh_ticker, "IQ_EQUITY_METHOD", , B1413), "")</f>
        <v/>
      </c>
      <c r="K1413" s="11">
        <f>IFERROR(_xll.ciqfunctions.udf.CIQ(mh_ticker, "IQ_LT_Mark_Securities", , B1413), "")</f>
        <v/>
      </c>
      <c r="L1413" s="12">
        <f>IFERROR(C1413*D1413, "")</f>
        <v/>
      </c>
      <c r="M1413" s="12">
        <f>IFERROR(L1413-E1413-F1413+G1413+H1413+I1413-J1413-K1413, "")</f>
        <v/>
      </c>
      <c r="N1413" s="11">
        <f>IFERROR(_xll.ciqfunctions.udf.CIQ(mh_ticker, "IQ_EBITDA_EST", IQ_NTM, B1413, , , "USD"), "")</f>
        <v/>
      </c>
      <c r="O1413" s="13">
        <f>IFERROR(M1413/N1413, "")</f>
        <v/>
      </c>
    </row>
    <row r="1414">
      <c r="B1414" s="8" t="n"/>
      <c r="C1414" s="9">
        <f>IFERROR(_xll.ciqfunctions.udf.CIQ(mh_ticker, "IQ_LASTSALEPRICE", B1414), "")</f>
        <v/>
      </c>
      <c r="D1414" s="10">
        <f>IFERROR(_xll.ciqfunctions.udf.CIQ(mh_ticker, "IQ_SHARESOUTSTANDING_OUT", B1414), "")</f>
        <v/>
      </c>
      <c r="E1414" s="11">
        <f>IFERROR(_xll.ciqfunctions.udf.CIQ(mh_ticker, "IQ_CASH_EQUIV", , B1414), "")</f>
        <v/>
      </c>
      <c r="F1414" s="11">
        <f>IFERROR(_xll.ciqfunctions.udf.CIQ(mh_ticker, "IQ_ST_INVEST", , B1414), "")</f>
        <v/>
      </c>
      <c r="G1414" s="11">
        <f>IFERROR(_xll.ciqfunctions.udf.CIQ(mh_ticker, "IQ_TOTAL_DEBT_EXCL_OPER_LEASES", , B1414), "")</f>
        <v/>
      </c>
      <c r="H1414" s="11">
        <f>IFERROR(_xll.ciqfunctions.udf.CIQ(mh_ticker, "IQ_PREF_EQUITY", , B1414), "")</f>
        <v/>
      </c>
      <c r="I1414" s="11">
        <f>IFERROR(_xll.ciqfunctions.udf.CIQ(mh_ticker, "IQ_MINORITY_INTEREST", , B1414), "")</f>
        <v/>
      </c>
      <c r="J1414" s="11">
        <f>IFERROR(_xll.ciqfunctions.udf.CIQ(mh_ticker, "IQ_EQUITY_METHOD", , B1414), "")</f>
        <v/>
      </c>
      <c r="K1414" s="11">
        <f>IFERROR(_xll.ciqfunctions.udf.CIQ(mh_ticker, "IQ_LT_Mark_Securities", , B1414), "")</f>
        <v/>
      </c>
      <c r="L1414" s="12">
        <f>IFERROR(C1414*D1414, "")</f>
        <v/>
      </c>
      <c r="M1414" s="12">
        <f>IFERROR(L1414-E1414-F1414+G1414+H1414+I1414-J1414-K1414, "")</f>
        <v/>
      </c>
      <c r="N1414" s="11">
        <f>IFERROR(_xll.ciqfunctions.udf.CIQ(mh_ticker, "IQ_EBITDA_EST", IQ_NTM, B1414, , , "USD"), "")</f>
        <v/>
      </c>
      <c r="O1414" s="13">
        <f>IFERROR(M1414/N1414, "")</f>
        <v/>
      </c>
    </row>
    <row r="1415">
      <c r="B1415" s="8" t="n"/>
      <c r="C1415" s="9">
        <f>IFERROR(_xll.ciqfunctions.udf.CIQ(mh_ticker, "IQ_LASTSALEPRICE", B1415), "")</f>
        <v/>
      </c>
      <c r="D1415" s="10">
        <f>IFERROR(_xll.ciqfunctions.udf.CIQ(mh_ticker, "IQ_SHARESOUTSTANDING_OUT", B1415), "")</f>
        <v/>
      </c>
      <c r="E1415" s="11">
        <f>IFERROR(_xll.ciqfunctions.udf.CIQ(mh_ticker, "IQ_CASH_EQUIV", , B1415), "")</f>
        <v/>
      </c>
      <c r="F1415" s="11">
        <f>IFERROR(_xll.ciqfunctions.udf.CIQ(mh_ticker, "IQ_ST_INVEST", , B1415), "")</f>
        <v/>
      </c>
      <c r="G1415" s="11">
        <f>IFERROR(_xll.ciqfunctions.udf.CIQ(mh_ticker, "IQ_TOTAL_DEBT_EXCL_OPER_LEASES", , B1415), "")</f>
        <v/>
      </c>
      <c r="H1415" s="11">
        <f>IFERROR(_xll.ciqfunctions.udf.CIQ(mh_ticker, "IQ_PREF_EQUITY", , B1415), "")</f>
        <v/>
      </c>
      <c r="I1415" s="11">
        <f>IFERROR(_xll.ciqfunctions.udf.CIQ(mh_ticker, "IQ_MINORITY_INTEREST", , B1415), "")</f>
        <v/>
      </c>
      <c r="J1415" s="11">
        <f>IFERROR(_xll.ciqfunctions.udf.CIQ(mh_ticker, "IQ_EQUITY_METHOD", , B1415), "")</f>
        <v/>
      </c>
      <c r="K1415" s="11">
        <f>IFERROR(_xll.ciqfunctions.udf.CIQ(mh_ticker, "IQ_LT_Mark_Securities", , B1415), "")</f>
        <v/>
      </c>
      <c r="L1415" s="12">
        <f>IFERROR(C1415*D1415, "")</f>
        <v/>
      </c>
      <c r="M1415" s="12">
        <f>IFERROR(L1415-E1415-F1415+G1415+H1415+I1415-J1415-K1415, "")</f>
        <v/>
      </c>
      <c r="N1415" s="11">
        <f>IFERROR(_xll.ciqfunctions.udf.CIQ(mh_ticker, "IQ_EBITDA_EST", IQ_NTM, B1415, , , "USD"), "")</f>
        <v/>
      </c>
      <c r="O1415" s="13">
        <f>IFERROR(M1415/N1415, "")</f>
        <v/>
      </c>
    </row>
    <row r="1416">
      <c r="B1416" s="8" t="n"/>
      <c r="C1416" s="9">
        <f>IFERROR(_xll.ciqfunctions.udf.CIQ(mh_ticker, "IQ_LASTSALEPRICE", B1416), "")</f>
        <v/>
      </c>
      <c r="D1416" s="10">
        <f>IFERROR(_xll.ciqfunctions.udf.CIQ(mh_ticker, "IQ_SHARESOUTSTANDING_OUT", B1416), "")</f>
        <v/>
      </c>
      <c r="E1416" s="11">
        <f>IFERROR(_xll.ciqfunctions.udf.CIQ(mh_ticker, "IQ_CASH_EQUIV", , B1416), "")</f>
        <v/>
      </c>
      <c r="F1416" s="11">
        <f>IFERROR(_xll.ciqfunctions.udf.CIQ(mh_ticker, "IQ_ST_INVEST", , B1416), "")</f>
        <v/>
      </c>
      <c r="G1416" s="11">
        <f>IFERROR(_xll.ciqfunctions.udf.CIQ(mh_ticker, "IQ_TOTAL_DEBT_EXCL_OPER_LEASES", , B1416), "")</f>
        <v/>
      </c>
      <c r="H1416" s="11">
        <f>IFERROR(_xll.ciqfunctions.udf.CIQ(mh_ticker, "IQ_PREF_EQUITY", , B1416), "")</f>
        <v/>
      </c>
      <c r="I1416" s="11">
        <f>IFERROR(_xll.ciqfunctions.udf.CIQ(mh_ticker, "IQ_MINORITY_INTEREST", , B1416), "")</f>
        <v/>
      </c>
      <c r="J1416" s="11">
        <f>IFERROR(_xll.ciqfunctions.udf.CIQ(mh_ticker, "IQ_EQUITY_METHOD", , B1416), "")</f>
        <v/>
      </c>
      <c r="K1416" s="11">
        <f>IFERROR(_xll.ciqfunctions.udf.CIQ(mh_ticker, "IQ_LT_Mark_Securities", , B1416), "")</f>
        <v/>
      </c>
      <c r="L1416" s="12">
        <f>IFERROR(C1416*D1416, "")</f>
        <v/>
      </c>
      <c r="M1416" s="12">
        <f>IFERROR(L1416-E1416-F1416+G1416+H1416+I1416-J1416-K1416, "")</f>
        <v/>
      </c>
      <c r="N1416" s="11">
        <f>IFERROR(_xll.ciqfunctions.udf.CIQ(mh_ticker, "IQ_EBITDA_EST", IQ_NTM, B1416, , , "USD"), "")</f>
        <v/>
      </c>
      <c r="O1416" s="13">
        <f>IFERROR(M1416/N1416, "")</f>
        <v/>
      </c>
    </row>
    <row r="1417">
      <c r="B1417" s="8" t="n"/>
      <c r="C1417" s="9">
        <f>IFERROR(_xll.ciqfunctions.udf.CIQ(mh_ticker, "IQ_LASTSALEPRICE", B1417), "")</f>
        <v/>
      </c>
      <c r="D1417" s="10">
        <f>IFERROR(_xll.ciqfunctions.udf.CIQ(mh_ticker, "IQ_SHARESOUTSTANDING_OUT", B1417), "")</f>
        <v/>
      </c>
      <c r="E1417" s="11">
        <f>IFERROR(_xll.ciqfunctions.udf.CIQ(mh_ticker, "IQ_CASH_EQUIV", , B1417), "")</f>
        <v/>
      </c>
      <c r="F1417" s="11">
        <f>IFERROR(_xll.ciqfunctions.udf.CIQ(mh_ticker, "IQ_ST_INVEST", , B1417), "")</f>
        <v/>
      </c>
      <c r="G1417" s="11">
        <f>IFERROR(_xll.ciqfunctions.udf.CIQ(mh_ticker, "IQ_TOTAL_DEBT_EXCL_OPER_LEASES", , B1417), "")</f>
        <v/>
      </c>
      <c r="H1417" s="11">
        <f>IFERROR(_xll.ciqfunctions.udf.CIQ(mh_ticker, "IQ_PREF_EQUITY", , B1417), "")</f>
        <v/>
      </c>
      <c r="I1417" s="11">
        <f>IFERROR(_xll.ciqfunctions.udf.CIQ(mh_ticker, "IQ_MINORITY_INTEREST", , B1417), "")</f>
        <v/>
      </c>
      <c r="J1417" s="11">
        <f>IFERROR(_xll.ciqfunctions.udf.CIQ(mh_ticker, "IQ_EQUITY_METHOD", , B1417), "")</f>
        <v/>
      </c>
      <c r="K1417" s="11">
        <f>IFERROR(_xll.ciqfunctions.udf.CIQ(mh_ticker, "IQ_LT_Mark_Securities", , B1417), "")</f>
        <v/>
      </c>
      <c r="L1417" s="12">
        <f>IFERROR(C1417*D1417, "")</f>
        <v/>
      </c>
      <c r="M1417" s="12">
        <f>IFERROR(L1417-E1417-F1417+G1417+H1417+I1417-J1417-K1417, "")</f>
        <v/>
      </c>
      <c r="N1417" s="11">
        <f>IFERROR(_xll.ciqfunctions.udf.CIQ(mh_ticker, "IQ_EBITDA_EST", IQ_NTM, B1417, , , "USD"), "")</f>
        <v/>
      </c>
      <c r="O1417" s="13">
        <f>IFERROR(M1417/N1417, "")</f>
        <v/>
      </c>
    </row>
    <row r="1418">
      <c r="B1418" s="8" t="n"/>
      <c r="C1418" s="9">
        <f>IFERROR(_xll.ciqfunctions.udf.CIQ(mh_ticker, "IQ_LASTSALEPRICE", B1418), "")</f>
        <v/>
      </c>
      <c r="D1418" s="10">
        <f>IFERROR(_xll.ciqfunctions.udf.CIQ(mh_ticker, "IQ_SHARESOUTSTANDING_OUT", B1418), "")</f>
        <v/>
      </c>
      <c r="E1418" s="11">
        <f>IFERROR(_xll.ciqfunctions.udf.CIQ(mh_ticker, "IQ_CASH_EQUIV", , B1418), "")</f>
        <v/>
      </c>
      <c r="F1418" s="11">
        <f>IFERROR(_xll.ciqfunctions.udf.CIQ(mh_ticker, "IQ_ST_INVEST", , B1418), "")</f>
        <v/>
      </c>
      <c r="G1418" s="11">
        <f>IFERROR(_xll.ciqfunctions.udf.CIQ(mh_ticker, "IQ_TOTAL_DEBT_EXCL_OPER_LEASES", , B1418), "")</f>
        <v/>
      </c>
      <c r="H1418" s="11">
        <f>IFERROR(_xll.ciqfunctions.udf.CIQ(mh_ticker, "IQ_PREF_EQUITY", , B1418), "")</f>
        <v/>
      </c>
      <c r="I1418" s="11">
        <f>IFERROR(_xll.ciqfunctions.udf.CIQ(mh_ticker, "IQ_MINORITY_INTEREST", , B1418), "")</f>
        <v/>
      </c>
      <c r="J1418" s="11">
        <f>IFERROR(_xll.ciqfunctions.udf.CIQ(mh_ticker, "IQ_EQUITY_METHOD", , B1418), "")</f>
        <v/>
      </c>
      <c r="K1418" s="11">
        <f>IFERROR(_xll.ciqfunctions.udf.CIQ(mh_ticker, "IQ_LT_Mark_Securities", , B1418), "")</f>
        <v/>
      </c>
      <c r="L1418" s="12">
        <f>IFERROR(C1418*D1418, "")</f>
        <v/>
      </c>
      <c r="M1418" s="12">
        <f>IFERROR(L1418-E1418-F1418+G1418+H1418+I1418-J1418-K1418, "")</f>
        <v/>
      </c>
      <c r="N1418" s="11">
        <f>IFERROR(_xll.ciqfunctions.udf.CIQ(mh_ticker, "IQ_EBITDA_EST", IQ_NTM, B1418, , , "USD"), "")</f>
        <v/>
      </c>
      <c r="O1418" s="13">
        <f>IFERROR(M1418/N1418, "")</f>
        <v/>
      </c>
    </row>
    <row r="1419">
      <c r="B1419" s="8" t="n"/>
      <c r="C1419" s="9">
        <f>IFERROR(_xll.ciqfunctions.udf.CIQ(mh_ticker, "IQ_LASTSALEPRICE", B1419), "")</f>
        <v/>
      </c>
      <c r="D1419" s="10">
        <f>IFERROR(_xll.ciqfunctions.udf.CIQ(mh_ticker, "IQ_SHARESOUTSTANDING_OUT", B1419), "")</f>
        <v/>
      </c>
      <c r="E1419" s="11">
        <f>IFERROR(_xll.ciqfunctions.udf.CIQ(mh_ticker, "IQ_CASH_EQUIV", , B1419), "")</f>
        <v/>
      </c>
      <c r="F1419" s="11">
        <f>IFERROR(_xll.ciqfunctions.udf.CIQ(mh_ticker, "IQ_ST_INVEST", , B1419), "")</f>
        <v/>
      </c>
      <c r="G1419" s="11">
        <f>IFERROR(_xll.ciqfunctions.udf.CIQ(mh_ticker, "IQ_TOTAL_DEBT_EXCL_OPER_LEASES", , B1419), "")</f>
        <v/>
      </c>
      <c r="H1419" s="11">
        <f>IFERROR(_xll.ciqfunctions.udf.CIQ(mh_ticker, "IQ_PREF_EQUITY", , B1419), "")</f>
        <v/>
      </c>
      <c r="I1419" s="11">
        <f>IFERROR(_xll.ciqfunctions.udf.CIQ(mh_ticker, "IQ_MINORITY_INTEREST", , B1419), "")</f>
        <v/>
      </c>
      <c r="J1419" s="11">
        <f>IFERROR(_xll.ciqfunctions.udf.CIQ(mh_ticker, "IQ_EQUITY_METHOD", , B1419), "")</f>
        <v/>
      </c>
      <c r="K1419" s="11">
        <f>IFERROR(_xll.ciqfunctions.udf.CIQ(mh_ticker, "IQ_LT_Mark_Securities", , B1419), "")</f>
        <v/>
      </c>
      <c r="L1419" s="12">
        <f>IFERROR(C1419*D1419, "")</f>
        <v/>
      </c>
      <c r="M1419" s="12">
        <f>IFERROR(L1419-E1419-F1419+G1419+H1419+I1419-J1419-K1419, "")</f>
        <v/>
      </c>
      <c r="N1419" s="11">
        <f>IFERROR(_xll.ciqfunctions.udf.CIQ(mh_ticker, "IQ_EBITDA_EST", IQ_NTM, B1419, , , "USD"), "")</f>
        <v/>
      </c>
      <c r="O1419" s="13">
        <f>IFERROR(M1419/N1419, "")</f>
        <v/>
      </c>
    </row>
    <row r="1420">
      <c r="B1420" s="8" t="n"/>
      <c r="C1420" s="9">
        <f>IFERROR(_xll.ciqfunctions.udf.CIQ(mh_ticker, "IQ_LASTSALEPRICE", B1420), "")</f>
        <v/>
      </c>
      <c r="D1420" s="10">
        <f>IFERROR(_xll.ciqfunctions.udf.CIQ(mh_ticker, "IQ_SHARESOUTSTANDING_OUT", B1420), "")</f>
        <v/>
      </c>
      <c r="E1420" s="11">
        <f>IFERROR(_xll.ciqfunctions.udf.CIQ(mh_ticker, "IQ_CASH_EQUIV", , B1420), "")</f>
        <v/>
      </c>
      <c r="F1420" s="11">
        <f>IFERROR(_xll.ciqfunctions.udf.CIQ(mh_ticker, "IQ_ST_INVEST", , B1420), "")</f>
        <v/>
      </c>
      <c r="G1420" s="11">
        <f>IFERROR(_xll.ciqfunctions.udf.CIQ(mh_ticker, "IQ_TOTAL_DEBT_EXCL_OPER_LEASES", , B1420), "")</f>
        <v/>
      </c>
      <c r="H1420" s="11">
        <f>IFERROR(_xll.ciqfunctions.udf.CIQ(mh_ticker, "IQ_PREF_EQUITY", , B1420), "")</f>
        <v/>
      </c>
      <c r="I1420" s="11">
        <f>IFERROR(_xll.ciqfunctions.udf.CIQ(mh_ticker, "IQ_MINORITY_INTEREST", , B1420), "")</f>
        <v/>
      </c>
      <c r="J1420" s="11">
        <f>IFERROR(_xll.ciqfunctions.udf.CIQ(mh_ticker, "IQ_EQUITY_METHOD", , B1420), "")</f>
        <v/>
      </c>
      <c r="K1420" s="11">
        <f>IFERROR(_xll.ciqfunctions.udf.CIQ(mh_ticker, "IQ_LT_Mark_Securities", , B1420), "")</f>
        <v/>
      </c>
      <c r="L1420" s="12">
        <f>IFERROR(C1420*D1420, "")</f>
        <v/>
      </c>
      <c r="M1420" s="12">
        <f>IFERROR(L1420-E1420-F1420+G1420+H1420+I1420-J1420-K1420, "")</f>
        <v/>
      </c>
      <c r="N1420" s="11">
        <f>IFERROR(_xll.ciqfunctions.udf.CIQ(mh_ticker, "IQ_EBITDA_EST", IQ_NTM, B1420, , , "USD"), "")</f>
        <v/>
      </c>
      <c r="O1420" s="13">
        <f>IFERROR(M1420/N1420, "")</f>
        <v/>
      </c>
    </row>
    <row r="1421">
      <c r="B1421" s="8" t="n"/>
      <c r="C1421" s="9">
        <f>IFERROR(_xll.ciqfunctions.udf.CIQ(mh_ticker, "IQ_LASTSALEPRICE", B1421), "")</f>
        <v/>
      </c>
      <c r="D1421" s="10">
        <f>IFERROR(_xll.ciqfunctions.udf.CIQ(mh_ticker, "IQ_SHARESOUTSTANDING_OUT", B1421), "")</f>
        <v/>
      </c>
      <c r="E1421" s="11">
        <f>IFERROR(_xll.ciqfunctions.udf.CIQ(mh_ticker, "IQ_CASH_EQUIV", , B1421), "")</f>
        <v/>
      </c>
      <c r="F1421" s="11">
        <f>IFERROR(_xll.ciqfunctions.udf.CIQ(mh_ticker, "IQ_ST_INVEST", , B1421), "")</f>
        <v/>
      </c>
      <c r="G1421" s="11">
        <f>IFERROR(_xll.ciqfunctions.udf.CIQ(mh_ticker, "IQ_TOTAL_DEBT_EXCL_OPER_LEASES", , B1421), "")</f>
        <v/>
      </c>
      <c r="H1421" s="11">
        <f>IFERROR(_xll.ciqfunctions.udf.CIQ(mh_ticker, "IQ_PREF_EQUITY", , B1421), "")</f>
        <v/>
      </c>
      <c r="I1421" s="11">
        <f>IFERROR(_xll.ciqfunctions.udf.CIQ(mh_ticker, "IQ_MINORITY_INTEREST", , B1421), "")</f>
        <v/>
      </c>
      <c r="J1421" s="11">
        <f>IFERROR(_xll.ciqfunctions.udf.CIQ(mh_ticker, "IQ_EQUITY_METHOD", , B1421), "")</f>
        <v/>
      </c>
      <c r="K1421" s="11">
        <f>IFERROR(_xll.ciqfunctions.udf.CIQ(mh_ticker, "IQ_LT_Mark_Securities", , B1421), "")</f>
        <v/>
      </c>
      <c r="L1421" s="12">
        <f>IFERROR(C1421*D1421, "")</f>
        <v/>
      </c>
      <c r="M1421" s="12">
        <f>IFERROR(L1421-E1421-F1421+G1421+H1421+I1421-J1421-K1421, "")</f>
        <v/>
      </c>
      <c r="N1421" s="11">
        <f>IFERROR(_xll.ciqfunctions.udf.CIQ(mh_ticker, "IQ_EBITDA_EST", IQ_NTM, B1421, , , "USD"), "")</f>
        <v/>
      </c>
      <c r="O1421" s="13">
        <f>IFERROR(M1421/N1421, "")</f>
        <v/>
      </c>
    </row>
    <row r="1422">
      <c r="B1422" s="8" t="n"/>
      <c r="C1422" s="9">
        <f>IFERROR(_xll.ciqfunctions.udf.CIQ(mh_ticker, "IQ_LASTSALEPRICE", B1422), "")</f>
        <v/>
      </c>
      <c r="D1422" s="10">
        <f>IFERROR(_xll.ciqfunctions.udf.CIQ(mh_ticker, "IQ_SHARESOUTSTANDING_OUT", B1422), "")</f>
        <v/>
      </c>
      <c r="E1422" s="11">
        <f>IFERROR(_xll.ciqfunctions.udf.CIQ(mh_ticker, "IQ_CASH_EQUIV", , B1422), "")</f>
        <v/>
      </c>
      <c r="F1422" s="11">
        <f>IFERROR(_xll.ciqfunctions.udf.CIQ(mh_ticker, "IQ_ST_INVEST", , B1422), "")</f>
        <v/>
      </c>
      <c r="G1422" s="11">
        <f>IFERROR(_xll.ciqfunctions.udf.CIQ(mh_ticker, "IQ_TOTAL_DEBT_EXCL_OPER_LEASES", , B1422), "")</f>
        <v/>
      </c>
      <c r="H1422" s="11">
        <f>IFERROR(_xll.ciqfunctions.udf.CIQ(mh_ticker, "IQ_PREF_EQUITY", , B1422), "")</f>
        <v/>
      </c>
      <c r="I1422" s="11">
        <f>IFERROR(_xll.ciqfunctions.udf.CIQ(mh_ticker, "IQ_MINORITY_INTEREST", , B1422), "")</f>
        <v/>
      </c>
      <c r="J1422" s="11">
        <f>IFERROR(_xll.ciqfunctions.udf.CIQ(mh_ticker, "IQ_EQUITY_METHOD", , B1422), "")</f>
        <v/>
      </c>
      <c r="K1422" s="11">
        <f>IFERROR(_xll.ciqfunctions.udf.CIQ(mh_ticker, "IQ_LT_Mark_Securities", , B1422), "")</f>
        <v/>
      </c>
      <c r="L1422" s="12">
        <f>IFERROR(C1422*D1422, "")</f>
        <v/>
      </c>
      <c r="M1422" s="12">
        <f>IFERROR(L1422-E1422-F1422+G1422+H1422+I1422-J1422-K1422, "")</f>
        <v/>
      </c>
      <c r="N1422" s="11">
        <f>IFERROR(_xll.ciqfunctions.udf.CIQ(mh_ticker, "IQ_EBITDA_EST", IQ_NTM, B1422, , , "USD"), "")</f>
        <v/>
      </c>
      <c r="O1422" s="13">
        <f>IFERROR(M1422/N1422, "")</f>
        <v/>
      </c>
    </row>
    <row r="1423">
      <c r="B1423" s="8" t="n"/>
      <c r="C1423" s="9">
        <f>IFERROR(_xll.ciqfunctions.udf.CIQ(mh_ticker, "IQ_LASTSALEPRICE", B1423), "")</f>
        <v/>
      </c>
      <c r="D1423" s="10">
        <f>IFERROR(_xll.ciqfunctions.udf.CIQ(mh_ticker, "IQ_SHARESOUTSTANDING_OUT", B1423), "")</f>
        <v/>
      </c>
      <c r="E1423" s="11">
        <f>IFERROR(_xll.ciqfunctions.udf.CIQ(mh_ticker, "IQ_CASH_EQUIV", , B1423), "")</f>
        <v/>
      </c>
      <c r="F1423" s="11">
        <f>IFERROR(_xll.ciqfunctions.udf.CIQ(mh_ticker, "IQ_ST_INVEST", , B1423), "")</f>
        <v/>
      </c>
      <c r="G1423" s="11">
        <f>IFERROR(_xll.ciqfunctions.udf.CIQ(mh_ticker, "IQ_TOTAL_DEBT_EXCL_OPER_LEASES", , B1423), "")</f>
        <v/>
      </c>
      <c r="H1423" s="11">
        <f>IFERROR(_xll.ciqfunctions.udf.CIQ(mh_ticker, "IQ_PREF_EQUITY", , B1423), "")</f>
        <v/>
      </c>
      <c r="I1423" s="11">
        <f>IFERROR(_xll.ciqfunctions.udf.CIQ(mh_ticker, "IQ_MINORITY_INTEREST", , B1423), "")</f>
        <v/>
      </c>
      <c r="J1423" s="11">
        <f>IFERROR(_xll.ciqfunctions.udf.CIQ(mh_ticker, "IQ_EQUITY_METHOD", , B1423), "")</f>
        <v/>
      </c>
      <c r="K1423" s="11">
        <f>IFERROR(_xll.ciqfunctions.udf.CIQ(mh_ticker, "IQ_LT_Mark_Securities", , B1423), "")</f>
        <v/>
      </c>
      <c r="L1423" s="12">
        <f>IFERROR(C1423*D1423, "")</f>
        <v/>
      </c>
      <c r="M1423" s="12">
        <f>IFERROR(L1423-E1423-F1423+G1423+H1423+I1423-J1423-K1423, "")</f>
        <v/>
      </c>
      <c r="N1423" s="11">
        <f>IFERROR(_xll.ciqfunctions.udf.CIQ(mh_ticker, "IQ_EBITDA_EST", IQ_NTM, B1423, , , "USD"), "")</f>
        <v/>
      </c>
      <c r="O1423" s="13">
        <f>IFERROR(M1423/N1423, "")</f>
        <v/>
      </c>
    </row>
    <row r="1424">
      <c r="B1424" s="8" t="n"/>
      <c r="C1424" s="9">
        <f>IFERROR(_xll.ciqfunctions.udf.CIQ(mh_ticker, "IQ_LASTSALEPRICE", B1424), "")</f>
        <v/>
      </c>
      <c r="D1424" s="10">
        <f>IFERROR(_xll.ciqfunctions.udf.CIQ(mh_ticker, "IQ_SHARESOUTSTANDING_OUT", B1424), "")</f>
        <v/>
      </c>
      <c r="E1424" s="11">
        <f>IFERROR(_xll.ciqfunctions.udf.CIQ(mh_ticker, "IQ_CASH_EQUIV", , B1424), "")</f>
        <v/>
      </c>
      <c r="F1424" s="11">
        <f>IFERROR(_xll.ciqfunctions.udf.CIQ(mh_ticker, "IQ_ST_INVEST", , B1424), "")</f>
        <v/>
      </c>
      <c r="G1424" s="11">
        <f>IFERROR(_xll.ciqfunctions.udf.CIQ(mh_ticker, "IQ_TOTAL_DEBT_EXCL_OPER_LEASES", , B1424), "")</f>
        <v/>
      </c>
      <c r="H1424" s="11">
        <f>IFERROR(_xll.ciqfunctions.udf.CIQ(mh_ticker, "IQ_PREF_EQUITY", , B1424), "")</f>
        <v/>
      </c>
      <c r="I1424" s="11">
        <f>IFERROR(_xll.ciqfunctions.udf.CIQ(mh_ticker, "IQ_MINORITY_INTEREST", , B1424), "")</f>
        <v/>
      </c>
      <c r="J1424" s="11">
        <f>IFERROR(_xll.ciqfunctions.udf.CIQ(mh_ticker, "IQ_EQUITY_METHOD", , B1424), "")</f>
        <v/>
      </c>
      <c r="K1424" s="11">
        <f>IFERROR(_xll.ciqfunctions.udf.CIQ(mh_ticker, "IQ_LT_Mark_Securities", , B1424), "")</f>
        <v/>
      </c>
      <c r="L1424" s="12">
        <f>IFERROR(C1424*D1424, "")</f>
        <v/>
      </c>
      <c r="M1424" s="12">
        <f>IFERROR(L1424-E1424-F1424+G1424+H1424+I1424-J1424-K1424, "")</f>
        <v/>
      </c>
      <c r="N1424" s="11">
        <f>IFERROR(_xll.ciqfunctions.udf.CIQ(mh_ticker, "IQ_EBITDA_EST", IQ_NTM, B1424, , , "USD"), "")</f>
        <v/>
      </c>
      <c r="O1424" s="13">
        <f>IFERROR(M1424/N1424, "")</f>
        <v/>
      </c>
    </row>
    <row r="1425">
      <c r="B1425" s="8" t="n"/>
      <c r="C1425" s="9">
        <f>IFERROR(_xll.ciqfunctions.udf.CIQ(mh_ticker, "IQ_LASTSALEPRICE", B1425), "")</f>
        <v/>
      </c>
      <c r="D1425" s="10">
        <f>IFERROR(_xll.ciqfunctions.udf.CIQ(mh_ticker, "IQ_SHARESOUTSTANDING_OUT", B1425), "")</f>
        <v/>
      </c>
      <c r="E1425" s="11">
        <f>IFERROR(_xll.ciqfunctions.udf.CIQ(mh_ticker, "IQ_CASH_EQUIV", , B1425), "")</f>
        <v/>
      </c>
      <c r="F1425" s="11">
        <f>IFERROR(_xll.ciqfunctions.udf.CIQ(mh_ticker, "IQ_ST_INVEST", , B1425), "")</f>
        <v/>
      </c>
      <c r="G1425" s="11">
        <f>IFERROR(_xll.ciqfunctions.udf.CIQ(mh_ticker, "IQ_TOTAL_DEBT_EXCL_OPER_LEASES", , B1425), "")</f>
        <v/>
      </c>
      <c r="H1425" s="11">
        <f>IFERROR(_xll.ciqfunctions.udf.CIQ(mh_ticker, "IQ_PREF_EQUITY", , B1425), "")</f>
        <v/>
      </c>
      <c r="I1425" s="11">
        <f>IFERROR(_xll.ciqfunctions.udf.CIQ(mh_ticker, "IQ_MINORITY_INTEREST", , B1425), "")</f>
        <v/>
      </c>
      <c r="J1425" s="11">
        <f>IFERROR(_xll.ciqfunctions.udf.CIQ(mh_ticker, "IQ_EQUITY_METHOD", , B1425), "")</f>
        <v/>
      </c>
      <c r="K1425" s="11">
        <f>IFERROR(_xll.ciqfunctions.udf.CIQ(mh_ticker, "IQ_LT_Mark_Securities", , B1425), "")</f>
        <v/>
      </c>
      <c r="L1425" s="12">
        <f>IFERROR(C1425*D1425, "")</f>
        <v/>
      </c>
      <c r="M1425" s="12">
        <f>IFERROR(L1425-E1425-F1425+G1425+H1425+I1425-J1425-K1425, "")</f>
        <v/>
      </c>
      <c r="N1425" s="11">
        <f>IFERROR(_xll.ciqfunctions.udf.CIQ(mh_ticker, "IQ_EBITDA_EST", IQ_NTM, B1425, , , "USD"), "")</f>
        <v/>
      </c>
      <c r="O1425" s="13">
        <f>IFERROR(M1425/N1425, "")</f>
        <v/>
      </c>
    </row>
    <row r="1426">
      <c r="B1426" s="8" t="n"/>
      <c r="C1426" s="9">
        <f>IFERROR(_xll.ciqfunctions.udf.CIQ(mh_ticker, "IQ_LASTSALEPRICE", B1426), "")</f>
        <v/>
      </c>
      <c r="D1426" s="10">
        <f>IFERROR(_xll.ciqfunctions.udf.CIQ(mh_ticker, "IQ_SHARESOUTSTANDING_OUT", B1426), "")</f>
        <v/>
      </c>
      <c r="E1426" s="11">
        <f>IFERROR(_xll.ciqfunctions.udf.CIQ(mh_ticker, "IQ_CASH_EQUIV", , B1426), "")</f>
        <v/>
      </c>
      <c r="F1426" s="11">
        <f>IFERROR(_xll.ciqfunctions.udf.CIQ(mh_ticker, "IQ_ST_INVEST", , B1426), "")</f>
        <v/>
      </c>
      <c r="G1426" s="11">
        <f>IFERROR(_xll.ciqfunctions.udf.CIQ(mh_ticker, "IQ_TOTAL_DEBT_EXCL_OPER_LEASES", , B1426), "")</f>
        <v/>
      </c>
      <c r="H1426" s="11">
        <f>IFERROR(_xll.ciqfunctions.udf.CIQ(mh_ticker, "IQ_PREF_EQUITY", , B1426), "")</f>
        <v/>
      </c>
      <c r="I1426" s="11">
        <f>IFERROR(_xll.ciqfunctions.udf.CIQ(mh_ticker, "IQ_MINORITY_INTEREST", , B1426), "")</f>
        <v/>
      </c>
      <c r="J1426" s="11">
        <f>IFERROR(_xll.ciqfunctions.udf.CIQ(mh_ticker, "IQ_EQUITY_METHOD", , B1426), "")</f>
        <v/>
      </c>
      <c r="K1426" s="11">
        <f>IFERROR(_xll.ciqfunctions.udf.CIQ(mh_ticker, "IQ_LT_Mark_Securities", , B1426), "")</f>
        <v/>
      </c>
      <c r="L1426" s="12">
        <f>IFERROR(C1426*D1426, "")</f>
        <v/>
      </c>
      <c r="M1426" s="12">
        <f>IFERROR(L1426-E1426-F1426+G1426+H1426+I1426-J1426-K1426, "")</f>
        <v/>
      </c>
      <c r="N1426" s="11">
        <f>IFERROR(_xll.ciqfunctions.udf.CIQ(mh_ticker, "IQ_EBITDA_EST", IQ_NTM, B1426, , , "USD"), "")</f>
        <v/>
      </c>
      <c r="O1426" s="13">
        <f>IFERROR(M1426/N1426, "")</f>
        <v/>
      </c>
    </row>
    <row r="1427">
      <c r="B1427" s="8" t="n"/>
      <c r="C1427" s="9">
        <f>IFERROR(_xll.ciqfunctions.udf.CIQ(mh_ticker, "IQ_LASTSALEPRICE", B1427), "")</f>
        <v/>
      </c>
      <c r="D1427" s="10">
        <f>IFERROR(_xll.ciqfunctions.udf.CIQ(mh_ticker, "IQ_SHARESOUTSTANDING_OUT", B1427), "")</f>
        <v/>
      </c>
      <c r="E1427" s="11">
        <f>IFERROR(_xll.ciqfunctions.udf.CIQ(mh_ticker, "IQ_CASH_EQUIV", , B1427), "")</f>
        <v/>
      </c>
      <c r="F1427" s="11">
        <f>IFERROR(_xll.ciqfunctions.udf.CIQ(mh_ticker, "IQ_ST_INVEST", , B1427), "")</f>
        <v/>
      </c>
      <c r="G1427" s="11">
        <f>IFERROR(_xll.ciqfunctions.udf.CIQ(mh_ticker, "IQ_TOTAL_DEBT_EXCL_OPER_LEASES", , B1427), "")</f>
        <v/>
      </c>
      <c r="H1427" s="11">
        <f>IFERROR(_xll.ciqfunctions.udf.CIQ(mh_ticker, "IQ_PREF_EQUITY", , B1427), "")</f>
        <v/>
      </c>
      <c r="I1427" s="11">
        <f>IFERROR(_xll.ciqfunctions.udf.CIQ(mh_ticker, "IQ_MINORITY_INTEREST", , B1427), "")</f>
        <v/>
      </c>
      <c r="J1427" s="11">
        <f>IFERROR(_xll.ciqfunctions.udf.CIQ(mh_ticker, "IQ_EQUITY_METHOD", , B1427), "")</f>
        <v/>
      </c>
      <c r="K1427" s="11">
        <f>IFERROR(_xll.ciqfunctions.udf.CIQ(mh_ticker, "IQ_LT_Mark_Securities", , B1427), "")</f>
        <v/>
      </c>
      <c r="L1427" s="12">
        <f>IFERROR(C1427*D1427, "")</f>
        <v/>
      </c>
      <c r="M1427" s="12">
        <f>IFERROR(L1427-E1427-F1427+G1427+H1427+I1427-J1427-K1427, "")</f>
        <v/>
      </c>
      <c r="N1427" s="11">
        <f>IFERROR(_xll.ciqfunctions.udf.CIQ(mh_ticker, "IQ_EBITDA_EST", IQ_NTM, B1427, , , "USD"), "")</f>
        <v/>
      </c>
      <c r="O1427" s="13">
        <f>IFERROR(M1427/N1427, "")</f>
        <v/>
      </c>
    </row>
    <row r="1428">
      <c r="B1428" s="8" t="n"/>
      <c r="C1428" s="9">
        <f>IFERROR(_xll.ciqfunctions.udf.CIQ(mh_ticker, "IQ_LASTSALEPRICE", B1428), "")</f>
        <v/>
      </c>
      <c r="D1428" s="10">
        <f>IFERROR(_xll.ciqfunctions.udf.CIQ(mh_ticker, "IQ_SHARESOUTSTANDING_OUT", B1428), "")</f>
        <v/>
      </c>
      <c r="E1428" s="11">
        <f>IFERROR(_xll.ciqfunctions.udf.CIQ(mh_ticker, "IQ_CASH_EQUIV", , B1428), "")</f>
        <v/>
      </c>
      <c r="F1428" s="11">
        <f>IFERROR(_xll.ciqfunctions.udf.CIQ(mh_ticker, "IQ_ST_INVEST", , B1428), "")</f>
        <v/>
      </c>
      <c r="G1428" s="11">
        <f>IFERROR(_xll.ciqfunctions.udf.CIQ(mh_ticker, "IQ_TOTAL_DEBT_EXCL_OPER_LEASES", , B1428), "")</f>
        <v/>
      </c>
      <c r="H1428" s="11">
        <f>IFERROR(_xll.ciqfunctions.udf.CIQ(mh_ticker, "IQ_PREF_EQUITY", , B1428), "")</f>
        <v/>
      </c>
      <c r="I1428" s="11">
        <f>IFERROR(_xll.ciqfunctions.udf.CIQ(mh_ticker, "IQ_MINORITY_INTEREST", , B1428), "")</f>
        <v/>
      </c>
      <c r="J1428" s="11">
        <f>IFERROR(_xll.ciqfunctions.udf.CIQ(mh_ticker, "IQ_EQUITY_METHOD", , B1428), "")</f>
        <v/>
      </c>
      <c r="K1428" s="11">
        <f>IFERROR(_xll.ciqfunctions.udf.CIQ(mh_ticker, "IQ_LT_Mark_Securities", , B1428), "")</f>
        <v/>
      </c>
      <c r="L1428" s="12">
        <f>IFERROR(C1428*D1428, "")</f>
        <v/>
      </c>
      <c r="M1428" s="12">
        <f>IFERROR(L1428-E1428-F1428+G1428+H1428+I1428-J1428-K1428, "")</f>
        <v/>
      </c>
      <c r="N1428" s="11">
        <f>IFERROR(_xll.ciqfunctions.udf.CIQ(mh_ticker, "IQ_EBITDA_EST", IQ_NTM, B1428, , , "USD"), "")</f>
        <v/>
      </c>
      <c r="O1428" s="13">
        <f>IFERROR(M1428/N1428, "")</f>
        <v/>
      </c>
    </row>
    <row r="1429">
      <c r="B1429" s="8" t="n"/>
      <c r="C1429" s="9">
        <f>IFERROR(_xll.ciqfunctions.udf.CIQ(mh_ticker, "IQ_LASTSALEPRICE", B1429), "")</f>
        <v/>
      </c>
      <c r="D1429" s="10">
        <f>IFERROR(_xll.ciqfunctions.udf.CIQ(mh_ticker, "IQ_SHARESOUTSTANDING_OUT", B1429), "")</f>
        <v/>
      </c>
      <c r="E1429" s="11">
        <f>IFERROR(_xll.ciqfunctions.udf.CIQ(mh_ticker, "IQ_CASH_EQUIV", , B1429), "")</f>
        <v/>
      </c>
      <c r="F1429" s="11">
        <f>IFERROR(_xll.ciqfunctions.udf.CIQ(mh_ticker, "IQ_ST_INVEST", , B1429), "")</f>
        <v/>
      </c>
      <c r="G1429" s="11">
        <f>IFERROR(_xll.ciqfunctions.udf.CIQ(mh_ticker, "IQ_TOTAL_DEBT_EXCL_OPER_LEASES", , B1429), "")</f>
        <v/>
      </c>
      <c r="H1429" s="11">
        <f>IFERROR(_xll.ciqfunctions.udf.CIQ(mh_ticker, "IQ_PREF_EQUITY", , B1429), "")</f>
        <v/>
      </c>
      <c r="I1429" s="11">
        <f>IFERROR(_xll.ciqfunctions.udf.CIQ(mh_ticker, "IQ_MINORITY_INTEREST", , B1429), "")</f>
        <v/>
      </c>
      <c r="J1429" s="11">
        <f>IFERROR(_xll.ciqfunctions.udf.CIQ(mh_ticker, "IQ_EQUITY_METHOD", , B1429), "")</f>
        <v/>
      </c>
      <c r="K1429" s="11">
        <f>IFERROR(_xll.ciqfunctions.udf.CIQ(mh_ticker, "IQ_LT_Mark_Securities", , B1429), "")</f>
        <v/>
      </c>
      <c r="L1429" s="12">
        <f>IFERROR(C1429*D1429, "")</f>
        <v/>
      </c>
      <c r="M1429" s="12">
        <f>IFERROR(L1429-E1429-F1429+G1429+H1429+I1429-J1429-K1429, "")</f>
        <v/>
      </c>
      <c r="N1429" s="11">
        <f>IFERROR(_xll.ciqfunctions.udf.CIQ(mh_ticker, "IQ_EBITDA_EST", IQ_NTM, B1429, , , "USD"), "")</f>
        <v/>
      </c>
      <c r="O1429" s="13">
        <f>IFERROR(M1429/N1429, "")</f>
        <v/>
      </c>
    </row>
    <row r="1430">
      <c r="B1430" s="8" t="n"/>
      <c r="C1430" s="9">
        <f>IFERROR(_xll.ciqfunctions.udf.CIQ(mh_ticker, "IQ_LASTSALEPRICE", B1430), "")</f>
        <v/>
      </c>
      <c r="D1430" s="10">
        <f>IFERROR(_xll.ciqfunctions.udf.CIQ(mh_ticker, "IQ_SHARESOUTSTANDING_OUT", B1430), "")</f>
        <v/>
      </c>
      <c r="E1430" s="11">
        <f>IFERROR(_xll.ciqfunctions.udf.CIQ(mh_ticker, "IQ_CASH_EQUIV", , B1430), "")</f>
        <v/>
      </c>
      <c r="F1430" s="11">
        <f>IFERROR(_xll.ciqfunctions.udf.CIQ(mh_ticker, "IQ_ST_INVEST", , B1430), "")</f>
        <v/>
      </c>
      <c r="G1430" s="11">
        <f>IFERROR(_xll.ciqfunctions.udf.CIQ(mh_ticker, "IQ_TOTAL_DEBT_EXCL_OPER_LEASES", , B1430), "")</f>
        <v/>
      </c>
      <c r="H1430" s="11">
        <f>IFERROR(_xll.ciqfunctions.udf.CIQ(mh_ticker, "IQ_PREF_EQUITY", , B1430), "")</f>
        <v/>
      </c>
      <c r="I1430" s="11">
        <f>IFERROR(_xll.ciqfunctions.udf.CIQ(mh_ticker, "IQ_MINORITY_INTEREST", , B1430), "")</f>
        <v/>
      </c>
      <c r="J1430" s="11">
        <f>IFERROR(_xll.ciqfunctions.udf.CIQ(mh_ticker, "IQ_EQUITY_METHOD", , B1430), "")</f>
        <v/>
      </c>
      <c r="K1430" s="11">
        <f>IFERROR(_xll.ciqfunctions.udf.CIQ(mh_ticker, "IQ_LT_Mark_Securities", , B1430), "")</f>
        <v/>
      </c>
      <c r="L1430" s="12">
        <f>IFERROR(C1430*D1430, "")</f>
        <v/>
      </c>
      <c r="M1430" s="12">
        <f>IFERROR(L1430-E1430-F1430+G1430+H1430+I1430-J1430-K1430, "")</f>
        <v/>
      </c>
      <c r="N1430" s="11">
        <f>IFERROR(_xll.ciqfunctions.udf.CIQ(mh_ticker, "IQ_EBITDA_EST", IQ_NTM, B1430, , , "USD"), "")</f>
        <v/>
      </c>
      <c r="O1430" s="13">
        <f>IFERROR(M1430/N1430, "")</f>
        <v/>
      </c>
    </row>
    <row r="1431">
      <c r="B1431" s="8" t="n"/>
      <c r="C1431" s="9">
        <f>IFERROR(_xll.ciqfunctions.udf.CIQ(mh_ticker, "IQ_LASTSALEPRICE", B1431), "")</f>
        <v/>
      </c>
      <c r="D1431" s="10">
        <f>IFERROR(_xll.ciqfunctions.udf.CIQ(mh_ticker, "IQ_SHARESOUTSTANDING_OUT", B1431), "")</f>
        <v/>
      </c>
      <c r="E1431" s="11">
        <f>IFERROR(_xll.ciqfunctions.udf.CIQ(mh_ticker, "IQ_CASH_EQUIV", , B1431), "")</f>
        <v/>
      </c>
      <c r="F1431" s="11">
        <f>IFERROR(_xll.ciqfunctions.udf.CIQ(mh_ticker, "IQ_ST_INVEST", , B1431), "")</f>
        <v/>
      </c>
      <c r="G1431" s="11">
        <f>IFERROR(_xll.ciqfunctions.udf.CIQ(mh_ticker, "IQ_TOTAL_DEBT_EXCL_OPER_LEASES", , B1431), "")</f>
        <v/>
      </c>
      <c r="H1431" s="11">
        <f>IFERROR(_xll.ciqfunctions.udf.CIQ(mh_ticker, "IQ_PREF_EQUITY", , B1431), "")</f>
        <v/>
      </c>
      <c r="I1431" s="11">
        <f>IFERROR(_xll.ciqfunctions.udf.CIQ(mh_ticker, "IQ_MINORITY_INTEREST", , B1431), "")</f>
        <v/>
      </c>
      <c r="J1431" s="11">
        <f>IFERROR(_xll.ciqfunctions.udf.CIQ(mh_ticker, "IQ_EQUITY_METHOD", , B1431), "")</f>
        <v/>
      </c>
      <c r="K1431" s="11">
        <f>IFERROR(_xll.ciqfunctions.udf.CIQ(mh_ticker, "IQ_LT_Mark_Securities", , B1431), "")</f>
        <v/>
      </c>
      <c r="L1431" s="12">
        <f>IFERROR(C1431*D1431, "")</f>
        <v/>
      </c>
      <c r="M1431" s="12">
        <f>IFERROR(L1431-E1431-F1431+G1431+H1431+I1431-J1431-K1431, "")</f>
        <v/>
      </c>
      <c r="N1431" s="11">
        <f>IFERROR(_xll.ciqfunctions.udf.CIQ(mh_ticker, "IQ_EBITDA_EST", IQ_NTM, B1431, , , "USD"), "")</f>
        <v/>
      </c>
      <c r="O1431" s="13">
        <f>IFERROR(M1431/N1431, "")</f>
        <v/>
      </c>
    </row>
    <row r="1432">
      <c r="B1432" s="8" t="n"/>
      <c r="C1432" s="9">
        <f>IFERROR(_xll.ciqfunctions.udf.CIQ(mh_ticker, "IQ_LASTSALEPRICE", B1432), "")</f>
        <v/>
      </c>
      <c r="D1432" s="10">
        <f>IFERROR(_xll.ciqfunctions.udf.CIQ(mh_ticker, "IQ_SHARESOUTSTANDING_OUT", B1432), "")</f>
        <v/>
      </c>
      <c r="E1432" s="11">
        <f>IFERROR(_xll.ciqfunctions.udf.CIQ(mh_ticker, "IQ_CASH_EQUIV", , B1432), "")</f>
        <v/>
      </c>
      <c r="F1432" s="11">
        <f>IFERROR(_xll.ciqfunctions.udf.CIQ(mh_ticker, "IQ_ST_INVEST", , B1432), "")</f>
        <v/>
      </c>
      <c r="G1432" s="11">
        <f>IFERROR(_xll.ciqfunctions.udf.CIQ(mh_ticker, "IQ_TOTAL_DEBT_EXCL_OPER_LEASES", , B1432), "")</f>
        <v/>
      </c>
      <c r="H1432" s="11">
        <f>IFERROR(_xll.ciqfunctions.udf.CIQ(mh_ticker, "IQ_PREF_EQUITY", , B1432), "")</f>
        <v/>
      </c>
      <c r="I1432" s="11">
        <f>IFERROR(_xll.ciqfunctions.udf.CIQ(mh_ticker, "IQ_MINORITY_INTEREST", , B1432), "")</f>
        <v/>
      </c>
      <c r="J1432" s="11">
        <f>IFERROR(_xll.ciqfunctions.udf.CIQ(mh_ticker, "IQ_EQUITY_METHOD", , B1432), "")</f>
        <v/>
      </c>
      <c r="K1432" s="11">
        <f>IFERROR(_xll.ciqfunctions.udf.CIQ(mh_ticker, "IQ_LT_Mark_Securities", , B1432), "")</f>
        <v/>
      </c>
      <c r="L1432" s="12">
        <f>IFERROR(C1432*D1432, "")</f>
        <v/>
      </c>
      <c r="M1432" s="12">
        <f>IFERROR(L1432-E1432-F1432+G1432+H1432+I1432-J1432-K1432, "")</f>
        <v/>
      </c>
      <c r="N1432" s="11">
        <f>IFERROR(_xll.ciqfunctions.udf.CIQ(mh_ticker, "IQ_EBITDA_EST", IQ_NTM, B1432, , , "USD"), "")</f>
        <v/>
      </c>
      <c r="O1432" s="13">
        <f>IFERROR(M1432/N1432, "")</f>
        <v/>
      </c>
    </row>
    <row r="1433">
      <c r="B1433" s="8" t="n"/>
      <c r="C1433" s="9">
        <f>IFERROR(_xll.ciqfunctions.udf.CIQ(mh_ticker, "IQ_LASTSALEPRICE", B1433), "")</f>
        <v/>
      </c>
      <c r="D1433" s="10">
        <f>IFERROR(_xll.ciqfunctions.udf.CIQ(mh_ticker, "IQ_SHARESOUTSTANDING_OUT", B1433), "")</f>
        <v/>
      </c>
      <c r="E1433" s="11">
        <f>IFERROR(_xll.ciqfunctions.udf.CIQ(mh_ticker, "IQ_CASH_EQUIV", , B1433), "")</f>
        <v/>
      </c>
      <c r="F1433" s="11">
        <f>IFERROR(_xll.ciqfunctions.udf.CIQ(mh_ticker, "IQ_ST_INVEST", , B1433), "")</f>
        <v/>
      </c>
      <c r="G1433" s="11">
        <f>IFERROR(_xll.ciqfunctions.udf.CIQ(mh_ticker, "IQ_TOTAL_DEBT_EXCL_OPER_LEASES", , B1433), "")</f>
        <v/>
      </c>
      <c r="H1433" s="11">
        <f>IFERROR(_xll.ciqfunctions.udf.CIQ(mh_ticker, "IQ_PREF_EQUITY", , B1433), "")</f>
        <v/>
      </c>
      <c r="I1433" s="11">
        <f>IFERROR(_xll.ciqfunctions.udf.CIQ(mh_ticker, "IQ_MINORITY_INTEREST", , B1433), "")</f>
        <v/>
      </c>
      <c r="J1433" s="11">
        <f>IFERROR(_xll.ciqfunctions.udf.CIQ(mh_ticker, "IQ_EQUITY_METHOD", , B1433), "")</f>
        <v/>
      </c>
      <c r="K1433" s="11">
        <f>IFERROR(_xll.ciqfunctions.udf.CIQ(mh_ticker, "IQ_LT_Mark_Securities", , B1433), "")</f>
        <v/>
      </c>
      <c r="L1433" s="12">
        <f>IFERROR(C1433*D1433, "")</f>
        <v/>
      </c>
      <c r="M1433" s="12">
        <f>IFERROR(L1433-E1433-F1433+G1433+H1433+I1433-J1433-K1433, "")</f>
        <v/>
      </c>
      <c r="N1433" s="11">
        <f>IFERROR(_xll.ciqfunctions.udf.CIQ(mh_ticker, "IQ_EBITDA_EST", IQ_NTM, B1433, , , "USD"), "")</f>
        <v/>
      </c>
      <c r="O1433" s="13">
        <f>IFERROR(M1433/N1433, "")</f>
        <v/>
      </c>
    </row>
    <row r="1434">
      <c r="B1434" s="8" t="n"/>
      <c r="C1434" s="9">
        <f>IFERROR(_xll.ciqfunctions.udf.CIQ(mh_ticker, "IQ_LASTSALEPRICE", B1434), "")</f>
        <v/>
      </c>
      <c r="D1434" s="10">
        <f>IFERROR(_xll.ciqfunctions.udf.CIQ(mh_ticker, "IQ_SHARESOUTSTANDING_OUT", B1434), "")</f>
        <v/>
      </c>
      <c r="E1434" s="11">
        <f>IFERROR(_xll.ciqfunctions.udf.CIQ(mh_ticker, "IQ_CASH_EQUIV", , B1434), "")</f>
        <v/>
      </c>
      <c r="F1434" s="11">
        <f>IFERROR(_xll.ciqfunctions.udf.CIQ(mh_ticker, "IQ_ST_INVEST", , B1434), "")</f>
        <v/>
      </c>
      <c r="G1434" s="11">
        <f>IFERROR(_xll.ciqfunctions.udf.CIQ(mh_ticker, "IQ_TOTAL_DEBT_EXCL_OPER_LEASES", , B1434), "")</f>
        <v/>
      </c>
      <c r="H1434" s="11">
        <f>IFERROR(_xll.ciqfunctions.udf.CIQ(mh_ticker, "IQ_PREF_EQUITY", , B1434), "")</f>
        <v/>
      </c>
      <c r="I1434" s="11">
        <f>IFERROR(_xll.ciqfunctions.udf.CIQ(mh_ticker, "IQ_MINORITY_INTEREST", , B1434), "")</f>
        <v/>
      </c>
      <c r="J1434" s="11">
        <f>IFERROR(_xll.ciqfunctions.udf.CIQ(mh_ticker, "IQ_EQUITY_METHOD", , B1434), "")</f>
        <v/>
      </c>
      <c r="K1434" s="11">
        <f>IFERROR(_xll.ciqfunctions.udf.CIQ(mh_ticker, "IQ_LT_Mark_Securities", , B1434), "")</f>
        <v/>
      </c>
      <c r="L1434" s="12">
        <f>IFERROR(C1434*D1434, "")</f>
        <v/>
      </c>
      <c r="M1434" s="12">
        <f>IFERROR(L1434-E1434-F1434+G1434+H1434+I1434-J1434-K1434, "")</f>
        <v/>
      </c>
      <c r="N1434" s="11">
        <f>IFERROR(_xll.ciqfunctions.udf.CIQ(mh_ticker, "IQ_EBITDA_EST", IQ_NTM, B1434, , , "USD"), "")</f>
        <v/>
      </c>
      <c r="O1434" s="13">
        <f>IFERROR(M1434/N1434, "")</f>
        <v/>
      </c>
    </row>
    <row r="1435">
      <c r="B1435" s="8" t="n"/>
      <c r="C1435" s="9">
        <f>IFERROR(_xll.ciqfunctions.udf.CIQ(mh_ticker, "IQ_LASTSALEPRICE", B1435), "")</f>
        <v/>
      </c>
      <c r="D1435" s="10">
        <f>IFERROR(_xll.ciqfunctions.udf.CIQ(mh_ticker, "IQ_SHARESOUTSTANDING_OUT", B1435), "")</f>
        <v/>
      </c>
      <c r="E1435" s="11">
        <f>IFERROR(_xll.ciqfunctions.udf.CIQ(mh_ticker, "IQ_CASH_EQUIV", , B1435), "")</f>
        <v/>
      </c>
      <c r="F1435" s="11">
        <f>IFERROR(_xll.ciqfunctions.udf.CIQ(mh_ticker, "IQ_ST_INVEST", , B1435), "")</f>
        <v/>
      </c>
      <c r="G1435" s="11">
        <f>IFERROR(_xll.ciqfunctions.udf.CIQ(mh_ticker, "IQ_TOTAL_DEBT_EXCL_OPER_LEASES", , B1435), "")</f>
        <v/>
      </c>
      <c r="H1435" s="11">
        <f>IFERROR(_xll.ciqfunctions.udf.CIQ(mh_ticker, "IQ_PREF_EQUITY", , B1435), "")</f>
        <v/>
      </c>
      <c r="I1435" s="11">
        <f>IFERROR(_xll.ciqfunctions.udf.CIQ(mh_ticker, "IQ_MINORITY_INTEREST", , B1435), "")</f>
        <v/>
      </c>
      <c r="J1435" s="11">
        <f>IFERROR(_xll.ciqfunctions.udf.CIQ(mh_ticker, "IQ_EQUITY_METHOD", , B1435), "")</f>
        <v/>
      </c>
      <c r="K1435" s="11">
        <f>IFERROR(_xll.ciqfunctions.udf.CIQ(mh_ticker, "IQ_LT_Mark_Securities", , B1435), "")</f>
        <v/>
      </c>
      <c r="L1435" s="12">
        <f>IFERROR(C1435*D1435, "")</f>
        <v/>
      </c>
      <c r="M1435" s="12">
        <f>IFERROR(L1435-E1435-F1435+G1435+H1435+I1435-J1435-K1435, "")</f>
        <v/>
      </c>
      <c r="N1435" s="11">
        <f>IFERROR(_xll.ciqfunctions.udf.CIQ(mh_ticker, "IQ_EBITDA_EST", IQ_NTM, B1435, , , "USD"), "")</f>
        <v/>
      </c>
      <c r="O1435" s="13">
        <f>IFERROR(M1435/N1435, "")</f>
        <v/>
      </c>
    </row>
    <row r="1436">
      <c r="B1436" s="8" t="n"/>
      <c r="C1436" s="9">
        <f>IFERROR(_xll.ciqfunctions.udf.CIQ(mh_ticker, "IQ_LASTSALEPRICE", B1436), "")</f>
        <v/>
      </c>
      <c r="D1436" s="10">
        <f>IFERROR(_xll.ciqfunctions.udf.CIQ(mh_ticker, "IQ_SHARESOUTSTANDING_OUT", B1436), "")</f>
        <v/>
      </c>
      <c r="E1436" s="11">
        <f>IFERROR(_xll.ciqfunctions.udf.CIQ(mh_ticker, "IQ_CASH_EQUIV", , B1436), "")</f>
        <v/>
      </c>
      <c r="F1436" s="11">
        <f>IFERROR(_xll.ciqfunctions.udf.CIQ(mh_ticker, "IQ_ST_INVEST", , B1436), "")</f>
        <v/>
      </c>
      <c r="G1436" s="11">
        <f>IFERROR(_xll.ciqfunctions.udf.CIQ(mh_ticker, "IQ_TOTAL_DEBT_EXCL_OPER_LEASES", , B1436), "")</f>
        <v/>
      </c>
      <c r="H1436" s="11">
        <f>IFERROR(_xll.ciqfunctions.udf.CIQ(mh_ticker, "IQ_PREF_EQUITY", , B1436), "")</f>
        <v/>
      </c>
      <c r="I1436" s="11">
        <f>IFERROR(_xll.ciqfunctions.udf.CIQ(mh_ticker, "IQ_MINORITY_INTEREST", , B1436), "")</f>
        <v/>
      </c>
      <c r="J1436" s="11">
        <f>IFERROR(_xll.ciqfunctions.udf.CIQ(mh_ticker, "IQ_EQUITY_METHOD", , B1436), "")</f>
        <v/>
      </c>
      <c r="K1436" s="11">
        <f>IFERROR(_xll.ciqfunctions.udf.CIQ(mh_ticker, "IQ_LT_Mark_Securities", , B1436), "")</f>
        <v/>
      </c>
      <c r="L1436" s="12">
        <f>IFERROR(C1436*D1436, "")</f>
        <v/>
      </c>
      <c r="M1436" s="12">
        <f>IFERROR(L1436-E1436-F1436+G1436+H1436+I1436-J1436-K1436, "")</f>
        <v/>
      </c>
      <c r="N1436" s="11">
        <f>IFERROR(_xll.ciqfunctions.udf.CIQ(mh_ticker, "IQ_EBITDA_EST", IQ_NTM, B1436, , , "USD"), "")</f>
        <v/>
      </c>
      <c r="O1436" s="13">
        <f>IFERROR(M1436/N1436, "")</f>
        <v/>
      </c>
    </row>
    <row r="1437">
      <c r="B1437" s="8" t="n"/>
      <c r="C1437" s="9">
        <f>IFERROR(_xll.ciqfunctions.udf.CIQ(mh_ticker, "IQ_LASTSALEPRICE", B1437), "")</f>
        <v/>
      </c>
      <c r="D1437" s="10">
        <f>IFERROR(_xll.ciqfunctions.udf.CIQ(mh_ticker, "IQ_SHARESOUTSTANDING_OUT", B1437), "")</f>
        <v/>
      </c>
      <c r="E1437" s="11">
        <f>IFERROR(_xll.ciqfunctions.udf.CIQ(mh_ticker, "IQ_CASH_EQUIV", , B1437), "")</f>
        <v/>
      </c>
      <c r="F1437" s="11">
        <f>IFERROR(_xll.ciqfunctions.udf.CIQ(mh_ticker, "IQ_ST_INVEST", , B1437), "")</f>
        <v/>
      </c>
      <c r="G1437" s="11">
        <f>IFERROR(_xll.ciqfunctions.udf.CIQ(mh_ticker, "IQ_TOTAL_DEBT_EXCL_OPER_LEASES", , B1437), "")</f>
        <v/>
      </c>
      <c r="H1437" s="11">
        <f>IFERROR(_xll.ciqfunctions.udf.CIQ(mh_ticker, "IQ_PREF_EQUITY", , B1437), "")</f>
        <v/>
      </c>
      <c r="I1437" s="11">
        <f>IFERROR(_xll.ciqfunctions.udf.CIQ(mh_ticker, "IQ_MINORITY_INTEREST", , B1437), "")</f>
        <v/>
      </c>
      <c r="J1437" s="11">
        <f>IFERROR(_xll.ciqfunctions.udf.CIQ(mh_ticker, "IQ_EQUITY_METHOD", , B1437), "")</f>
        <v/>
      </c>
      <c r="K1437" s="11">
        <f>IFERROR(_xll.ciqfunctions.udf.CIQ(mh_ticker, "IQ_LT_Mark_Securities", , B1437), "")</f>
        <v/>
      </c>
      <c r="L1437" s="12">
        <f>IFERROR(C1437*D1437, "")</f>
        <v/>
      </c>
      <c r="M1437" s="12">
        <f>IFERROR(L1437-E1437-F1437+G1437+H1437+I1437-J1437-K1437, "")</f>
        <v/>
      </c>
      <c r="N1437" s="11">
        <f>IFERROR(_xll.ciqfunctions.udf.CIQ(mh_ticker, "IQ_EBITDA_EST", IQ_NTM, B1437, , , "USD"), "")</f>
        <v/>
      </c>
      <c r="O1437" s="13">
        <f>IFERROR(M1437/N1437, "")</f>
        <v/>
      </c>
    </row>
    <row r="1438">
      <c r="B1438" s="8" t="n"/>
      <c r="C1438" s="9">
        <f>IFERROR(_xll.ciqfunctions.udf.CIQ(mh_ticker, "IQ_LASTSALEPRICE", B1438), "")</f>
        <v/>
      </c>
      <c r="D1438" s="10">
        <f>IFERROR(_xll.ciqfunctions.udf.CIQ(mh_ticker, "IQ_SHARESOUTSTANDING_OUT", B1438), "")</f>
        <v/>
      </c>
      <c r="E1438" s="11">
        <f>IFERROR(_xll.ciqfunctions.udf.CIQ(mh_ticker, "IQ_CASH_EQUIV", , B1438), "")</f>
        <v/>
      </c>
      <c r="F1438" s="11">
        <f>IFERROR(_xll.ciqfunctions.udf.CIQ(mh_ticker, "IQ_ST_INVEST", , B1438), "")</f>
        <v/>
      </c>
      <c r="G1438" s="11">
        <f>IFERROR(_xll.ciqfunctions.udf.CIQ(mh_ticker, "IQ_TOTAL_DEBT_EXCL_OPER_LEASES", , B1438), "")</f>
        <v/>
      </c>
      <c r="H1438" s="11">
        <f>IFERROR(_xll.ciqfunctions.udf.CIQ(mh_ticker, "IQ_PREF_EQUITY", , B1438), "")</f>
        <v/>
      </c>
      <c r="I1438" s="11">
        <f>IFERROR(_xll.ciqfunctions.udf.CIQ(mh_ticker, "IQ_MINORITY_INTEREST", , B1438), "")</f>
        <v/>
      </c>
      <c r="J1438" s="11">
        <f>IFERROR(_xll.ciqfunctions.udf.CIQ(mh_ticker, "IQ_EQUITY_METHOD", , B1438), "")</f>
        <v/>
      </c>
      <c r="K1438" s="11">
        <f>IFERROR(_xll.ciqfunctions.udf.CIQ(mh_ticker, "IQ_LT_Mark_Securities", , B1438), "")</f>
        <v/>
      </c>
      <c r="L1438" s="12">
        <f>IFERROR(C1438*D1438, "")</f>
        <v/>
      </c>
      <c r="M1438" s="12">
        <f>IFERROR(L1438-E1438-F1438+G1438+H1438+I1438-J1438-K1438, "")</f>
        <v/>
      </c>
      <c r="N1438" s="11">
        <f>IFERROR(_xll.ciqfunctions.udf.CIQ(mh_ticker, "IQ_EBITDA_EST", IQ_NTM, B1438, , , "USD"), "")</f>
        <v/>
      </c>
      <c r="O1438" s="13">
        <f>IFERROR(M1438/N1438, "")</f>
        <v/>
      </c>
    </row>
    <row r="1439">
      <c r="B1439" s="8" t="n"/>
      <c r="C1439" s="9">
        <f>IFERROR(_xll.ciqfunctions.udf.CIQ(mh_ticker, "IQ_LASTSALEPRICE", B1439), "")</f>
        <v/>
      </c>
      <c r="D1439" s="10">
        <f>IFERROR(_xll.ciqfunctions.udf.CIQ(mh_ticker, "IQ_SHARESOUTSTANDING_OUT", B1439), "")</f>
        <v/>
      </c>
      <c r="E1439" s="11">
        <f>IFERROR(_xll.ciqfunctions.udf.CIQ(mh_ticker, "IQ_CASH_EQUIV", , B1439), "")</f>
        <v/>
      </c>
      <c r="F1439" s="11">
        <f>IFERROR(_xll.ciqfunctions.udf.CIQ(mh_ticker, "IQ_ST_INVEST", , B1439), "")</f>
        <v/>
      </c>
      <c r="G1439" s="11">
        <f>IFERROR(_xll.ciqfunctions.udf.CIQ(mh_ticker, "IQ_TOTAL_DEBT_EXCL_OPER_LEASES", , B1439), "")</f>
        <v/>
      </c>
      <c r="H1439" s="11">
        <f>IFERROR(_xll.ciqfunctions.udf.CIQ(mh_ticker, "IQ_PREF_EQUITY", , B1439), "")</f>
        <v/>
      </c>
      <c r="I1439" s="11">
        <f>IFERROR(_xll.ciqfunctions.udf.CIQ(mh_ticker, "IQ_MINORITY_INTEREST", , B1439), "")</f>
        <v/>
      </c>
      <c r="J1439" s="11">
        <f>IFERROR(_xll.ciqfunctions.udf.CIQ(mh_ticker, "IQ_EQUITY_METHOD", , B1439), "")</f>
        <v/>
      </c>
      <c r="K1439" s="11">
        <f>IFERROR(_xll.ciqfunctions.udf.CIQ(mh_ticker, "IQ_LT_Mark_Securities", , B1439), "")</f>
        <v/>
      </c>
      <c r="L1439" s="12">
        <f>IFERROR(C1439*D1439, "")</f>
        <v/>
      </c>
      <c r="M1439" s="12">
        <f>IFERROR(L1439-E1439-F1439+G1439+H1439+I1439-J1439-K1439, "")</f>
        <v/>
      </c>
      <c r="N1439" s="11">
        <f>IFERROR(_xll.ciqfunctions.udf.CIQ(mh_ticker, "IQ_EBITDA_EST", IQ_NTM, B1439, , , "USD"), "")</f>
        <v/>
      </c>
      <c r="O1439" s="13">
        <f>IFERROR(M1439/N1439, "")</f>
        <v/>
      </c>
    </row>
    <row r="1440">
      <c r="B1440" s="8" t="n"/>
      <c r="C1440" s="9">
        <f>IFERROR(_xll.ciqfunctions.udf.CIQ(mh_ticker, "IQ_LASTSALEPRICE", B1440), "")</f>
        <v/>
      </c>
      <c r="D1440" s="10">
        <f>IFERROR(_xll.ciqfunctions.udf.CIQ(mh_ticker, "IQ_SHARESOUTSTANDING_OUT", B1440), "")</f>
        <v/>
      </c>
      <c r="E1440" s="11">
        <f>IFERROR(_xll.ciqfunctions.udf.CIQ(mh_ticker, "IQ_CASH_EQUIV", , B1440), "")</f>
        <v/>
      </c>
      <c r="F1440" s="11">
        <f>IFERROR(_xll.ciqfunctions.udf.CIQ(mh_ticker, "IQ_ST_INVEST", , B1440), "")</f>
        <v/>
      </c>
      <c r="G1440" s="11">
        <f>IFERROR(_xll.ciqfunctions.udf.CIQ(mh_ticker, "IQ_TOTAL_DEBT_EXCL_OPER_LEASES", , B1440), "")</f>
        <v/>
      </c>
      <c r="H1440" s="11">
        <f>IFERROR(_xll.ciqfunctions.udf.CIQ(mh_ticker, "IQ_PREF_EQUITY", , B1440), "")</f>
        <v/>
      </c>
      <c r="I1440" s="11">
        <f>IFERROR(_xll.ciqfunctions.udf.CIQ(mh_ticker, "IQ_MINORITY_INTEREST", , B1440), "")</f>
        <v/>
      </c>
      <c r="J1440" s="11">
        <f>IFERROR(_xll.ciqfunctions.udf.CIQ(mh_ticker, "IQ_EQUITY_METHOD", , B1440), "")</f>
        <v/>
      </c>
      <c r="K1440" s="11">
        <f>IFERROR(_xll.ciqfunctions.udf.CIQ(mh_ticker, "IQ_LT_Mark_Securities", , B1440), "")</f>
        <v/>
      </c>
      <c r="L1440" s="12">
        <f>IFERROR(C1440*D1440, "")</f>
        <v/>
      </c>
      <c r="M1440" s="12">
        <f>IFERROR(L1440-E1440-F1440+G1440+H1440+I1440-J1440-K1440, "")</f>
        <v/>
      </c>
      <c r="N1440" s="11">
        <f>IFERROR(_xll.ciqfunctions.udf.CIQ(mh_ticker, "IQ_EBITDA_EST", IQ_NTM, B1440, , , "USD"), "")</f>
        <v/>
      </c>
      <c r="O1440" s="13">
        <f>IFERROR(M1440/N1440, "")</f>
        <v/>
      </c>
    </row>
    <row r="1441">
      <c r="B1441" s="8" t="n"/>
      <c r="C1441" s="9">
        <f>IFERROR(_xll.ciqfunctions.udf.CIQ(mh_ticker, "IQ_LASTSALEPRICE", B1441), "")</f>
        <v/>
      </c>
      <c r="D1441" s="10">
        <f>IFERROR(_xll.ciqfunctions.udf.CIQ(mh_ticker, "IQ_SHARESOUTSTANDING_OUT", B1441), "")</f>
        <v/>
      </c>
      <c r="E1441" s="11">
        <f>IFERROR(_xll.ciqfunctions.udf.CIQ(mh_ticker, "IQ_CASH_EQUIV", , B1441), "")</f>
        <v/>
      </c>
      <c r="F1441" s="11">
        <f>IFERROR(_xll.ciqfunctions.udf.CIQ(mh_ticker, "IQ_ST_INVEST", , B1441), "")</f>
        <v/>
      </c>
      <c r="G1441" s="11">
        <f>IFERROR(_xll.ciqfunctions.udf.CIQ(mh_ticker, "IQ_TOTAL_DEBT_EXCL_OPER_LEASES", , B1441), "")</f>
        <v/>
      </c>
      <c r="H1441" s="11">
        <f>IFERROR(_xll.ciqfunctions.udf.CIQ(mh_ticker, "IQ_PREF_EQUITY", , B1441), "")</f>
        <v/>
      </c>
      <c r="I1441" s="11">
        <f>IFERROR(_xll.ciqfunctions.udf.CIQ(mh_ticker, "IQ_MINORITY_INTEREST", , B1441), "")</f>
        <v/>
      </c>
      <c r="J1441" s="11">
        <f>IFERROR(_xll.ciqfunctions.udf.CIQ(mh_ticker, "IQ_EQUITY_METHOD", , B1441), "")</f>
        <v/>
      </c>
      <c r="K1441" s="11">
        <f>IFERROR(_xll.ciqfunctions.udf.CIQ(mh_ticker, "IQ_LT_Mark_Securities", , B1441), "")</f>
        <v/>
      </c>
      <c r="L1441" s="12">
        <f>IFERROR(C1441*D1441, "")</f>
        <v/>
      </c>
      <c r="M1441" s="12">
        <f>IFERROR(L1441-E1441-F1441+G1441+H1441+I1441-J1441-K1441, "")</f>
        <v/>
      </c>
      <c r="N1441" s="11">
        <f>IFERROR(_xll.ciqfunctions.udf.CIQ(mh_ticker, "IQ_EBITDA_EST", IQ_NTM, B1441, , , "USD"), "")</f>
        <v/>
      </c>
      <c r="O1441" s="13">
        <f>IFERROR(M1441/N1441, "")</f>
        <v/>
      </c>
    </row>
    <row r="1442">
      <c r="B1442" s="8" t="n"/>
      <c r="C1442" s="9">
        <f>IFERROR(_xll.ciqfunctions.udf.CIQ(mh_ticker, "IQ_LASTSALEPRICE", B1442), "")</f>
        <v/>
      </c>
      <c r="D1442" s="10">
        <f>IFERROR(_xll.ciqfunctions.udf.CIQ(mh_ticker, "IQ_SHARESOUTSTANDING_OUT", B1442), "")</f>
        <v/>
      </c>
      <c r="E1442" s="11">
        <f>IFERROR(_xll.ciqfunctions.udf.CIQ(mh_ticker, "IQ_CASH_EQUIV", , B1442), "")</f>
        <v/>
      </c>
      <c r="F1442" s="11">
        <f>IFERROR(_xll.ciqfunctions.udf.CIQ(mh_ticker, "IQ_ST_INVEST", , B1442), "")</f>
        <v/>
      </c>
      <c r="G1442" s="11">
        <f>IFERROR(_xll.ciqfunctions.udf.CIQ(mh_ticker, "IQ_TOTAL_DEBT_EXCL_OPER_LEASES", , B1442), "")</f>
        <v/>
      </c>
      <c r="H1442" s="11">
        <f>IFERROR(_xll.ciqfunctions.udf.CIQ(mh_ticker, "IQ_PREF_EQUITY", , B1442), "")</f>
        <v/>
      </c>
      <c r="I1442" s="11">
        <f>IFERROR(_xll.ciqfunctions.udf.CIQ(mh_ticker, "IQ_MINORITY_INTEREST", , B1442), "")</f>
        <v/>
      </c>
      <c r="J1442" s="11">
        <f>IFERROR(_xll.ciqfunctions.udf.CIQ(mh_ticker, "IQ_EQUITY_METHOD", , B1442), "")</f>
        <v/>
      </c>
      <c r="K1442" s="11">
        <f>IFERROR(_xll.ciqfunctions.udf.CIQ(mh_ticker, "IQ_LT_Mark_Securities", , B1442), "")</f>
        <v/>
      </c>
      <c r="L1442" s="12">
        <f>IFERROR(C1442*D1442, "")</f>
        <v/>
      </c>
      <c r="M1442" s="12">
        <f>IFERROR(L1442-E1442-F1442+G1442+H1442+I1442-J1442-K1442, "")</f>
        <v/>
      </c>
      <c r="N1442" s="11">
        <f>IFERROR(_xll.ciqfunctions.udf.CIQ(mh_ticker, "IQ_EBITDA_EST", IQ_NTM, B1442, , , "USD"), "")</f>
        <v/>
      </c>
      <c r="O1442" s="13">
        <f>IFERROR(M1442/N1442, "")</f>
        <v/>
      </c>
    </row>
    <row r="1443">
      <c r="B1443" s="8" t="n"/>
      <c r="C1443" s="9">
        <f>IFERROR(_xll.ciqfunctions.udf.CIQ(mh_ticker, "IQ_LASTSALEPRICE", B1443), "")</f>
        <v/>
      </c>
      <c r="D1443" s="10">
        <f>IFERROR(_xll.ciqfunctions.udf.CIQ(mh_ticker, "IQ_SHARESOUTSTANDING_OUT", B1443), "")</f>
        <v/>
      </c>
      <c r="E1443" s="11">
        <f>IFERROR(_xll.ciqfunctions.udf.CIQ(mh_ticker, "IQ_CASH_EQUIV", , B1443), "")</f>
        <v/>
      </c>
      <c r="F1443" s="11">
        <f>IFERROR(_xll.ciqfunctions.udf.CIQ(mh_ticker, "IQ_ST_INVEST", , B1443), "")</f>
        <v/>
      </c>
      <c r="G1443" s="11">
        <f>IFERROR(_xll.ciqfunctions.udf.CIQ(mh_ticker, "IQ_TOTAL_DEBT_EXCL_OPER_LEASES", , B1443), "")</f>
        <v/>
      </c>
      <c r="H1443" s="11">
        <f>IFERROR(_xll.ciqfunctions.udf.CIQ(mh_ticker, "IQ_PREF_EQUITY", , B1443), "")</f>
        <v/>
      </c>
      <c r="I1443" s="11">
        <f>IFERROR(_xll.ciqfunctions.udf.CIQ(mh_ticker, "IQ_MINORITY_INTEREST", , B1443), "")</f>
        <v/>
      </c>
      <c r="J1443" s="11">
        <f>IFERROR(_xll.ciqfunctions.udf.CIQ(mh_ticker, "IQ_EQUITY_METHOD", , B1443), "")</f>
        <v/>
      </c>
      <c r="K1443" s="11">
        <f>IFERROR(_xll.ciqfunctions.udf.CIQ(mh_ticker, "IQ_LT_Mark_Securities", , B1443), "")</f>
        <v/>
      </c>
      <c r="L1443" s="12">
        <f>IFERROR(C1443*D1443, "")</f>
        <v/>
      </c>
      <c r="M1443" s="12">
        <f>IFERROR(L1443-E1443-F1443+G1443+H1443+I1443-J1443-K1443, "")</f>
        <v/>
      </c>
      <c r="N1443" s="11">
        <f>IFERROR(_xll.ciqfunctions.udf.CIQ(mh_ticker, "IQ_EBITDA_EST", IQ_NTM, B1443, , , "USD"), "")</f>
        <v/>
      </c>
      <c r="O1443" s="13">
        <f>IFERROR(M1443/N1443, "")</f>
        <v/>
      </c>
    </row>
    <row r="1444">
      <c r="B1444" s="8" t="n"/>
      <c r="C1444" s="9">
        <f>IFERROR(_xll.ciqfunctions.udf.CIQ(mh_ticker, "IQ_LASTSALEPRICE", B1444), "")</f>
        <v/>
      </c>
      <c r="D1444" s="10">
        <f>IFERROR(_xll.ciqfunctions.udf.CIQ(mh_ticker, "IQ_SHARESOUTSTANDING_OUT", B1444), "")</f>
        <v/>
      </c>
      <c r="E1444" s="11">
        <f>IFERROR(_xll.ciqfunctions.udf.CIQ(mh_ticker, "IQ_CASH_EQUIV", , B1444), "")</f>
        <v/>
      </c>
      <c r="F1444" s="11">
        <f>IFERROR(_xll.ciqfunctions.udf.CIQ(mh_ticker, "IQ_ST_INVEST", , B1444), "")</f>
        <v/>
      </c>
      <c r="G1444" s="11">
        <f>IFERROR(_xll.ciqfunctions.udf.CIQ(mh_ticker, "IQ_TOTAL_DEBT_EXCL_OPER_LEASES", , B1444), "")</f>
        <v/>
      </c>
      <c r="H1444" s="11">
        <f>IFERROR(_xll.ciqfunctions.udf.CIQ(mh_ticker, "IQ_PREF_EQUITY", , B1444), "")</f>
        <v/>
      </c>
      <c r="I1444" s="11">
        <f>IFERROR(_xll.ciqfunctions.udf.CIQ(mh_ticker, "IQ_MINORITY_INTEREST", , B1444), "")</f>
        <v/>
      </c>
      <c r="J1444" s="11">
        <f>IFERROR(_xll.ciqfunctions.udf.CIQ(mh_ticker, "IQ_EQUITY_METHOD", , B1444), "")</f>
        <v/>
      </c>
      <c r="K1444" s="11">
        <f>IFERROR(_xll.ciqfunctions.udf.CIQ(mh_ticker, "IQ_LT_Mark_Securities", , B1444), "")</f>
        <v/>
      </c>
      <c r="L1444" s="12">
        <f>IFERROR(C1444*D1444, "")</f>
        <v/>
      </c>
      <c r="M1444" s="12">
        <f>IFERROR(L1444-E1444-F1444+G1444+H1444+I1444-J1444-K1444, "")</f>
        <v/>
      </c>
      <c r="N1444" s="11">
        <f>IFERROR(_xll.ciqfunctions.udf.CIQ(mh_ticker, "IQ_EBITDA_EST", IQ_NTM, B1444, , , "USD"), "")</f>
        <v/>
      </c>
      <c r="O1444" s="13">
        <f>IFERROR(M1444/N1444, "")</f>
        <v/>
      </c>
    </row>
    <row r="1445">
      <c r="B1445" s="8" t="n"/>
      <c r="C1445" s="9">
        <f>IFERROR(_xll.ciqfunctions.udf.CIQ(mh_ticker, "IQ_LASTSALEPRICE", B1445), "")</f>
        <v/>
      </c>
      <c r="D1445" s="10">
        <f>IFERROR(_xll.ciqfunctions.udf.CIQ(mh_ticker, "IQ_SHARESOUTSTANDING_OUT", B1445), "")</f>
        <v/>
      </c>
      <c r="E1445" s="11">
        <f>IFERROR(_xll.ciqfunctions.udf.CIQ(mh_ticker, "IQ_CASH_EQUIV", , B1445), "")</f>
        <v/>
      </c>
      <c r="F1445" s="11">
        <f>IFERROR(_xll.ciqfunctions.udf.CIQ(mh_ticker, "IQ_ST_INVEST", , B1445), "")</f>
        <v/>
      </c>
      <c r="G1445" s="11">
        <f>IFERROR(_xll.ciqfunctions.udf.CIQ(mh_ticker, "IQ_TOTAL_DEBT_EXCL_OPER_LEASES", , B1445), "")</f>
        <v/>
      </c>
      <c r="H1445" s="11">
        <f>IFERROR(_xll.ciqfunctions.udf.CIQ(mh_ticker, "IQ_PREF_EQUITY", , B1445), "")</f>
        <v/>
      </c>
      <c r="I1445" s="11">
        <f>IFERROR(_xll.ciqfunctions.udf.CIQ(mh_ticker, "IQ_MINORITY_INTEREST", , B1445), "")</f>
        <v/>
      </c>
      <c r="J1445" s="11">
        <f>IFERROR(_xll.ciqfunctions.udf.CIQ(mh_ticker, "IQ_EQUITY_METHOD", , B1445), "")</f>
        <v/>
      </c>
      <c r="K1445" s="11">
        <f>IFERROR(_xll.ciqfunctions.udf.CIQ(mh_ticker, "IQ_LT_Mark_Securities", , B1445), "")</f>
        <v/>
      </c>
      <c r="L1445" s="12">
        <f>IFERROR(C1445*D1445, "")</f>
        <v/>
      </c>
      <c r="M1445" s="12">
        <f>IFERROR(L1445-E1445-F1445+G1445+H1445+I1445-J1445-K1445, "")</f>
        <v/>
      </c>
      <c r="N1445" s="11">
        <f>IFERROR(_xll.ciqfunctions.udf.CIQ(mh_ticker, "IQ_EBITDA_EST", IQ_NTM, B1445, , , "USD"), "")</f>
        <v/>
      </c>
      <c r="O1445" s="13">
        <f>IFERROR(M1445/N1445, "")</f>
        <v/>
      </c>
    </row>
    <row r="1446">
      <c r="B1446" s="8" t="n"/>
      <c r="C1446" s="9">
        <f>IFERROR(_xll.ciqfunctions.udf.CIQ(mh_ticker, "IQ_LASTSALEPRICE", B1446), "")</f>
        <v/>
      </c>
      <c r="D1446" s="10">
        <f>IFERROR(_xll.ciqfunctions.udf.CIQ(mh_ticker, "IQ_SHARESOUTSTANDING_OUT", B1446), "")</f>
        <v/>
      </c>
      <c r="E1446" s="11">
        <f>IFERROR(_xll.ciqfunctions.udf.CIQ(mh_ticker, "IQ_CASH_EQUIV", , B1446), "")</f>
        <v/>
      </c>
      <c r="F1446" s="11">
        <f>IFERROR(_xll.ciqfunctions.udf.CIQ(mh_ticker, "IQ_ST_INVEST", , B1446), "")</f>
        <v/>
      </c>
      <c r="G1446" s="11">
        <f>IFERROR(_xll.ciqfunctions.udf.CIQ(mh_ticker, "IQ_TOTAL_DEBT_EXCL_OPER_LEASES", , B1446), "")</f>
        <v/>
      </c>
      <c r="H1446" s="11">
        <f>IFERROR(_xll.ciqfunctions.udf.CIQ(mh_ticker, "IQ_PREF_EQUITY", , B1446), "")</f>
        <v/>
      </c>
      <c r="I1446" s="11">
        <f>IFERROR(_xll.ciqfunctions.udf.CIQ(mh_ticker, "IQ_MINORITY_INTEREST", , B1446), "")</f>
        <v/>
      </c>
      <c r="J1446" s="11">
        <f>IFERROR(_xll.ciqfunctions.udf.CIQ(mh_ticker, "IQ_EQUITY_METHOD", , B1446), "")</f>
        <v/>
      </c>
      <c r="K1446" s="11">
        <f>IFERROR(_xll.ciqfunctions.udf.CIQ(mh_ticker, "IQ_LT_Mark_Securities", , B1446), "")</f>
        <v/>
      </c>
      <c r="L1446" s="12">
        <f>IFERROR(C1446*D1446, "")</f>
        <v/>
      </c>
      <c r="M1446" s="12">
        <f>IFERROR(L1446-E1446-F1446+G1446+H1446+I1446-J1446-K1446, "")</f>
        <v/>
      </c>
      <c r="N1446" s="11">
        <f>IFERROR(_xll.ciqfunctions.udf.CIQ(mh_ticker, "IQ_EBITDA_EST", IQ_NTM, B1446, , , "USD"), "")</f>
        <v/>
      </c>
      <c r="O1446" s="13">
        <f>IFERROR(M1446/N1446, "")</f>
        <v/>
      </c>
    </row>
    <row r="1447">
      <c r="B1447" s="8" t="n"/>
      <c r="C1447" s="9">
        <f>IFERROR(_xll.ciqfunctions.udf.CIQ(mh_ticker, "IQ_LASTSALEPRICE", B1447), "")</f>
        <v/>
      </c>
      <c r="D1447" s="10">
        <f>IFERROR(_xll.ciqfunctions.udf.CIQ(mh_ticker, "IQ_SHARESOUTSTANDING_OUT", B1447), "")</f>
        <v/>
      </c>
      <c r="E1447" s="11">
        <f>IFERROR(_xll.ciqfunctions.udf.CIQ(mh_ticker, "IQ_CASH_EQUIV", , B1447), "")</f>
        <v/>
      </c>
      <c r="F1447" s="11">
        <f>IFERROR(_xll.ciqfunctions.udf.CIQ(mh_ticker, "IQ_ST_INVEST", , B1447), "")</f>
        <v/>
      </c>
      <c r="G1447" s="11">
        <f>IFERROR(_xll.ciqfunctions.udf.CIQ(mh_ticker, "IQ_TOTAL_DEBT_EXCL_OPER_LEASES", , B1447), "")</f>
        <v/>
      </c>
      <c r="H1447" s="11">
        <f>IFERROR(_xll.ciqfunctions.udf.CIQ(mh_ticker, "IQ_PREF_EQUITY", , B1447), "")</f>
        <v/>
      </c>
      <c r="I1447" s="11">
        <f>IFERROR(_xll.ciqfunctions.udf.CIQ(mh_ticker, "IQ_MINORITY_INTEREST", , B1447), "")</f>
        <v/>
      </c>
      <c r="J1447" s="11">
        <f>IFERROR(_xll.ciqfunctions.udf.CIQ(mh_ticker, "IQ_EQUITY_METHOD", , B1447), "")</f>
        <v/>
      </c>
      <c r="K1447" s="11">
        <f>IFERROR(_xll.ciqfunctions.udf.CIQ(mh_ticker, "IQ_LT_Mark_Securities", , B1447), "")</f>
        <v/>
      </c>
      <c r="L1447" s="12">
        <f>IFERROR(C1447*D1447, "")</f>
        <v/>
      </c>
      <c r="M1447" s="12">
        <f>IFERROR(L1447-E1447-F1447+G1447+H1447+I1447-J1447-K1447, "")</f>
        <v/>
      </c>
      <c r="N1447" s="11">
        <f>IFERROR(_xll.ciqfunctions.udf.CIQ(mh_ticker, "IQ_EBITDA_EST", IQ_NTM, B1447, , , "USD"), "")</f>
        <v/>
      </c>
      <c r="O1447" s="13">
        <f>IFERROR(M1447/N1447, "")</f>
        <v/>
      </c>
    </row>
    <row r="1448">
      <c r="B1448" s="8" t="n"/>
      <c r="C1448" s="9">
        <f>IFERROR(_xll.ciqfunctions.udf.CIQ(mh_ticker, "IQ_LASTSALEPRICE", B1448), "")</f>
        <v/>
      </c>
      <c r="D1448" s="10">
        <f>IFERROR(_xll.ciqfunctions.udf.CIQ(mh_ticker, "IQ_SHARESOUTSTANDING_OUT", B1448), "")</f>
        <v/>
      </c>
      <c r="E1448" s="11">
        <f>IFERROR(_xll.ciqfunctions.udf.CIQ(mh_ticker, "IQ_CASH_EQUIV", , B1448), "")</f>
        <v/>
      </c>
      <c r="F1448" s="11">
        <f>IFERROR(_xll.ciqfunctions.udf.CIQ(mh_ticker, "IQ_ST_INVEST", , B1448), "")</f>
        <v/>
      </c>
      <c r="G1448" s="11">
        <f>IFERROR(_xll.ciqfunctions.udf.CIQ(mh_ticker, "IQ_TOTAL_DEBT_EXCL_OPER_LEASES", , B1448), "")</f>
        <v/>
      </c>
      <c r="H1448" s="11">
        <f>IFERROR(_xll.ciqfunctions.udf.CIQ(mh_ticker, "IQ_PREF_EQUITY", , B1448), "")</f>
        <v/>
      </c>
      <c r="I1448" s="11">
        <f>IFERROR(_xll.ciqfunctions.udf.CIQ(mh_ticker, "IQ_MINORITY_INTEREST", , B1448), "")</f>
        <v/>
      </c>
      <c r="J1448" s="11">
        <f>IFERROR(_xll.ciqfunctions.udf.CIQ(mh_ticker, "IQ_EQUITY_METHOD", , B1448), "")</f>
        <v/>
      </c>
      <c r="K1448" s="11">
        <f>IFERROR(_xll.ciqfunctions.udf.CIQ(mh_ticker, "IQ_LT_Mark_Securities", , B1448), "")</f>
        <v/>
      </c>
      <c r="L1448" s="12">
        <f>IFERROR(C1448*D1448, "")</f>
        <v/>
      </c>
      <c r="M1448" s="12">
        <f>IFERROR(L1448-E1448-F1448+G1448+H1448+I1448-J1448-K1448, "")</f>
        <v/>
      </c>
      <c r="N1448" s="11">
        <f>IFERROR(_xll.ciqfunctions.udf.CIQ(mh_ticker, "IQ_EBITDA_EST", IQ_NTM, B1448, , , "USD"), "")</f>
        <v/>
      </c>
      <c r="O1448" s="13">
        <f>IFERROR(M1448/N1448, "")</f>
        <v/>
      </c>
    </row>
    <row r="1449">
      <c r="B1449" s="8" t="n"/>
      <c r="C1449" s="9">
        <f>IFERROR(_xll.ciqfunctions.udf.CIQ(mh_ticker, "IQ_LASTSALEPRICE", B1449), "")</f>
        <v/>
      </c>
      <c r="D1449" s="10">
        <f>IFERROR(_xll.ciqfunctions.udf.CIQ(mh_ticker, "IQ_SHARESOUTSTANDING_OUT", B1449), "")</f>
        <v/>
      </c>
      <c r="E1449" s="11">
        <f>IFERROR(_xll.ciqfunctions.udf.CIQ(mh_ticker, "IQ_CASH_EQUIV", , B1449), "")</f>
        <v/>
      </c>
      <c r="F1449" s="11">
        <f>IFERROR(_xll.ciqfunctions.udf.CIQ(mh_ticker, "IQ_ST_INVEST", , B1449), "")</f>
        <v/>
      </c>
      <c r="G1449" s="11">
        <f>IFERROR(_xll.ciqfunctions.udf.CIQ(mh_ticker, "IQ_TOTAL_DEBT_EXCL_OPER_LEASES", , B1449), "")</f>
        <v/>
      </c>
      <c r="H1449" s="11">
        <f>IFERROR(_xll.ciqfunctions.udf.CIQ(mh_ticker, "IQ_PREF_EQUITY", , B1449), "")</f>
        <v/>
      </c>
      <c r="I1449" s="11">
        <f>IFERROR(_xll.ciqfunctions.udf.CIQ(mh_ticker, "IQ_MINORITY_INTEREST", , B1449), "")</f>
        <v/>
      </c>
      <c r="J1449" s="11">
        <f>IFERROR(_xll.ciqfunctions.udf.CIQ(mh_ticker, "IQ_EQUITY_METHOD", , B1449), "")</f>
        <v/>
      </c>
      <c r="K1449" s="11">
        <f>IFERROR(_xll.ciqfunctions.udf.CIQ(mh_ticker, "IQ_LT_Mark_Securities", , B1449), "")</f>
        <v/>
      </c>
      <c r="L1449" s="12">
        <f>IFERROR(C1449*D1449, "")</f>
        <v/>
      </c>
      <c r="M1449" s="12">
        <f>IFERROR(L1449-E1449-F1449+G1449+H1449+I1449-J1449-K1449, "")</f>
        <v/>
      </c>
      <c r="N1449" s="11">
        <f>IFERROR(_xll.ciqfunctions.udf.CIQ(mh_ticker, "IQ_EBITDA_EST", IQ_NTM, B1449, , , "USD"), "")</f>
        <v/>
      </c>
      <c r="O1449" s="13">
        <f>IFERROR(M1449/N1449, "")</f>
        <v/>
      </c>
    </row>
    <row r="1450">
      <c r="B1450" s="8" t="n"/>
      <c r="C1450" s="9">
        <f>IFERROR(_xll.ciqfunctions.udf.CIQ(mh_ticker, "IQ_LASTSALEPRICE", B1450), "")</f>
        <v/>
      </c>
      <c r="D1450" s="10">
        <f>IFERROR(_xll.ciqfunctions.udf.CIQ(mh_ticker, "IQ_SHARESOUTSTANDING_OUT", B1450), "")</f>
        <v/>
      </c>
      <c r="E1450" s="11">
        <f>IFERROR(_xll.ciqfunctions.udf.CIQ(mh_ticker, "IQ_CASH_EQUIV", , B1450), "")</f>
        <v/>
      </c>
      <c r="F1450" s="11">
        <f>IFERROR(_xll.ciqfunctions.udf.CIQ(mh_ticker, "IQ_ST_INVEST", , B1450), "")</f>
        <v/>
      </c>
      <c r="G1450" s="11">
        <f>IFERROR(_xll.ciqfunctions.udf.CIQ(mh_ticker, "IQ_TOTAL_DEBT_EXCL_OPER_LEASES", , B1450), "")</f>
        <v/>
      </c>
      <c r="H1450" s="11">
        <f>IFERROR(_xll.ciqfunctions.udf.CIQ(mh_ticker, "IQ_PREF_EQUITY", , B1450), "")</f>
        <v/>
      </c>
      <c r="I1450" s="11">
        <f>IFERROR(_xll.ciqfunctions.udf.CIQ(mh_ticker, "IQ_MINORITY_INTEREST", , B1450), "")</f>
        <v/>
      </c>
      <c r="J1450" s="11">
        <f>IFERROR(_xll.ciqfunctions.udf.CIQ(mh_ticker, "IQ_EQUITY_METHOD", , B1450), "")</f>
        <v/>
      </c>
      <c r="K1450" s="11">
        <f>IFERROR(_xll.ciqfunctions.udf.CIQ(mh_ticker, "IQ_LT_Mark_Securities", , B1450), "")</f>
        <v/>
      </c>
      <c r="L1450" s="12">
        <f>IFERROR(C1450*D1450, "")</f>
        <v/>
      </c>
      <c r="M1450" s="12">
        <f>IFERROR(L1450-E1450-F1450+G1450+H1450+I1450-J1450-K1450, "")</f>
        <v/>
      </c>
      <c r="N1450" s="11">
        <f>IFERROR(_xll.ciqfunctions.udf.CIQ(mh_ticker, "IQ_EBITDA_EST", IQ_NTM, B1450, , , "USD"), "")</f>
        <v/>
      </c>
      <c r="O1450" s="13">
        <f>IFERROR(M1450/N1450, "")</f>
        <v/>
      </c>
    </row>
    <row r="1451">
      <c r="B1451" s="8" t="n"/>
      <c r="C1451" s="9">
        <f>IFERROR(_xll.ciqfunctions.udf.CIQ(mh_ticker, "IQ_LASTSALEPRICE", B1451), "")</f>
        <v/>
      </c>
      <c r="D1451" s="10">
        <f>IFERROR(_xll.ciqfunctions.udf.CIQ(mh_ticker, "IQ_SHARESOUTSTANDING_OUT", B1451), "")</f>
        <v/>
      </c>
      <c r="E1451" s="11">
        <f>IFERROR(_xll.ciqfunctions.udf.CIQ(mh_ticker, "IQ_CASH_EQUIV", , B1451), "")</f>
        <v/>
      </c>
      <c r="F1451" s="11">
        <f>IFERROR(_xll.ciqfunctions.udf.CIQ(mh_ticker, "IQ_ST_INVEST", , B1451), "")</f>
        <v/>
      </c>
      <c r="G1451" s="11">
        <f>IFERROR(_xll.ciqfunctions.udf.CIQ(mh_ticker, "IQ_TOTAL_DEBT_EXCL_OPER_LEASES", , B1451), "")</f>
        <v/>
      </c>
      <c r="H1451" s="11">
        <f>IFERROR(_xll.ciqfunctions.udf.CIQ(mh_ticker, "IQ_PREF_EQUITY", , B1451), "")</f>
        <v/>
      </c>
      <c r="I1451" s="11">
        <f>IFERROR(_xll.ciqfunctions.udf.CIQ(mh_ticker, "IQ_MINORITY_INTEREST", , B1451), "")</f>
        <v/>
      </c>
      <c r="J1451" s="11">
        <f>IFERROR(_xll.ciqfunctions.udf.CIQ(mh_ticker, "IQ_EQUITY_METHOD", , B1451), "")</f>
        <v/>
      </c>
      <c r="K1451" s="11">
        <f>IFERROR(_xll.ciqfunctions.udf.CIQ(mh_ticker, "IQ_LT_Mark_Securities", , B1451), "")</f>
        <v/>
      </c>
      <c r="L1451" s="12">
        <f>IFERROR(C1451*D1451, "")</f>
        <v/>
      </c>
      <c r="M1451" s="12">
        <f>IFERROR(L1451-E1451-F1451+G1451+H1451+I1451-J1451-K1451, "")</f>
        <v/>
      </c>
      <c r="N1451" s="11">
        <f>IFERROR(_xll.ciqfunctions.udf.CIQ(mh_ticker, "IQ_EBITDA_EST", IQ_NTM, B1451, , , "USD"), "")</f>
        <v/>
      </c>
      <c r="O1451" s="13">
        <f>IFERROR(M1451/N1451, "")</f>
        <v/>
      </c>
    </row>
    <row r="1452">
      <c r="B1452" s="8" t="n"/>
      <c r="C1452" s="9">
        <f>IFERROR(_xll.ciqfunctions.udf.CIQ(mh_ticker, "IQ_LASTSALEPRICE", B1452), "")</f>
        <v/>
      </c>
      <c r="D1452" s="10">
        <f>IFERROR(_xll.ciqfunctions.udf.CIQ(mh_ticker, "IQ_SHARESOUTSTANDING_OUT", B1452), "")</f>
        <v/>
      </c>
      <c r="E1452" s="11">
        <f>IFERROR(_xll.ciqfunctions.udf.CIQ(mh_ticker, "IQ_CASH_EQUIV", , B1452), "")</f>
        <v/>
      </c>
      <c r="F1452" s="11">
        <f>IFERROR(_xll.ciqfunctions.udf.CIQ(mh_ticker, "IQ_ST_INVEST", , B1452), "")</f>
        <v/>
      </c>
      <c r="G1452" s="11">
        <f>IFERROR(_xll.ciqfunctions.udf.CIQ(mh_ticker, "IQ_TOTAL_DEBT_EXCL_OPER_LEASES", , B1452), "")</f>
        <v/>
      </c>
      <c r="H1452" s="11">
        <f>IFERROR(_xll.ciqfunctions.udf.CIQ(mh_ticker, "IQ_PREF_EQUITY", , B1452), "")</f>
        <v/>
      </c>
      <c r="I1452" s="11">
        <f>IFERROR(_xll.ciqfunctions.udf.CIQ(mh_ticker, "IQ_MINORITY_INTEREST", , B1452), "")</f>
        <v/>
      </c>
      <c r="J1452" s="11">
        <f>IFERROR(_xll.ciqfunctions.udf.CIQ(mh_ticker, "IQ_EQUITY_METHOD", , B1452), "")</f>
        <v/>
      </c>
      <c r="K1452" s="11">
        <f>IFERROR(_xll.ciqfunctions.udf.CIQ(mh_ticker, "IQ_LT_Mark_Securities", , B1452), "")</f>
        <v/>
      </c>
      <c r="L1452" s="12">
        <f>IFERROR(C1452*D1452, "")</f>
        <v/>
      </c>
      <c r="M1452" s="12">
        <f>IFERROR(L1452-E1452-F1452+G1452+H1452+I1452-J1452-K1452, "")</f>
        <v/>
      </c>
      <c r="N1452" s="11">
        <f>IFERROR(_xll.ciqfunctions.udf.CIQ(mh_ticker, "IQ_EBITDA_EST", IQ_NTM, B1452, , , "USD"), "")</f>
        <v/>
      </c>
      <c r="O1452" s="13">
        <f>IFERROR(M1452/N1452, "")</f>
        <v/>
      </c>
    </row>
    <row r="1453">
      <c r="B1453" s="8" t="n"/>
      <c r="C1453" s="9">
        <f>IFERROR(_xll.ciqfunctions.udf.CIQ(mh_ticker, "IQ_LASTSALEPRICE", B1453), "")</f>
        <v/>
      </c>
      <c r="D1453" s="10">
        <f>IFERROR(_xll.ciqfunctions.udf.CIQ(mh_ticker, "IQ_SHARESOUTSTANDING_OUT", B1453), "")</f>
        <v/>
      </c>
      <c r="E1453" s="11">
        <f>IFERROR(_xll.ciqfunctions.udf.CIQ(mh_ticker, "IQ_CASH_EQUIV", , B1453), "")</f>
        <v/>
      </c>
      <c r="F1453" s="11">
        <f>IFERROR(_xll.ciqfunctions.udf.CIQ(mh_ticker, "IQ_ST_INVEST", , B1453), "")</f>
        <v/>
      </c>
      <c r="G1453" s="11">
        <f>IFERROR(_xll.ciqfunctions.udf.CIQ(mh_ticker, "IQ_TOTAL_DEBT_EXCL_OPER_LEASES", , B1453), "")</f>
        <v/>
      </c>
      <c r="H1453" s="11">
        <f>IFERROR(_xll.ciqfunctions.udf.CIQ(mh_ticker, "IQ_PREF_EQUITY", , B1453), "")</f>
        <v/>
      </c>
      <c r="I1453" s="11">
        <f>IFERROR(_xll.ciqfunctions.udf.CIQ(mh_ticker, "IQ_MINORITY_INTEREST", , B1453), "")</f>
        <v/>
      </c>
      <c r="J1453" s="11">
        <f>IFERROR(_xll.ciqfunctions.udf.CIQ(mh_ticker, "IQ_EQUITY_METHOD", , B1453), "")</f>
        <v/>
      </c>
      <c r="K1453" s="11">
        <f>IFERROR(_xll.ciqfunctions.udf.CIQ(mh_ticker, "IQ_LT_Mark_Securities", , B1453), "")</f>
        <v/>
      </c>
      <c r="L1453" s="12">
        <f>IFERROR(C1453*D1453, "")</f>
        <v/>
      </c>
      <c r="M1453" s="12">
        <f>IFERROR(L1453-E1453-F1453+G1453+H1453+I1453-J1453-K1453, "")</f>
        <v/>
      </c>
      <c r="N1453" s="11">
        <f>IFERROR(_xll.ciqfunctions.udf.CIQ(mh_ticker, "IQ_EBITDA_EST", IQ_NTM, B1453, , , "USD"), "")</f>
        <v/>
      </c>
      <c r="O1453" s="13">
        <f>IFERROR(M1453/N1453, "")</f>
        <v/>
      </c>
    </row>
    <row r="1454">
      <c r="B1454" s="8" t="n"/>
      <c r="C1454" s="9">
        <f>IFERROR(_xll.ciqfunctions.udf.CIQ(mh_ticker, "IQ_LASTSALEPRICE", B1454), "")</f>
        <v/>
      </c>
      <c r="D1454" s="10">
        <f>IFERROR(_xll.ciqfunctions.udf.CIQ(mh_ticker, "IQ_SHARESOUTSTANDING_OUT", B1454), "")</f>
        <v/>
      </c>
      <c r="E1454" s="11">
        <f>IFERROR(_xll.ciqfunctions.udf.CIQ(mh_ticker, "IQ_CASH_EQUIV", , B1454), "")</f>
        <v/>
      </c>
      <c r="F1454" s="11">
        <f>IFERROR(_xll.ciqfunctions.udf.CIQ(mh_ticker, "IQ_ST_INVEST", , B1454), "")</f>
        <v/>
      </c>
      <c r="G1454" s="11">
        <f>IFERROR(_xll.ciqfunctions.udf.CIQ(mh_ticker, "IQ_TOTAL_DEBT_EXCL_OPER_LEASES", , B1454), "")</f>
        <v/>
      </c>
      <c r="H1454" s="11">
        <f>IFERROR(_xll.ciqfunctions.udf.CIQ(mh_ticker, "IQ_PREF_EQUITY", , B1454), "")</f>
        <v/>
      </c>
      <c r="I1454" s="11">
        <f>IFERROR(_xll.ciqfunctions.udf.CIQ(mh_ticker, "IQ_MINORITY_INTEREST", , B1454), "")</f>
        <v/>
      </c>
      <c r="J1454" s="11">
        <f>IFERROR(_xll.ciqfunctions.udf.CIQ(mh_ticker, "IQ_EQUITY_METHOD", , B1454), "")</f>
        <v/>
      </c>
      <c r="K1454" s="11">
        <f>IFERROR(_xll.ciqfunctions.udf.CIQ(mh_ticker, "IQ_LT_Mark_Securities", , B1454), "")</f>
        <v/>
      </c>
      <c r="L1454" s="12">
        <f>IFERROR(C1454*D1454, "")</f>
        <v/>
      </c>
      <c r="M1454" s="12">
        <f>IFERROR(L1454-E1454-F1454+G1454+H1454+I1454-J1454-K1454, "")</f>
        <v/>
      </c>
      <c r="N1454" s="11">
        <f>IFERROR(_xll.ciqfunctions.udf.CIQ(mh_ticker, "IQ_EBITDA_EST", IQ_NTM, B1454, , , "USD"), "")</f>
        <v/>
      </c>
      <c r="O1454" s="13">
        <f>IFERROR(M1454/N1454, "")</f>
        <v/>
      </c>
    </row>
    <row r="1455">
      <c r="B1455" s="8" t="n"/>
      <c r="C1455" s="9">
        <f>IFERROR(_xll.ciqfunctions.udf.CIQ(mh_ticker, "IQ_LASTSALEPRICE", B1455), "")</f>
        <v/>
      </c>
      <c r="D1455" s="10">
        <f>IFERROR(_xll.ciqfunctions.udf.CIQ(mh_ticker, "IQ_SHARESOUTSTANDING_OUT", B1455), "")</f>
        <v/>
      </c>
      <c r="E1455" s="11">
        <f>IFERROR(_xll.ciqfunctions.udf.CIQ(mh_ticker, "IQ_CASH_EQUIV", , B1455), "")</f>
        <v/>
      </c>
      <c r="F1455" s="11">
        <f>IFERROR(_xll.ciqfunctions.udf.CIQ(mh_ticker, "IQ_ST_INVEST", , B1455), "")</f>
        <v/>
      </c>
      <c r="G1455" s="11">
        <f>IFERROR(_xll.ciqfunctions.udf.CIQ(mh_ticker, "IQ_TOTAL_DEBT_EXCL_OPER_LEASES", , B1455), "")</f>
        <v/>
      </c>
      <c r="H1455" s="11">
        <f>IFERROR(_xll.ciqfunctions.udf.CIQ(mh_ticker, "IQ_PREF_EQUITY", , B1455), "")</f>
        <v/>
      </c>
      <c r="I1455" s="11">
        <f>IFERROR(_xll.ciqfunctions.udf.CIQ(mh_ticker, "IQ_MINORITY_INTEREST", , B1455), "")</f>
        <v/>
      </c>
      <c r="J1455" s="11">
        <f>IFERROR(_xll.ciqfunctions.udf.CIQ(mh_ticker, "IQ_EQUITY_METHOD", , B1455), "")</f>
        <v/>
      </c>
      <c r="K1455" s="11">
        <f>IFERROR(_xll.ciqfunctions.udf.CIQ(mh_ticker, "IQ_LT_Mark_Securities", , B1455), "")</f>
        <v/>
      </c>
      <c r="L1455" s="12">
        <f>IFERROR(C1455*D1455, "")</f>
        <v/>
      </c>
      <c r="M1455" s="12">
        <f>IFERROR(L1455-E1455-F1455+G1455+H1455+I1455-J1455-K1455, "")</f>
        <v/>
      </c>
      <c r="N1455" s="11">
        <f>IFERROR(_xll.ciqfunctions.udf.CIQ(mh_ticker, "IQ_EBITDA_EST", IQ_NTM, B1455, , , "USD"), "")</f>
        <v/>
      </c>
      <c r="O1455" s="13">
        <f>IFERROR(M1455/N1455, "")</f>
        <v/>
      </c>
    </row>
    <row r="1456">
      <c r="B1456" s="8" t="n"/>
      <c r="C1456" s="9">
        <f>IFERROR(_xll.ciqfunctions.udf.CIQ(mh_ticker, "IQ_LASTSALEPRICE", B1456), "")</f>
        <v/>
      </c>
      <c r="D1456" s="10">
        <f>IFERROR(_xll.ciqfunctions.udf.CIQ(mh_ticker, "IQ_SHARESOUTSTANDING_OUT", B1456), "")</f>
        <v/>
      </c>
      <c r="E1456" s="11">
        <f>IFERROR(_xll.ciqfunctions.udf.CIQ(mh_ticker, "IQ_CASH_EQUIV", , B1456), "")</f>
        <v/>
      </c>
      <c r="F1456" s="11">
        <f>IFERROR(_xll.ciqfunctions.udf.CIQ(mh_ticker, "IQ_ST_INVEST", , B1456), "")</f>
        <v/>
      </c>
      <c r="G1456" s="11">
        <f>IFERROR(_xll.ciqfunctions.udf.CIQ(mh_ticker, "IQ_TOTAL_DEBT_EXCL_OPER_LEASES", , B1456), "")</f>
        <v/>
      </c>
      <c r="H1456" s="11">
        <f>IFERROR(_xll.ciqfunctions.udf.CIQ(mh_ticker, "IQ_PREF_EQUITY", , B1456), "")</f>
        <v/>
      </c>
      <c r="I1456" s="11">
        <f>IFERROR(_xll.ciqfunctions.udf.CIQ(mh_ticker, "IQ_MINORITY_INTEREST", , B1456), "")</f>
        <v/>
      </c>
      <c r="J1456" s="11">
        <f>IFERROR(_xll.ciqfunctions.udf.CIQ(mh_ticker, "IQ_EQUITY_METHOD", , B1456), "")</f>
        <v/>
      </c>
      <c r="K1456" s="11">
        <f>IFERROR(_xll.ciqfunctions.udf.CIQ(mh_ticker, "IQ_LT_Mark_Securities", , B1456), "")</f>
        <v/>
      </c>
      <c r="L1456" s="12">
        <f>IFERROR(C1456*D1456, "")</f>
        <v/>
      </c>
      <c r="M1456" s="12">
        <f>IFERROR(L1456-E1456-F1456+G1456+H1456+I1456-J1456-K1456, "")</f>
        <v/>
      </c>
      <c r="N1456" s="11">
        <f>IFERROR(_xll.ciqfunctions.udf.CIQ(mh_ticker, "IQ_EBITDA_EST", IQ_NTM, B1456, , , "USD"), "")</f>
        <v/>
      </c>
      <c r="O1456" s="13">
        <f>IFERROR(M1456/N1456, "")</f>
        <v/>
      </c>
    </row>
    <row r="1457">
      <c r="B1457" s="8" t="n"/>
      <c r="C1457" s="9">
        <f>IFERROR(_xll.ciqfunctions.udf.CIQ(mh_ticker, "IQ_LASTSALEPRICE", B1457), "")</f>
        <v/>
      </c>
      <c r="D1457" s="10">
        <f>IFERROR(_xll.ciqfunctions.udf.CIQ(mh_ticker, "IQ_SHARESOUTSTANDING_OUT", B1457), "")</f>
        <v/>
      </c>
      <c r="E1457" s="11">
        <f>IFERROR(_xll.ciqfunctions.udf.CIQ(mh_ticker, "IQ_CASH_EQUIV", , B1457), "")</f>
        <v/>
      </c>
      <c r="F1457" s="11">
        <f>IFERROR(_xll.ciqfunctions.udf.CIQ(mh_ticker, "IQ_ST_INVEST", , B1457), "")</f>
        <v/>
      </c>
      <c r="G1457" s="11">
        <f>IFERROR(_xll.ciqfunctions.udf.CIQ(mh_ticker, "IQ_TOTAL_DEBT_EXCL_OPER_LEASES", , B1457), "")</f>
        <v/>
      </c>
      <c r="H1457" s="11">
        <f>IFERROR(_xll.ciqfunctions.udf.CIQ(mh_ticker, "IQ_PREF_EQUITY", , B1457), "")</f>
        <v/>
      </c>
      <c r="I1457" s="11">
        <f>IFERROR(_xll.ciqfunctions.udf.CIQ(mh_ticker, "IQ_MINORITY_INTEREST", , B1457), "")</f>
        <v/>
      </c>
      <c r="J1457" s="11">
        <f>IFERROR(_xll.ciqfunctions.udf.CIQ(mh_ticker, "IQ_EQUITY_METHOD", , B1457), "")</f>
        <v/>
      </c>
      <c r="K1457" s="11">
        <f>IFERROR(_xll.ciqfunctions.udf.CIQ(mh_ticker, "IQ_LT_Mark_Securities", , B1457), "")</f>
        <v/>
      </c>
      <c r="L1457" s="12">
        <f>IFERROR(C1457*D1457, "")</f>
        <v/>
      </c>
      <c r="M1457" s="12">
        <f>IFERROR(L1457-E1457-F1457+G1457+H1457+I1457-J1457-K1457, "")</f>
        <v/>
      </c>
      <c r="N1457" s="11">
        <f>IFERROR(_xll.ciqfunctions.udf.CIQ(mh_ticker, "IQ_EBITDA_EST", IQ_NTM, B1457, , , "USD"), "")</f>
        <v/>
      </c>
      <c r="O1457" s="13">
        <f>IFERROR(M1457/N1457, "")</f>
        <v/>
      </c>
    </row>
    <row r="1458">
      <c r="B1458" s="8" t="n"/>
      <c r="C1458" s="9">
        <f>IFERROR(_xll.ciqfunctions.udf.CIQ(mh_ticker, "IQ_LASTSALEPRICE", B1458), "")</f>
        <v/>
      </c>
      <c r="D1458" s="10">
        <f>IFERROR(_xll.ciqfunctions.udf.CIQ(mh_ticker, "IQ_SHARESOUTSTANDING_OUT", B1458), "")</f>
        <v/>
      </c>
      <c r="E1458" s="11">
        <f>IFERROR(_xll.ciqfunctions.udf.CIQ(mh_ticker, "IQ_CASH_EQUIV", , B1458), "")</f>
        <v/>
      </c>
      <c r="F1458" s="11">
        <f>IFERROR(_xll.ciqfunctions.udf.CIQ(mh_ticker, "IQ_ST_INVEST", , B1458), "")</f>
        <v/>
      </c>
      <c r="G1458" s="11">
        <f>IFERROR(_xll.ciqfunctions.udf.CIQ(mh_ticker, "IQ_TOTAL_DEBT_EXCL_OPER_LEASES", , B1458), "")</f>
        <v/>
      </c>
      <c r="H1458" s="11">
        <f>IFERROR(_xll.ciqfunctions.udf.CIQ(mh_ticker, "IQ_PREF_EQUITY", , B1458), "")</f>
        <v/>
      </c>
      <c r="I1458" s="11">
        <f>IFERROR(_xll.ciqfunctions.udf.CIQ(mh_ticker, "IQ_MINORITY_INTEREST", , B1458), "")</f>
        <v/>
      </c>
      <c r="J1458" s="11">
        <f>IFERROR(_xll.ciqfunctions.udf.CIQ(mh_ticker, "IQ_EQUITY_METHOD", , B1458), "")</f>
        <v/>
      </c>
      <c r="K1458" s="11">
        <f>IFERROR(_xll.ciqfunctions.udf.CIQ(mh_ticker, "IQ_LT_Mark_Securities", , B1458), "")</f>
        <v/>
      </c>
      <c r="L1458" s="12">
        <f>IFERROR(C1458*D1458, "")</f>
        <v/>
      </c>
      <c r="M1458" s="12">
        <f>IFERROR(L1458-E1458-F1458+G1458+H1458+I1458-J1458-K1458, "")</f>
        <v/>
      </c>
      <c r="N1458" s="11">
        <f>IFERROR(_xll.ciqfunctions.udf.CIQ(mh_ticker, "IQ_EBITDA_EST", IQ_NTM, B1458, , , "USD"), "")</f>
        <v/>
      </c>
      <c r="O1458" s="13">
        <f>IFERROR(M1458/N1458, "")</f>
        <v/>
      </c>
    </row>
    <row r="1459">
      <c r="B1459" s="8" t="n"/>
      <c r="C1459" s="9">
        <f>IFERROR(_xll.ciqfunctions.udf.CIQ(mh_ticker, "IQ_LASTSALEPRICE", B1459), "")</f>
        <v/>
      </c>
      <c r="D1459" s="10">
        <f>IFERROR(_xll.ciqfunctions.udf.CIQ(mh_ticker, "IQ_SHARESOUTSTANDING_OUT", B1459), "")</f>
        <v/>
      </c>
      <c r="E1459" s="11">
        <f>IFERROR(_xll.ciqfunctions.udf.CIQ(mh_ticker, "IQ_CASH_EQUIV", , B1459), "")</f>
        <v/>
      </c>
      <c r="F1459" s="11">
        <f>IFERROR(_xll.ciqfunctions.udf.CIQ(mh_ticker, "IQ_ST_INVEST", , B1459), "")</f>
        <v/>
      </c>
      <c r="G1459" s="11">
        <f>IFERROR(_xll.ciqfunctions.udf.CIQ(mh_ticker, "IQ_TOTAL_DEBT_EXCL_OPER_LEASES", , B1459), "")</f>
        <v/>
      </c>
      <c r="H1459" s="11">
        <f>IFERROR(_xll.ciqfunctions.udf.CIQ(mh_ticker, "IQ_PREF_EQUITY", , B1459), "")</f>
        <v/>
      </c>
      <c r="I1459" s="11">
        <f>IFERROR(_xll.ciqfunctions.udf.CIQ(mh_ticker, "IQ_MINORITY_INTEREST", , B1459), "")</f>
        <v/>
      </c>
      <c r="J1459" s="11">
        <f>IFERROR(_xll.ciqfunctions.udf.CIQ(mh_ticker, "IQ_EQUITY_METHOD", , B1459), "")</f>
        <v/>
      </c>
      <c r="K1459" s="11">
        <f>IFERROR(_xll.ciqfunctions.udf.CIQ(mh_ticker, "IQ_LT_Mark_Securities", , B1459), "")</f>
        <v/>
      </c>
      <c r="L1459" s="12">
        <f>IFERROR(C1459*D1459, "")</f>
        <v/>
      </c>
      <c r="M1459" s="12">
        <f>IFERROR(L1459-E1459-F1459+G1459+H1459+I1459-J1459-K1459, "")</f>
        <v/>
      </c>
      <c r="N1459" s="11">
        <f>IFERROR(_xll.ciqfunctions.udf.CIQ(mh_ticker, "IQ_EBITDA_EST", IQ_NTM, B1459, , , "USD"), "")</f>
        <v/>
      </c>
      <c r="O1459" s="13">
        <f>IFERROR(M1459/N1459, "")</f>
        <v/>
      </c>
    </row>
    <row r="1460">
      <c r="B1460" s="8" t="n"/>
      <c r="C1460" s="9">
        <f>IFERROR(_xll.ciqfunctions.udf.CIQ(mh_ticker, "IQ_LASTSALEPRICE", B1460), "")</f>
        <v/>
      </c>
      <c r="D1460" s="10">
        <f>IFERROR(_xll.ciqfunctions.udf.CIQ(mh_ticker, "IQ_SHARESOUTSTANDING_OUT", B1460), "")</f>
        <v/>
      </c>
      <c r="E1460" s="11">
        <f>IFERROR(_xll.ciqfunctions.udf.CIQ(mh_ticker, "IQ_CASH_EQUIV", , B1460), "")</f>
        <v/>
      </c>
      <c r="F1460" s="11">
        <f>IFERROR(_xll.ciqfunctions.udf.CIQ(mh_ticker, "IQ_ST_INVEST", , B1460), "")</f>
        <v/>
      </c>
      <c r="G1460" s="11">
        <f>IFERROR(_xll.ciqfunctions.udf.CIQ(mh_ticker, "IQ_TOTAL_DEBT_EXCL_OPER_LEASES", , B1460), "")</f>
        <v/>
      </c>
      <c r="H1460" s="11">
        <f>IFERROR(_xll.ciqfunctions.udf.CIQ(mh_ticker, "IQ_PREF_EQUITY", , B1460), "")</f>
        <v/>
      </c>
      <c r="I1460" s="11">
        <f>IFERROR(_xll.ciqfunctions.udf.CIQ(mh_ticker, "IQ_MINORITY_INTEREST", , B1460), "")</f>
        <v/>
      </c>
      <c r="J1460" s="11">
        <f>IFERROR(_xll.ciqfunctions.udf.CIQ(mh_ticker, "IQ_EQUITY_METHOD", , B1460), "")</f>
        <v/>
      </c>
      <c r="K1460" s="11">
        <f>IFERROR(_xll.ciqfunctions.udf.CIQ(mh_ticker, "IQ_LT_Mark_Securities", , B1460), "")</f>
        <v/>
      </c>
      <c r="L1460" s="12">
        <f>IFERROR(C1460*D1460, "")</f>
        <v/>
      </c>
      <c r="M1460" s="12">
        <f>IFERROR(L1460-E1460-F1460+G1460+H1460+I1460-J1460-K1460, "")</f>
        <v/>
      </c>
      <c r="N1460" s="11">
        <f>IFERROR(_xll.ciqfunctions.udf.CIQ(mh_ticker, "IQ_EBITDA_EST", IQ_NTM, B1460, , , "USD"), "")</f>
        <v/>
      </c>
      <c r="O1460" s="13">
        <f>IFERROR(M1460/N1460, "")</f>
        <v/>
      </c>
    </row>
    <row r="1461">
      <c r="B1461" s="8" t="n"/>
      <c r="C1461" s="9">
        <f>IFERROR(_xll.ciqfunctions.udf.CIQ(mh_ticker, "IQ_LASTSALEPRICE", B1461), "")</f>
        <v/>
      </c>
      <c r="D1461" s="10">
        <f>IFERROR(_xll.ciqfunctions.udf.CIQ(mh_ticker, "IQ_SHARESOUTSTANDING_OUT", B1461), "")</f>
        <v/>
      </c>
      <c r="E1461" s="11">
        <f>IFERROR(_xll.ciqfunctions.udf.CIQ(mh_ticker, "IQ_CASH_EQUIV", , B1461), "")</f>
        <v/>
      </c>
      <c r="F1461" s="11">
        <f>IFERROR(_xll.ciqfunctions.udf.CIQ(mh_ticker, "IQ_ST_INVEST", , B1461), "")</f>
        <v/>
      </c>
      <c r="G1461" s="11">
        <f>IFERROR(_xll.ciqfunctions.udf.CIQ(mh_ticker, "IQ_TOTAL_DEBT_EXCL_OPER_LEASES", , B1461), "")</f>
        <v/>
      </c>
      <c r="H1461" s="11">
        <f>IFERROR(_xll.ciqfunctions.udf.CIQ(mh_ticker, "IQ_PREF_EQUITY", , B1461), "")</f>
        <v/>
      </c>
      <c r="I1461" s="11">
        <f>IFERROR(_xll.ciqfunctions.udf.CIQ(mh_ticker, "IQ_MINORITY_INTEREST", , B1461), "")</f>
        <v/>
      </c>
      <c r="J1461" s="11">
        <f>IFERROR(_xll.ciqfunctions.udf.CIQ(mh_ticker, "IQ_EQUITY_METHOD", , B1461), "")</f>
        <v/>
      </c>
      <c r="K1461" s="11">
        <f>IFERROR(_xll.ciqfunctions.udf.CIQ(mh_ticker, "IQ_LT_Mark_Securities", , B1461), "")</f>
        <v/>
      </c>
      <c r="L1461" s="12">
        <f>IFERROR(C1461*D1461, "")</f>
        <v/>
      </c>
      <c r="M1461" s="12">
        <f>IFERROR(L1461-E1461-F1461+G1461+H1461+I1461-J1461-K1461, "")</f>
        <v/>
      </c>
      <c r="N1461" s="11">
        <f>IFERROR(_xll.ciqfunctions.udf.CIQ(mh_ticker, "IQ_EBITDA_EST", IQ_NTM, B1461, , , "USD"), "")</f>
        <v/>
      </c>
      <c r="O1461" s="13">
        <f>IFERROR(M1461/N1461, "")</f>
        <v/>
      </c>
    </row>
    <row r="1462">
      <c r="B1462" s="8" t="n"/>
      <c r="C1462" s="9">
        <f>IFERROR(_xll.ciqfunctions.udf.CIQ(mh_ticker, "IQ_LASTSALEPRICE", B1462), "")</f>
        <v/>
      </c>
      <c r="D1462" s="10">
        <f>IFERROR(_xll.ciqfunctions.udf.CIQ(mh_ticker, "IQ_SHARESOUTSTANDING_OUT", B1462), "")</f>
        <v/>
      </c>
      <c r="E1462" s="11">
        <f>IFERROR(_xll.ciqfunctions.udf.CIQ(mh_ticker, "IQ_CASH_EQUIV", , B1462), "")</f>
        <v/>
      </c>
      <c r="F1462" s="11">
        <f>IFERROR(_xll.ciqfunctions.udf.CIQ(mh_ticker, "IQ_ST_INVEST", , B1462), "")</f>
        <v/>
      </c>
      <c r="G1462" s="11">
        <f>IFERROR(_xll.ciqfunctions.udf.CIQ(mh_ticker, "IQ_TOTAL_DEBT_EXCL_OPER_LEASES", , B1462), "")</f>
        <v/>
      </c>
      <c r="H1462" s="11">
        <f>IFERROR(_xll.ciqfunctions.udf.CIQ(mh_ticker, "IQ_PREF_EQUITY", , B1462), "")</f>
        <v/>
      </c>
      <c r="I1462" s="11">
        <f>IFERROR(_xll.ciqfunctions.udf.CIQ(mh_ticker, "IQ_MINORITY_INTEREST", , B1462), "")</f>
        <v/>
      </c>
      <c r="J1462" s="11">
        <f>IFERROR(_xll.ciqfunctions.udf.CIQ(mh_ticker, "IQ_EQUITY_METHOD", , B1462), "")</f>
        <v/>
      </c>
      <c r="K1462" s="11">
        <f>IFERROR(_xll.ciqfunctions.udf.CIQ(mh_ticker, "IQ_LT_Mark_Securities", , B1462), "")</f>
        <v/>
      </c>
      <c r="L1462" s="12">
        <f>IFERROR(C1462*D1462, "")</f>
        <v/>
      </c>
      <c r="M1462" s="12">
        <f>IFERROR(L1462-E1462-F1462+G1462+H1462+I1462-J1462-K1462, "")</f>
        <v/>
      </c>
      <c r="N1462" s="11">
        <f>IFERROR(_xll.ciqfunctions.udf.CIQ(mh_ticker, "IQ_EBITDA_EST", IQ_NTM, B1462, , , "USD"), "")</f>
        <v/>
      </c>
      <c r="O1462" s="13">
        <f>IFERROR(M1462/N1462, "")</f>
        <v/>
      </c>
    </row>
    <row r="1463">
      <c r="B1463" s="8" t="n"/>
      <c r="C1463" s="9">
        <f>IFERROR(_xll.ciqfunctions.udf.CIQ(mh_ticker, "IQ_LASTSALEPRICE", B1463), "")</f>
        <v/>
      </c>
      <c r="D1463" s="10">
        <f>IFERROR(_xll.ciqfunctions.udf.CIQ(mh_ticker, "IQ_SHARESOUTSTANDING_OUT", B1463), "")</f>
        <v/>
      </c>
      <c r="E1463" s="11">
        <f>IFERROR(_xll.ciqfunctions.udf.CIQ(mh_ticker, "IQ_CASH_EQUIV", , B1463), "")</f>
        <v/>
      </c>
      <c r="F1463" s="11">
        <f>IFERROR(_xll.ciqfunctions.udf.CIQ(mh_ticker, "IQ_ST_INVEST", , B1463), "")</f>
        <v/>
      </c>
      <c r="G1463" s="11">
        <f>IFERROR(_xll.ciqfunctions.udf.CIQ(mh_ticker, "IQ_TOTAL_DEBT_EXCL_OPER_LEASES", , B1463), "")</f>
        <v/>
      </c>
      <c r="H1463" s="11">
        <f>IFERROR(_xll.ciqfunctions.udf.CIQ(mh_ticker, "IQ_PREF_EQUITY", , B1463), "")</f>
        <v/>
      </c>
      <c r="I1463" s="11">
        <f>IFERROR(_xll.ciqfunctions.udf.CIQ(mh_ticker, "IQ_MINORITY_INTEREST", , B1463), "")</f>
        <v/>
      </c>
      <c r="J1463" s="11">
        <f>IFERROR(_xll.ciqfunctions.udf.CIQ(mh_ticker, "IQ_EQUITY_METHOD", , B1463), "")</f>
        <v/>
      </c>
      <c r="K1463" s="11">
        <f>IFERROR(_xll.ciqfunctions.udf.CIQ(mh_ticker, "IQ_LT_Mark_Securities", , B1463), "")</f>
        <v/>
      </c>
      <c r="L1463" s="12">
        <f>IFERROR(C1463*D1463, "")</f>
        <v/>
      </c>
      <c r="M1463" s="12">
        <f>IFERROR(L1463-E1463-F1463+G1463+H1463+I1463-J1463-K1463, "")</f>
        <v/>
      </c>
      <c r="N1463" s="11">
        <f>IFERROR(_xll.ciqfunctions.udf.CIQ(mh_ticker, "IQ_EBITDA_EST", IQ_NTM, B1463, , , "USD"), "")</f>
        <v/>
      </c>
      <c r="O1463" s="13">
        <f>IFERROR(M1463/N1463, "")</f>
        <v/>
      </c>
    </row>
    <row r="1464">
      <c r="B1464" s="8" t="n"/>
      <c r="C1464" s="9">
        <f>IFERROR(_xll.ciqfunctions.udf.CIQ(mh_ticker, "IQ_LASTSALEPRICE", B1464), "")</f>
        <v/>
      </c>
      <c r="D1464" s="10">
        <f>IFERROR(_xll.ciqfunctions.udf.CIQ(mh_ticker, "IQ_SHARESOUTSTANDING_OUT", B1464), "")</f>
        <v/>
      </c>
      <c r="E1464" s="11">
        <f>IFERROR(_xll.ciqfunctions.udf.CIQ(mh_ticker, "IQ_CASH_EQUIV", , B1464), "")</f>
        <v/>
      </c>
      <c r="F1464" s="11">
        <f>IFERROR(_xll.ciqfunctions.udf.CIQ(mh_ticker, "IQ_ST_INVEST", , B1464), "")</f>
        <v/>
      </c>
      <c r="G1464" s="11">
        <f>IFERROR(_xll.ciqfunctions.udf.CIQ(mh_ticker, "IQ_TOTAL_DEBT_EXCL_OPER_LEASES", , B1464), "")</f>
        <v/>
      </c>
      <c r="H1464" s="11">
        <f>IFERROR(_xll.ciqfunctions.udf.CIQ(mh_ticker, "IQ_PREF_EQUITY", , B1464), "")</f>
        <v/>
      </c>
      <c r="I1464" s="11">
        <f>IFERROR(_xll.ciqfunctions.udf.CIQ(mh_ticker, "IQ_MINORITY_INTEREST", , B1464), "")</f>
        <v/>
      </c>
      <c r="J1464" s="11">
        <f>IFERROR(_xll.ciqfunctions.udf.CIQ(mh_ticker, "IQ_EQUITY_METHOD", , B1464), "")</f>
        <v/>
      </c>
      <c r="K1464" s="11">
        <f>IFERROR(_xll.ciqfunctions.udf.CIQ(mh_ticker, "IQ_LT_Mark_Securities", , B1464), "")</f>
        <v/>
      </c>
      <c r="L1464" s="12">
        <f>IFERROR(C1464*D1464, "")</f>
        <v/>
      </c>
      <c r="M1464" s="12">
        <f>IFERROR(L1464-E1464-F1464+G1464+H1464+I1464-J1464-K1464, "")</f>
        <v/>
      </c>
      <c r="N1464" s="11">
        <f>IFERROR(_xll.ciqfunctions.udf.CIQ(mh_ticker, "IQ_EBITDA_EST", IQ_NTM, B1464, , , "USD"), "")</f>
        <v/>
      </c>
      <c r="O1464" s="13">
        <f>IFERROR(M1464/N1464, "")</f>
        <v/>
      </c>
    </row>
    <row r="1465">
      <c r="B1465" s="8" t="n"/>
      <c r="C1465" s="9">
        <f>IFERROR(_xll.ciqfunctions.udf.CIQ(mh_ticker, "IQ_LASTSALEPRICE", B1465), "")</f>
        <v/>
      </c>
      <c r="D1465" s="10">
        <f>IFERROR(_xll.ciqfunctions.udf.CIQ(mh_ticker, "IQ_SHARESOUTSTANDING_OUT", B1465), "")</f>
        <v/>
      </c>
      <c r="E1465" s="11">
        <f>IFERROR(_xll.ciqfunctions.udf.CIQ(mh_ticker, "IQ_CASH_EQUIV", , B1465), "")</f>
        <v/>
      </c>
      <c r="F1465" s="11">
        <f>IFERROR(_xll.ciqfunctions.udf.CIQ(mh_ticker, "IQ_ST_INVEST", , B1465), "")</f>
        <v/>
      </c>
      <c r="G1465" s="11">
        <f>IFERROR(_xll.ciqfunctions.udf.CIQ(mh_ticker, "IQ_TOTAL_DEBT_EXCL_OPER_LEASES", , B1465), "")</f>
        <v/>
      </c>
      <c r="H1465" s="11">
        <f>IFERROR(_xll.ciqfunctions.udf.CIQ(mh_ticker, "IQ_PREF_EQUITY", , B1465), "")</f>
        <v/>
      </c>
      <c r="I1465" s="11">
        <f>IFERROR(_xll.ciqfunctions.udf.CIQ(mh_ticker, "IQ_MINORITY_INTEREST", , B1465), "")</f>
        <v/>
      </c>
      <c r="J1465" s="11">
        <f>IFERROR(_xll.ciqfunctions.udf.CIQ(mh_ticker, "IQ_EQUITY_METHOD", , B1465), "")</f>
        <v/>
      </c>
      <c r="K1465" s="11">
        <f>IFERROR(_xll.ciqfunctions.udf.CIQ(mh_ticker, "IQ_LT_Mark_Securities", , B1465), "")</f>
        <v/>
      </c>
      <c r="L1465" s="12">
        <f>IFERROR(C1465*D1465, "")</f>
        <v/>
      </c>
      <c r="M1465" s="12">
        <f>IFERROR(L1465-E1465-F1465+G1465+H1465+I1465-J1465-K1465, "")</f>
        <v/>
      </c>
      <c r="N1465" s="11">
        <f>IFERROR(_xll.ciqfunctions.udf.CIQ(mh_ticker, "IQ_EBITDA_EST", IQ_NTM, B1465, , , "USD"), "")</f>
        <v/>
      </c>
      <c r="O1465" s="13">
        <f>IFERROR(M1465/N1465, "")</f>
        <v/>
      </c>
    </row>
    <row r="1466">
      <c r="B1466" s="8" t="n"/>
      <c r="C1466" s="9">
        <f>IFERROR(_xll.ciqfunctions.udf.CIQ(mh_ticker, "IQ_LASTSALEPRICE", B1466), "")</f>
        <v/>
      </c>
      <c r="D1466" s="10">
        <f>IFERROR(_xll.ciqfunctions.udf.CIQ(mh_ticker, "IQ_SHARESOUTSTANDING_OUT", B1466), "")</f>
        <v/>
      </c>
      <c r="E1466" s="11">
        <f>IFERROR(_xll.ciqfunctions.udf.CIQ(mh_ticker, "IQ_CASH_EQUIV", , B1466), "")</f>
        <v/>
      </c>
      <c r="F1466" s="11">
        <f>IFERROR(_xll.ciqfunctions.udf.CIQ(mh_ticker, "IQ_ST_INVEST", , B1466), "")</f>
        <v/>
      </c>
      <c r="G1466" s="11">
        <f>IFERROR(_xll.ciqfunctions.udf.CIQ(mh_ticker, "IQ_TOTAL_DEBT_EXCL_OPER_LEASES", , B1466), "")</f>
        <v/>
      </c>
      <c r="H1466" s="11">
        <f>IFERROR(_xll.ciqfunctions.udf.CIQ(mh_ticker, "IQ_PREF_EQUITY", , B1466), "")</f>
        <v/>
      </c>
      <c r="I1466" s="11">
        <f>IFERROR(_xll.ciqfunctions.udf.CIQ(mh_ticker, "IQ_MINORITY_INTEREST", , B1466), "")</f>
        <v/>
      </c>
      <c r="J1466" s="11">
        <f>IFERROR(_xll.ciqfunctions.udf.CIQ(mh_ticker, "IQ_EQUITY_METHOD", , B1466), "")</f>
        <v/>
      </c>
      <c r="K1466" s="11">
        <f>IFERROR(_xll.ciqfunctions.udf.CIQ(mh_ticker, "IQ_LT_Mark_Securities", , B1466), "")</f>
        <v/>
      </c>
      <c r="L1466" s="12">
        <f>IFERROR(C1466*D1466, "")</f>
        <v/>
      </c>
      <c r="M1466" s="12">
        <f>IFERROR(L1466-E1466-F1466+G1466+H1466+I1466-J1466-K1466, "")</f>
        <v/>
      </c>
      <c r="N1466" s="11">
        <f>IFERROR(_xll.ciqfunctions.udf.CIQ(mh_ticker, "IQ_EBITDA_EST", IQ_NTM, B1466, , , "USD"), "")</f>
        <v/>
      </c>
      <c r="O1466" s="13">
        <f>IFERROR(M1466/N1466, "")</f>
        <v/>
      </c>
    </row>
    <row r="1467">
      <c r="B1467" s="8" t="n"/>
      <c r="C1467" s="9">
        <f>IFERROR(_xll.ciqfunctions.udf.CIQ(mh_ticker, "IQ_LASTSALEPRICE", B1467), "")</f>
        <v/>
      </c>
      <c r="D1467" s="10">
        <f>IFERROR(_xll.ciqfunctions.udf.CIQ(mh_ticker, "IQ_SHARESOUTSTANDING_OUT", B1467), "")</f>
        <v/>
      </c>
      <c r="E1467" s="11">
        <f>IFERROR(_xll.ciqfunctions.udf.CIQ(mh_ticker, "IQ_CASH_EQUIV", , B1467), "")</f>
        <v/>
      </c>
      <c r="F1467" s="11">
        <f>IFERROR(_xll.ciqfunctions.udf.CIQ(mh_ticker, "IQ_ST_INVEST", , B1467), "")</f>
        <v/>
      </c>
      <c r="G1467" s="11">
        <f>IFERROR(_xll.ciqfunctions.udf.CIQ(mh_ticker, "IQ_TOTAL_DEBT_EXCL_OPER_LEASES", , B1467), "")</f>
        <v/>
      </c>
      <c r="H1467" s="11">
        <f>IFERROR(_xll.ciqfunctions.udf.CIQ(mh_ticker, "IQ_PREF_EQUITY", , B1467), "")</f>
        <v/>
      </c>
      <c r="I1467" s="11">
        <f>IFERROR(_xll.ciqfunctions.udf.CIQ(mh_ticker, "IQ_MINORITY_INTEREST", , B1467), "")</f>
        <v/>
      </c>
      <c r="J1467" s="11">
        <f>IFERROR(_xll.ciqfunctions.udf.CIQ(mh_ticker, "IQ_EQUITY_METHOD", , B1467), "")</f>
        <v/>
      </c>
      <c r="K1467" s="11">
        <f>IFERROR(_xll.ciqfunctions.udf.CIQ(mh_ticker, "IQ_LT_Mark_Securities", , B1467), "")</f>
        <v/>
      </c>
      <c r="L1467" s="12">
        <f>IFERROR(C1467*D1467, "")</f>
        <v/>
      </c>
      <c r="M1467" s="12">
        <f>IFERROR(L1467-E1467-F1467+G1467+H1467+I1467-J1467-K1467, "")</f>
        <v/>
      </c>
      <c r="N1467" s="11">
        <f>IFERROR(_xll.ciqfunctions.udf.CIQ(mh_ticker, "IQ_EBITDA_EST", IQ_NTM, B1467, , , "USD"), "")</f>
        <v/>
      </c>
      <c r="O1467" s="13">
        <f>IFERROR(M1467/N1467, "")</f>
        <v/>
      </c>
    </row>
    <row r="1468">
      <c r="B1468" s="8" t="n"/>
      <c r="C1468" s="9">
        <f>IFERROR(_xll.ciqfunctions.udf.CIQ(mh_ticker, "IQ_LASTSALEPRICE", B1468), "")</f>
        <v/>
      </c>
      <c r="D1468" s="10">
        <f>IFERROR(_xll.ciqfunctions.udf.CIQ(mh_ticker, "IQ_SHARESOUTSTANDING_OUT", B1468), "")</f>
        <v/>
      </c>
      <c r="E1468" s="11">
        <f>IFERROR(_xll.ciqfunctions.udf.CIQ(mh_ticker, "IQ_CASH_EQUIV", , B1468), "")</f>
        <v/>
      </c>
      <c r="F1468" s="11">
        <f>IFERROR(_xll.ciqfunctions.udf.CIQ(mh_ticker, "IQ_ST_INVEST", , B1468), "")</f>
        <v/>
      </c>
      <c r="G1468" s="11">
        <f>IFERROR(_xll.ciqfunctions.udf.CIQ(mh_ticker, "IQ_TOTAL_DEBT_EXCL_OPER_LEASES", , B1468), "")</f>
        <v/>
      </c>
      <c r="H1468" s="11">
        <f>IFERROR(_xll.ciqfunctions.udf.CIQ(mh_ticker, "IQ_PREF_EQUITY", , B1468), "")</f>
        <v/>
      </c>
      <c r="I1468" s="11">
        <f>IFERROR(_xll.ciqfunctions.udf.CIQ(mh_ticker, "IQ_MINORITY_INTEREST", , B1468), "")</f>
        <v/>
      </c>
      <c r="J1468" s="11">
        <f>IFERROR(_xll.ciqfunctions.udf.CIQ(mh_ticker, "IQ_EQUITY_METHOD", , B1468), "")</f>
        <v/>
      </c>
      <c r="K1468" s="11">
        <f>IFERROR(_xll.ciqfunctions.udf.CIQ(mh_ticker, "IQ_LT_Mark_Securities", , B1468), "")</f>
        <v/>
      </c>
      <c r="L1468" s="12">
        <f>IFERROR(C1468*D1468, "")</f>
        <v/>
      </c>
      <c r="M1468" s="12">
        <f>IFERROR(L1468-E1468-F1468+G1468+H1468+I1468-J1468-K1468, "")</f>
        <v/>
      </c>
      <c r="N1468" s="11">
        <f>IFERROR(_xll.ciqfunctions.udf.CIQ(mh_ticker, "IQ_EBITDA_EST", IQ_NTM, B1468, , , "USD"), "")</f>
        <v/>
      </c>
      <c r="O1468" s="13">
        <f>IFERROR(M1468/N1468, "")</f>
        <v/>
      </c>
    </row>
    <row r="1469">
      <c r="B1469" s="8" t="n"/>
      <c r="C1469" s="9">
        <f>IFERROR(_xll.ciqfunctions.udf.CIQ(mh_ticker, "IQ_LASTSALEPRICE", B1469), "")</f>
        <v/>
      </c>
      <c r="D1469" s="10">
        <f>IFERROR(_xll.ciqfunctions.udf.CIQ(mh_ticker, "IQ_SHARESOUTSTANDING_OUT", B1469), "")</f>
        <v/>
      </c>
      <c r="E1469" s="11">
        <f>IFERROR(_xll.ciqfunctions.udf.CIQ(mh_ticker, "IQ_CASH_EQUIV", , B1469), "")</f>
        <v/>
      </c>
      <c r="F1469" s="11">
        <f>IFERROR(_xll.ciqfunctions.udf.CIQ(mh_ticker, "IQ_ST_INVEST", , B1469), "")</f>
        <v/>
      </c>
      <c r="G1469" s="11">
        <f>IFERROR(_xll.ciqfunctions.udf.CIQ(mh_ticker, "IQ_TOTAL_DEBT_EXCL_OPER_LEASES", , B1469), "")</f>
        <v/>
      </c>
      <c r="H1469" s="11">
        <f>IFERROR(_xll.ciqfunctions.udf.CIQ(mh_ticker, "IQ_PREF_EQUITY", , B1469), "")</f>
        <v/>
      </c>
      <c r="I1469" s="11">
        <f>IFERROR(_xll.ciqfunctions.udf.CIQ(mh_ticker, "IQ_MINORITY_INTEREST", , B1469), "")</f>
        <v/>
      </c>
      <c r="J1469" s="11">
        <f>IFERROR(_xll.ciqfunctions.udf.CIQ(mh_ticker, "IQ_EQUITY_METHOD", , B1469), "")</f>
        <v/>
      </c>
      <c r="K1469" s="11">
        <f>IFERROR(_xll.ciqfunctions.udf.CIQ(mh_ticker, "IQ_LT_Mark_Securities", , B1469), "")</f>
        <v/>
      </c>
      <c r="L1469" s="12">
        <f>IFERROR(C1469*D1469, "")</f>
        <v/>
      </c>
      <c r="M1469" s="12">
        <f>IFERROR(L1469-E1469-F1469+G1469+H1469+I1469-J1469-K1469, "")</f>
        <v/>
      </c>
      <c r="N1469" s="11">
        <f>IFERROR(_xll.ciqfunctions.udf.CIQ(mh_ticker, "IQ_EBITDA_EST", IQ_NTM, B1469, , , "USD"), "")</f>
        <v/>
      </c>
      <c r="O1469" s="13">
        <f>IFERROR(M1469/N1469, "")</f>
        <v/>
      </c>
    </row>
    <row r="1470">
      <c r="B1470" s="8" t="n"/>
      <c r="C1470" s="9">
        <f>IFERROR(_xll.ciqfunctions.udf.CIQ(mh_ticker, "IQ_LASTSALEPRICE", B1470), "")</f>
        <v/>
      </c>
      <c r="D1470" s="10">
        <f>IFERROR(_xll.ciqfunctions.udf.CIQ(mh_ticker, "IQ_SHARESOUTSTANDING_OUT", B1470), "")</f>
        <v/>
      </c>
      <c r="E1470" s="11">
        <f>IFERROR(_xll.ciqfunctions.udf.CIQ(mh_ticker, "IQ_CASH_EQUIV", , B1470), "")</f>
        <v/>
      </c>
      <c r="F1470" s="11">
        <f>IFERROR(_xll.ciqfunctions.udf.CIQ(mh_ticker, "IQ_ST_INVEST", , B1470), "")</f>
        <v/>
      </c>
      <c r="G1470" s="11">
        <f>IFERROR(_xll.ciqfunctions.udf.CIQ(mh_ticker, "IQ_TOTAL_DEBT_EXCL_OPER_LEASES", , B1470), "")</f>
        <v/>
      </c>
      <c r="H1470" s="11">
        <f>IFERROR(_xll.ciqfunctions.udf.CIQ(mh_ticker, "IQ_PREF_EQUITY", , B1470), "")</f>
        <v/>
      </c>
      <c r="I1470" s="11">
        <f>IFERROR(_xll.ciqfunctions.udf.CIQ(mh_ticker, "IQ_MINORITY_INTEREST", , B1470), "")</f>
        <v/>
      </c>
      <c r="J1470" s="11">
        <f>IFERROR(_xll.ciqfunctions.udf.CIQ(mh_ticker, "IQ_EQUITY_METHOD", , B1470), "")</f>
        <v/>
      </c>
      <c r="K1470" s="11">
        <f>IFERROR(_xll.ciqfunctions.udf.CIQ(mh_ticker, "IQ_LT_Mark_Securities", , B1470), "")</f>
        <v/>
      </c>
      <c r="L1470" s="12">
        <f>IFERROR(C1470*D1470, "")</f>
        <v/>
      </c>
      <c r="M1470" s="12">
        <f>IFERROR(L1470-E1470-F1470+G1470+H1470+I1470-J1470-K1470, "")</f>
        <v/>
      </c>
      <c r="N1470" s="11">
        <f>IFERROR(_xll.ciqfunctions.udf.CIQ(mh_ticker, "IQ_EBITDA_EST", IQ_NTM, B1470, , , "USD"), "")</f>
        <v/>
      </c>
      <c r="O1470" s="13">
        <f>IFERROR(M1470/N1470, "")</f>
        <v/>
      </c>
    </row>
    <row r="1471">
      <c r="B1471" s="8" t="n"/>
      <c r="C1471" s="9">
        <f>IFERROR(_xll.ciqfunctions.udf.CIQ(mh_ticker, "IQ_LASTSALEPRICE", B1471), "")</f>
        <v/>
      </c>
      <c r="D1471" s="10">
        <f>IFERROR(_xll.ciqfunctions.udf.CIQ(mh_ticker, "IQ_SHARESOUTSTANDING_OUT", B1471), "")</f>
        <v/>
      </c>
      <c r="E1471" s="11">
        <f>IFERROR(_xll.ciqfunctions.udf.CIQ(mh_ticker, "IQ_CASH_EQUIV", , B1471), "")</f>
        <v/>
      </c>
      <c r="F1471" s="11">
        <f>IFERROR(_xll.ciqfunctions.udf.CIQ(mh_ticker, "IQ_ST_INVEST", , B1471), "")</f>
        <v/>
      </c>
      <c r="G1471" s="11">
        <f>IFERROR(_xll.ciqfunctions.udf.CIQ(mh_ticker, "IQ_TOTAL_DEBT_EXCL_OPER_LEASES", , B1471), "")</f>
        <v/>
      </c>
      <c r="H1471" s="11">
        <f>IFERROR(_xll.ciqfunctions.udf.CIQ(mh_ticker, "IQ_PREF_EQUITY", , B1471), "")</f>
        <v/>
      </c>
      <c r="I1471" s="11">
        <f>IFERROR(_xll.ciqfunctions.udf.CIQ(mh_ticker, "IQ_MINORITY_INTEREST", , B1471), "")</f>
        <v/>
      </c>
      <c r="J1471" s="11">
        <f>IFERROR(_xll.ciqfunctions.udf.CIQ(mh_ticker, "IQ_EQUITY_METHOD", , B1471), "")</f>
        <v/>
      </c>
      <c r="K1471" s="11">
        <f>IFERROR(_xll.ciqfunctions.udf.CIQ(mh_ticker, "IQ_LT_Mark_Securities", , B1471), "")</f>
        <v/>
      </c>
      <c r="L1471" s="12">
        <f>IFERROR(C1471*D1471, "")</f>
        <v/>
      </c>
      <c r="M1471" s="12">
        <f>IFERROR(L1471-E1471-F1471+G1471+H1471+I1471-J1471-K1471, "")</f>
        <v/>
      </c>
      <c r="N1471" s="11">
        <f>IFERROR(_xll.ciqfunctions.udf.CIQ(mh_ticker, "IQ_EBITDA_EST", IQ_NTM, B1471, , , "USD"), "")</f>
        <v/>
      </c>
      <c r="O1471" s="13">
        <f>IFERROR(M1471/N1471, "")</f>
        <v/>
      </c>
    </row>
    <row r="1472">
      <c r="B1472" s="8" t="n"/>
      <c r="C1472" s="9">
        <f>IFERROR(_xll.ciqfunctions.udf.CIQ(mh_ticker, "IQ_LASTSALEPRICE", B1472), "")</f>
        <v/>
      </c>
      <c r="D1472" s="10">
        <f>IFERROR(_xll.ciqfunctions.udf.CIQ(mh_ticker, "IQ_SHARESOUTSTANDING_OUT", B1472), "")</f>
        <v/>
      </c>
      <c r="E1472" s="11">
        <f>IFERROR(_xll.ciqfunctions.udf.CIQ(mh_ticker, "IQ_CASH_EQUIV", , B1472), "")</f>
        <v/>
      </c>
      <c r="F1472" s="11">
        <f>IFERROR(_xll.ciqfunctions.udf.CIQ(mh_ticker, "IQ_ST_INVEST", , B1472), "")</f>
        <v/>
      </c>
      <c r="G1472" s="11">
        <f>IFERROR(_xll.ciqfunctions.udf.CIQ(mh_ticker, "IQ_TOTAL_DEBT_EXCL_OPER_LEASES", , B1472), "")</f>
        <v/>
      </c>
      <c r="H1472" s="11">
        <f>IFERROR(_xll.ciqfunctions.udf.CIQ(mh_ticker, "IQ_PREF_EQUITY", , B1472), "")</f>
        <v/>
      </c>
      <c r="I1472" s="11">
        <f>IFERROR(_xll.ciqfunctions.udf.CIQ(mh_ticker, "IQ_MINORITY_INTEREST", , B1472), "")</f>
        <v/>
      </c>
      <c r="J1472" s="11">
        <f>IFERROR(_xll.ciqfunctions.udf.CIQ(mh_ticker, "IQ_EQUITY_METHOD", , B1472), "")</f>
        <v/>
      </c>
      <c r="K1472" s="11">
        <f>IFERROR(_xll.ciqfunctions.udf.CIQ(mh_ticker, "IQ_LT_Mark_Securities", , B1472), "")</f>
        <v/>
      </c>
      <c r="L1472" s="12">
        <f>IFERROR(C1472*D1472, "")</f>
        <v/>
      </c>
      <c r="M1472" s="12">
        <f>IFERROR(L1472-E1472-F1472+G1472+H1472+I1472-J1472-K1472, "")</f>
        <v/>
      </c>
      <c r="N1472" s="11">
        <f>IFERROR(_xll.ciqfunctions.udf.CIQ(mh_ticker, "IQ_EBITDA_EST", IQ_NTM, B1472, , , "USD"), "")</f>
        <v/>
      </c>
      <c r="O1472" s="13">
        <f>IFERROR(M1472/N1472, "")</f>
        <v/>
      </c>
    </row>
    <row r="1473">
      <c r="B1473" s="8" t="n"/>
      <c r="C1473" s="9">
        <f>IFERROR(_xll.ciqfunctions.udf.CIQ(mh_ticker, "IQ_LASTSALEPRICE", B1473), "")</f>
        <v/>
      </c>
      <c r="D1473" s="10">
        <f>IFERROR(_xll.ciqfunctions.udf.CIQ(mh_ticker, "IQ_SHARESOUTSTANDING_OUT", B1473), "")</f>
        <v/>
      </c>
      <c r="E1473" s="11">
        <f>IFERROR(_xll.ciqfunctions.udf.CIQ(mh_ticker, "IQ_CASH_EQUIV", , B1473), "")</f>
        <v/>
      </c>
      <c r="F1473" s="11">
        <f>IFERROR(_xll.ciqfunctions.udf.CIQ(mh_ticker, "IQ_ST_INVEST", , B1473), "")</f>
        <v/>
      </c>
      <c r="G1473" s="11">
        <f>IFERROR(_xll.ciqfunctions.udf.CIQ(mh_ticker, "IQ_TOTAL_DEBT_EXCL_OPER_LEASES", , B1473), "")</f>
        <v/>
      </c>
      <c r="H1473" s="11">
        <f>IFERROR(_xll.ciqfunctions.udf.CIQ(mh_ticker, "IQ_PREF_EQUITY", , B1473), "")</f>
        <v/>
      </c>
      <c r="I1473" s="11">
        <f>IFERROR(_xll.ciqfunctions.udf.CIQ(mh_ticker, "IQ_MINORITY_INTEREST", , B1473), "")</f>
        <v/>
      </c>
      <c r="J1473" s="11">
        <f>IFERROR(_xll.ciqfunctions.udf.CIQ(mh_ticker, "IQ_EQUITY_METHOD", , B1473), "")</f>
        <v/>
      </c>
      <c r="K1473" s="11">
        <f>IFERROR(_xll.ciqfunctions.udf.CIQ(mh_ticker, "IQ_LT_Mark_Securities", , B1473), "")</f>
        <v/>
      </c>
      <c r="L1473" s="12">
        <f>IFERROR(C1473*D1473, "")</f>
        <v/>
      </c>
      <c r="M1473" s="12">
        <f>IFERROR(L1473-E1473-F1473+G1473+H1473+I1473-J1473-K1473, "")</f>
        <v/>
      </c>
      <c r="N1473" s="11">
        <f>IFERROR(_xll.ciqfunctions.udf.CIQ(mh_ticker, "IQ_EBITDA_EST", IQ_NTM, B1473, , , "USD"), "")</f>
        <v/>
      </c>
      <c r="O1473" s="13">
        <f>IFERROR(M1473/N1473, "")</f>
        <v/>
      </c>
    </row>
    <row r="1474">
      <c r="B1474" s="8" t="n"/>
      <c r="C1474" s="9">
        <f>IFERROR(_xll.ciqfunctions.udf.CIQ(mh_ticker, "IQ_LASTSALEPRICE", B1474), "")</f>
        <v/>
      </c>
      <c r="D1474" s="10">
        <f>IFERROR(_xll.ciqfunctions.udf.CIQ(mh_ticker, "IQ_SHARESOUTSTANDING_OUT", B1474), "")</f>
        <v/>
      </c>
      <c r="E1474" s="11">
        <f>IFERROR(_xll.ciqfunctions.udf.CIQ(mh_ticker, "IQ_CASH_EQUIV", , B1474), "")</f>
        <v/>
      </c>
      <c r="F1474" s="11">
        <f>IFERROR(_xll.ciqfunctions.udf.CIQ(mh_ticker, "IQ_ST_INVEST", , B1474), "")</f>
        <v/>
      </c>
      <c r="G1474" s="11">
        <f>IFERROR(_xll.ciqfunctions.udf.CIQ(mh_ticker, "IQ_TOTAL_DEBT_EXCL_OPER_LEASES", , B1474), "")</f>
        <v/>
      </c>
      <c r="H1474" s="11">
        <f>IFERROR(_xll.ciqfunctions.udf.CIQ(mh_ticker, "IQ_PREF_EQUITY", , B1474), "")</f>
        <v/>
      </c>
      <c r="I1474" s="11">
        <f>IFERROR(_xll.ciqfunctions.udf.CIQ(mh_ticker, "IQ_MINORITY_INTEREST", , B1474), "")</f>
        <v/>
      </c>
      <c r="J1474" s="11">
        <f>IFERROR(_xll.ciqfunctions.udf.CIQ(mh_ticker, "IQ_EQUITY_METHOD", , B1474), "")</f>
        <v/>
      </c>
      <c r="K1474" s="11">
        <f>IFERROR(_xll.ciqfunctions.udf.CIQ(mh_ticker, "IQ_LT_Mark_Securities", , B1474), "")</f>
        <v/>
      </c>
      <c r="L1474" s="12">
        <f>IFERROR(C1474*D1474, "")</f>
        <v/>
      </c>
      <c r="M1474" s="12">
        <f>IFERROR(L1474-E1474-F1474+G1474+H1474+I1474-J1474-K1474, "")</f>
        <v/>
      </c>
      <c r="N1474" s="11">
        <f>IFERROR(_xll.ciqfunctions.udf.CIQ(mh_ticker, "IQ_EBITDA_EST", IQ_NTM, B1474, , , "USD"), "")</f>
        <v/>
      </c>
      <c r="O1474" s="13">
        <f>IFERROR(M1474/N1474, "")</f>
        <v/>
      </c>
    </row>
    <row r="1475">
      <c r="B1475" s="8" t="n"/>
      <c r="C1475" s="9">
        <f>IFERROR(_xll.ciqfunctions.udf.CIQ(mh_ticker, "IQ_LASTSALEPRICE", B1475), "")</f>
        <v/>
      </c>
      <c r="D1475" s="10">
        <f>IFERROR(_xll.ciqfunctions.udf.CIQ(mh_ticker, "IQ_SHARESOUTSTANDING_OUT", B1475), "")</f>
        <v/>
      </c>
      <c r="E1475" s="11">
        <f>IFERROR(_xll.ciqfunctions.udf.CIQ(mh_ticker, "IQ_CASH_EQUIV", , B1475), "")</f>
        <v/>
      </c>
      <c r="F1475" s="11">
        <f>IFERROR(_xll.ciqfunctions.udf.CIQ(mh_ticker, "IQ_ST_INVEST", , B1475), "")</f>
        <v/>
      </c>
      <c r="G1475" s="11">
        <f>IFERROR(_xll.ciqfunctions.udf.CIQ(mh_ticker, "IQ_TOTAL_DEBT_EXCL_OPER_LEASES", , B1475), "")</f>
        <v/>
      </c>
      <c r="H1475" s="11">
        <f>IFERROR(_xll.ciqfunctions.udf.CIQ(mh_ticker, "IQ_PREF_EQUITY", , B1475), "")</f>
        <v/>
      </c>
      <c r="I1475" s="11">
        <f>IFERROR(_xll.ciqfunctions.udf.CIQ(mh_ticker, "IQ_MINORITY_INTEREST", , B1475), "")</f>
        <v/>
      </c>
      <c r="J1475" s="11">
        <f>IFERROR(_xll.ciqfunctions.udf.CIQ(mh_ticker, "IQ_EQUITY_METHOD", , B1475), "")</f>
        <v/>
      </c>
      <c r="K1475" s="11">
        <f>IFERROR(_xll.ciqfunctions.udf.CIQ(mh_ticker, "IQ_LT_Mark_Securities", , B1475), "")</f>
        <v/>
      </c>
      <c r="L1475" s="12">
        <f>IFERROR(C1475*D1475, "")</f>
        <v/>
      </c>
      <c r="M1475" s="12">
        <f>IFERROR(L1475-E1475-F1475+G1475+H1475+I1475-J1475-K1475, "")</f>
        <v/>
      </c>
      <c r="N1475" s="11">
        <f>IFERROR(_xll.ciqfunctions.udf.CIQ(mh_ticker, "IQ_EBITDA_EST", IQ_NTM, B1475, , , "USD"), "")</f>
        <v/>
      </c>
      <c r="O1475" s="13">
        <f>IFERROR(M1475/N1475, "")</f>
        <v/>
      </c>
    </row>
    <row r="1476">
      <c r="B1476" s="8" t="n"/>
      <c r="C1476" s="9">
        <f>IFERROR(_xll.ciqfunctions.udf.CIQ(mh_ticker, "IQ_LASTSALEPRICE", B1476), "")</f>
        <v/>
      </c>
      <c r="D1476" s="10">
        <f>IFERROR(_xll.ciqfunctions.udf.CIQ(mh_ticker, "IQ_SHARESOUTSTANDING_OUT", B1476), "")</f>
        <v/>
      </c>
      <c r="E1476" s="11">
        <f>IFERROR(_xll.ciqfunctions.udf.CIQ(mh_ticker, "IQ_CASH_EQUIV", , B1476), "")</f>
        <v/>
      </c>
      <c r="F1476" s="11">
        <f>IFERROR(_xll.ciqfunctions.udf.CIQ(mh_ticker, "IQ_ST_INVEST", , B1476), "")</f>
        <v/>
      </c>
      <c r="G1476" s="11">
        <f>IFERROR(_xll.ciqfunctions.udf.CIQ(mh_ticker, "IQ_TOTAL_DEBT_EXCL_OPER_LEASES", , B1476), "")</f>
        <v/>
      </c>
      <c r="H1476" s="11">
        <f>IFERROR(_xll.ciqfunctions.udf.CIQ(mh_ticker, "IQ_PREF_EQUITY", , B1476), "")</f>
        <v/>
      </c>
      <c r="I1476" s="11">
        <f>IFERROR(_xll.ciqfunctions.udf.CIQ(mh_ticker, "IQ_MINORITY_INTEREST", , B1476), "")</f>
        <v/>
      </c>
      <c r="J1476" s="11">
        <f>IFERROR(_xll.ciqfunctions.udf.CIQ(mh_ticker, "IQ_EQUITY_METHOD", , B1476), "")</f>
        <v/>
      </c>
      <c r="K1476" s="11">
        <f>IFERROR(_xll.ciqfunctions.udf.CIQ(mh_ticker, "IQ_LT_Mark_Securities", , B1476), "")</f>
        <v/>
      </c>
      <c r="L1476" s="12">
        <f>IFERROR(C1476*D1476, "")</f>
        <v/>
      </c>
      <c r="M1476" s="12">
        <f>IFERROR(L1476-E1476-F1476+G1476+H1476+I1476-J1476-K1476, "")</f>
        <v/>
      </c>
      <c r="N1476" s="11">
        <f>IFERROR(_xll.ciqfunctions.udf.CIQ(mh_ticker, "IQ_EBITDA_EST", IQ_NTM, B1476, , , "USD"), "")</f>
        <v/>
      </c>
      <c r="O1476" s="13">
        <f>IFERROR(M1476/N1476, "")</f>
        <v/>
      </c>
    </row>
    <row r="1477">
      <c r="B1477" s="8" t="n"/>
      <c r="C1477" s="9">
        <f>IFERROR(_xll.ciqfunctions.udf.CIQ(mh_ticker, "IQ_LASTSALEPRICE", B1477), "")</f>
        <v/>
      </c>
      <c r="D1477" s="10">
        <f>IFERROR(_xll.ciqfunctions.udf.CIQ(mh_ticker, "IQ_SHARESOUTSTANDING_OUT", B1477), "")</f>
        <v/>
      </c>
      <c r="E1477" s="11">
        <f>IFERROR(_xll.ciqfunctions.udf.CIQ(mh_ticker, "IQ_CASH_EQUIV", , B1477), "")</f>
        <v/>
      </c>
      <c r="F1477" s="11">
        <f>IFERROR(_xll.ciqfunctions.udf.CIQ(mh_ticker, "IQ_ST_INVEST", , B1477), "")</f>
        <v/>
      </c>
      <c r="G1477" s="11">
        <f>IFERROR(_xll.ciqfunctions.udf.CIQ(mh_ticker, "IQ_TOTAL_DEBT_EXCL_OPER_LEASES", , B1477), "")</f>
        <v/>
      </c>
      <c r="H1477" s="11">
        <f>IFERROR(_xll.ciqfunctions.udf.CIQ(mh_ticker, "IQ_PREF_EQUITY", , B1477), "")</f>
        <v/>
      </c>
      <c r="I1477" s="11">
        <f>IFERROR(_xll.ciqfunctions.udf.CIQ(mh_ticker, "IQ_MINORITY_INTEREST", , B1477), "")</f>
        <v/>
      </c>
      <c r="J1477" s="11">
        <f>IFERROR(_xll.ciqfunctions.udf.CIQ(mh_ticker, "IQ_EQUITY_METHOD", , B1477), "")</f>
        <v/>
      </c>
      <c r="K1477" s="11">
        <f>IFERROR(_xll.ciqfunctions.udf.CIQ(mh_ticker, "IQ_LT_Mark_Securities", , B1477), "")</f>
        <v/>
      </c>
      <c r="L1477" s="12">
        <f>IFERROR(C1477*D1477, "")</f>
        <v/>
      </c>
      <c r="M1477" s="12">
        <f>IFERROR(L1477-E1477-F1477+G1477+H1477+I1477-J1477-K1477, "")</f>
        <v/>
      </c>
      <c r="N1477" s="11">
        <f>IFERROR(_xll.ciqfunctions.udf.CIQ(mh_ticker, "IQ_EBITDA_EST", IQ_NTM, B1477, , , "USD"), "")</f>
        <v/>
      </c>
      <c r="O1477" s="13">
        <f>IFERROR(M1477/N1477, "")</f>
        <v/>
      </c>
    </row>
    <row r="1478">
      <c r="B1478" s="8" t="n"/>
      <c r="C1478" s="9">
        <f>IFERROR(_xll.ciqfunctions.udf.CIQ(mh_ticker, "IQ_LASTSALEPRICE", B1478), "")</f>
        <v/>
      </c>
      <c r="D1478" s="10">
        <f>IFERROR(_xll.ciqfunctions.udf.CIQ(mh_ticker, "IQ_SHARESOUTSTANDING_OUT", B1478), "")</f>
        <v/>
      </c>
      <c r="E1478" s="11">
        <f>IFERROR(_xll.ciqfunctions.udf.CIQ(mh_ticker, "IQ_CASH_EQUIV", , B1478), "")</f>
        <v/>
      </c>
      <c r="F1478" s="11">
        <f>IFERROR(_xll.ciqfunctions.udf.CIQ(mh_ticker, "IQ_ST_INVEST", , B1478), "")</f>
        <v/>
      </c>
      <c r="G1478" s="11">
        <f>IFERROR(_xll.ciqfunctions.udf.CIQ(mh_ticker, "IQ_TOTAL_DEBT_EXCL_OPER_LEASES", , B1478), "")</f>
        <v/>
      </c>
      <c r="H1478" s="11">
        <f>IFERROR(_xll.ciqfunctions.udf.CIQ(mh_ticker, "IQ_PREF_EQUITY", , B1478), "")</f>
        <v/>
      </c>
      <c r="I1478" s="11">
        <f>IFERROR(_xll.ciqfunctions.udf.CIQ(mh_ticker, "IQ_MINORITY_INTEREST", , B1478), "")</f>
        <v/>
      </c>
      <c r="J1478" s="11">
        <f>IFERROR(_xll.ciqfunctions.udf.CIQ(mh_ticker, "IQ_EQUITY_METHOD", , B1478), "")</f>
        <v/>
      </c>
      <c r="K1478" s="11">
        <f>IFERROR(_xll.ciqfunctions.udf.CIQ(mh_ticker, "IQ_LT_Mark_Securities", , B1478), "")</f>
        <v/>
      </c>
      <c r="L1478" s="12">
        <f>IFERROR(C1478*D1478, "")</f>
        <v/>
      </c>
      <c r="M1478" s="12">
        <f>IFERROR(L1478-E1478-F1478+G1478+H1478+I1478-J1478-K1478, "")</f>
        <v/>
      </c>
      <c r="N1478" s="11">
        <f>IFERROR(_xll.ciqfunctions.udf.CIQ(mh_ticker, "IQ_EBITDA_EST", IQ_NTM, B1478, , , "USD"), "")</f>
        <v/>
      </c>
      <c r="O1478" s="13">
        <f>IFERROR(M1478/N1478, "")</f>
        <v/>
      </c>
    </row>
    <row r="1479">
      <c r="B1479" s="8" t="n"/>
      <c r="C1479" s="9">
        <f>IFERROR(_xll.ciqfunctions.udf.CIQ(mh_ticker, "IQ_LASTSALEPRICE", B1479), "")</f>
        <v/>
      </c>
      <c r="D1479" s="10">
        <f>IFERROR(_xll.ciqfunctions.udf.CIQ(mh_ticker, "IQ_SHARESOUTSTANDING_OUT", B1479), "")</f>
        <v/>
      </c>
      <c r="E1479" s="11">
        <f>IFERROR(_xll.ciqfunctions.udf.CIQ(mh_ticker, "IQ_CASH_EQUIV", , B1479), "")</f>
        <v/>
      </c>
      <c r="F1479" s="11">
        <f>IFERROR(_xll.ciqfunctions.udf.CIQ(mh_ticker, "IQ_ST_INVEST", , B1479), "")</f>
        <v/>
      </c>
      <c r="G1479" s="11">
        <f>IFERROR(_xll.ciqfunctions.udf.CIQ(mh_ticker, "IQ_TOTAL_DEBT_EXCL_OPER_LEASES", , B1479), "")</f>
        <v/>
      </c>
      <c r="H1479" s="11">
        <f>IFERROR(_xll.ciqfunctions.udf.CIQ(mh_ticker, "IQ_PREF_EQUITY", , B1479), "")</f>
        <v/>
      </c>
      <c r="I1479" s="11">
        <f>IFERROR(_xll.ciqfunctions.udf.CIQ(mh_ticker, "IQ_MINORITY_INTEREST", , B1479), "")</f>
        <v/>
      </c>
      <c r="J1479" s="11">
        <f>IFERROR(_xll.ciqfunctions.udf.CIQ(mh_ticker, "IQ_EQUITY_METHOD", , B1479), "")</f>
        <v/>
      </c>
      <c r="K1479" s="11">
        <f>IFERROR(_xll.ciqfunctions.udf.CIQ(mh_ticker, "IQ_LT_Mark_Securities", , B1479), "")</f>
        <v/>
      </c>
      <c r="L1479" s="12">
        <f>IFERROR(C1479*D1479, "")</f>
        <v/>
      </c>
      <c r="M1479" s="12">
        <f>IFERROR(L1479-E1479-F1479+G1479+H1479+I1479-J1479-K1479, "")</f>
        <v/>
      </c>
      <c r="N1479" s="11">
        <f>IFERROR(_xll.ciqfunctions.udf.CIQ(mh_ticker, "IQ_EBITDA_EST", IQ_NTM, B1479, , , "USD"), "")</f>
        <v/>
      </c>
      <c r="O1479" s="13">
        <f>IFERROR(M1479/N1479, "")</f>
        <v/>
      </c>
    </row>
    <row r="1480">
      <c r="B1480" s="8" t="n"/>
      <c r="C1480" s="9">
        <f>IFERROR(_xll.ciqfunctions.udf.CIQ(mh_ticker, "IQ_LASTSALEPRICE", B1480), "")</f>
        <v/>
      </c>
      <c r="D1480" s="10">
        <f>IFERROR(_xll.ciqfunctions.udf.CIQ(mh_ticker, "IQ_SHARESOUTSTANDING_OUT", B1480), "")</f>
        <v/>
      </c>
      <c r="E1480" s="11">
        <f>IFERROR(_xll.ciqfunctions.udf.CIQ(mh_ticker, "IQ_CASH_EQUIV", , B1480), "")</f>
        <v/>
      </c>
      <c r="F1480" s="11">
        <f>IFERROR(_xll.ciqfunctions.udf.CIQ(mh_ticker, "IQ_ST_INVEST", , B1480), "")</f>
        <v/>
      </c>
      <c r="G1480" s="11">
        <f>IFERROR(_xll.ciqfunctions.udf.CIQ(mh_ticker, "IQ_TOTAL_DEBT_EXCL_OPER_LEASES", , B1480), "")</f>
        <v/>
      </c>
      <c r="H1480" s="11">
        <f>IFERROR(_xll.ciqfunctions.udf.CIQ(mh_ticker, "IQ_PREF_EQUITY", , B1480), "")</f>
        <v/>
      </c>
      <c r="I1480" s="11">
        <f>IFERROR(_xll.ciqfunctions.udf.CIQ(mh_ticker, "IQ_MINORITY_INTEREST", , B1480), "")</f>
        <v/>
      </c>
      <c r="J1480" s="11">
        <f>IFERROR(_xll.ciqfunctions.udf.CIQ(mh_ticker, "IQ_EQUITY_METHOD", , B1480), "")</f>
        <v/>
      </c>
      <c r="K1480" s="11">
        <f>IFERROR(_xll.ciqfunctions.udf.CIQ(mh_ticker, "IQ_LT_Mark_Securities", , B1480), "")</f>
        <v/>
      </c>
      <c r="L1480" s="12">
        <f>IFERROR(C1480*D1480, "")</f>
        <v/>
      </c>
      <c r="M1480" s="12">
        <f>IFERROR(L1480-E1480-F1480+G1480+H1480+I1480-J1480-K1480, "")</f>
        <v/>
      </c>
      <c r="N1480" s="11">
        <f>IFERROR(_xll.ciqfunctions.udf.CIQ(mh_ticker, "IQ_EBITDA_EST", IQ_NTM, B1480, , , "USD"), "")</f>
        <v/>
      </c>
      <c r="O1480" s="13">
        <f>IFERROR(M1480/N1480, "")</f>
        <v/>
      </c>
    </row>
    <row r="1481">
      <c r="B1481" s="8" t="n"/>
      <c r="C1481" s="9">
        <f>IFERROR(_xll.ciqfunctions.udf.CIQ(mh_ticker, "IQ_LASTSALEPRICE", B1481), "")</f>
        <v/>
      </c>
      <c r="D1481" s="10">
        <f>IFERROR(_xll.ciqfunctions.udf.CIQ(mh_ticker, "IQ_SHARESOUTSTANDING_OUT", B1481), "")</f>
        <v/>
      </c>
      <c r="E1481" s="11">
        <f>IFERROR(_xll.ciqfunctions.udf.CIQ(mh_ticker, "IQ_CASH_EQUIV", , B1481), "")</f>
        <v/>
      </c>
      <c r="F1481" s="11">
        <f>IFERROR(_xll.ciqfunctions.udf.CIQ(mh_ticker, "IQ_ST_INVEST", , B1481), "")</f>
        <v/>
      </c>
      <c r="G1481" s="11">
        <f>IFERROR(_xll.ciqfunctions.udf.CIQ(mh_ticker, "IQ_TOTAL_DEBT_EXCL_OPER_LEASES", , B1481), "")</f>
        <v/>
      </c>
      <c r="H1481" s="11">
        <f>IFERROR(_xll.ciqfunctions.udf.CIQ(mh_ticker, "IQ_PREF_EQUITY", , B1481), "")</f>
        <v/>
      </c>
      <c r="I1481" s="11">
        <f>IFERROR(_xll.ciqfunctions.udf.CIQ(mh_ticker, "IQ_MINORITY_INTEREST", , B1481), "")</f>
        <v/>
      </c>
      <c r="J1481" s="11">
        <f>IFERROR(_xll.ciqfunctions.udf.CIQ(mh_ticker, "IQ_EQUITY_METHOD", , B1481), "")</f>
        <v/>
      </c>
      <c r="K1481" s="11">
        <f>IFERROR(_xll.ciqfunctions.udf.CIQ(mh_ticker, "IQ_LT_Mark_Securities", , B1481), "")</f>
        <v/>
      </c>
      <c r="L1481" s="12">
        <f>IFERROR(C1481*D1481, "")</f>
        <v/>
      </c>
      <c r="M1481" s="12">
        <f>IFERROR(L1481-E1481-F1481+G1481+H1481+I1481-J1481-K1481, "")</f>
        <v/>
      </c>
      <c r="N1481" s="11">
        <f>IFERROR(_xll.ciqfunctions.udf.CIQ(mh_ticker, "IQ_EBITDA_EST", IQ_NTM, B1481, , , "USD"), "")</f>
        <v/>
      </c>
      <c r="O1481" s="13">
        <f>IFERROR(M1481/N1481, "")</f>
        <v/>
      </c>
    </row>
    <row r="1482">
      <c r="B1482" s="8" t="n"/>
      <c r="C1482" s="9">
        <f>IFERROR(_xll.ciqfunctions.udf.CIQ(mh_ticker, "IQ_LASTSALEPRICE", B1482), "")</f>
        <v/>
      </c>
      <c r="D1482" s="10">
        <f>IFERROR(_xll.ciqfunctions.udf.CIQ(mh_ticker, "IQ_SHARESOUTSTANDING_OUT", B1482), "")</f>
        <v/>
      </c>
      <c r="E1482" s="11">
        <f>IFERROR(_xll.ciqfunctions.udf.CIQ(mh_ticker, "IQ_CASH_EQUIV", , B1482), "")</f>
        <v/>
      </c>
      <c r="F1482" s="11">
        <f>IFERROR(_xll.ciqfunctions.udf.CIQ(mh_ticker, "IQ_ST_INVEST", , B1482), "")</f>
        <v/>
      </c>
      <c r="G1482" s="11">
        <f>IFERROR(_xll.ciqfunctions.udf.CIQ(mh_ticker, "IQ_TOTAL_DEBT_EXCL_OPER_LEASES", , B1482), "")</f>
        <v/>
      </c>
      <c r="H1482" s="11">
        <f>IFERROR(_xll.ciqfunctions.udf.CIQ(mh_ticker, "IQ_PREF_EQUITY", , B1482), "")</f>
        <v/>
      </c>
      <c r="I1482" s="11">
        <f>IFERROR(_xll.ciqfunctions.udf.CIQ(mh_ticker, "IQ_MINORITY_INTEREST", , B1482), "")</f>
        <v/>
      </c>
      <c r="J1482" s="11">
        <f>IFERROR(_xll.ciqfunctions.udf.CIQ(mh_ticker, "IQ_EQUITY_METHOD", , B1482), "")</f>
        <v/>
      </c>
      <c r="K1482" s="11">
        <f>IFERROR(_xll.ciqfunctions.udf.CIQ(mh_ticker, "IQ_LT_Mark_Securities", , B1482), "")</f>
        <v/>
      </c>
      <c r="L1482" s="12">
        <f>IFERROR(C1482*D1482, "")</f>
        <v/>
      </c>
      <c r="M1482" s="12">
        <f>IFERROR(L1482-E1482-F1482+G1482+H1482+I1482-J1482-K1482, "")</f>
        <v/>
      </c>
      <c r="N1482" s="11">
        <f>IFERROR(_xll.ciqfunctions.udf.CIQ(mh_ticker, "IQ_EBITDA_EST", IQ_NTM, B1482, , , "USD"), "")</f>
        <v/>
      </c>
      <c r="O1482" s="13">
        <f>IFERROR(M1482/N1482, "")</f>
        <v/>
      </c>
    </row>
    <row r="1483">
      <c r="B1483" s="8" t="n"/>
      <c r="C1483" s="9">
        <f>IFERROR(_xll.ciqfunctions.udf.CIQ(mh_ticker, "IQ_LASTSALEPRICE", B1483), "")</f>
        <v/>
      </c>
      <c r="D1483" s="10">
        <f>IFERROR(_xll.ciqfunctions.udf.CIQ(mh_ticker, "IQ_SHARESOUTSTANDING_OUT", B1483), "")</f>
        <v/>
      </c>
      <c r="E1483" s="11">
        <f>IFERROR(_xll.ciqfunctions.udf.CIQ(mh_ticker, "IQ_CASH_EQUIV", , B1483), "")</f>
        <v/>
      </c>
      <c r="F1483" s="11">
        <f>IFERROR(_xll.ciqfunctions.udf.CIQ(mh_ticker, "IQ_ST_INVEST", , B1483), "")</f>
        <v/>
      </c>
      <c r="G1483" s="11">
        <f>IFERROR(_xll.ciqfunctions.udf.CIQ(mh_ticker, "IQ_TOTAL_DEBT_EXCL_OPER_LEASES", , B1483), "")</f>
        <v/>
      </c>
      <c r="H1483" s="11">
        <f>IFERROR(_xll.ciqfunctions.udf.CIQ(mh_ticker, "IQ_PREF_EQUITY", , B1483), "")</f>
        <v/>
      </c>
      <c r="I1483" s="11">
        <f>IFERROR(_xll.ciqfunctions.udf.CIQ(mh_ticker, "IQ_MINORITY_INTEREST", , B1483), "")</f>
        <v/>
      </c>
      <c r="J1483" s="11">
        <f>IFERROR(_xll.ciqfunctions.udf.CIQ(mh_ticker, "IQ_EQUITY_METHOD", , B1483), "")</f>
        <v/>
      </c>
      <c r="K1483" s="11">
        <f>IFERROR(_xll.ciqfunctions.udf.CIQ(mh_ticker, "IQ_LT_Mark_Securities", , B1483), "")</f>
        <v/>
      </c>
      <c r="L1483" s="12">
        <f>IFERROR(C1483*D1483, "")</f>
        <v/>
      </c>
      <c r="M1483" s="12">
        <f>IFERROR(L1483-E1483-F1483+G1483+H1483+I1483-J1483-K1483, "")</f>
        <v/>
      </c>
      <c r="N1483" s="11">
        <f>IFERROR(_xll.ciqfunctions.udf.CIQ(mh_ticker, "IQ_EBITDA_EST", IQ_NTM, B1483, , , "USD"), "")</f>
        <v/>
      </c>
      <c r="O1483" s="13">
        <f>IFERROR(M1483/N1483, "")</f>
        <v/>
      </c>
    </row>
    <row r="1484">
      <c r="B1484" s="8" t="n"/>
      <c r="C1484" s="9">
        <f>IFERROR(_xll.ciqfunctions.udf.CIQ(mh_ticker, "IQ_LASTSALEPRICE", B1484), "")</f>
        <v/>
      </c>
      <c r="D1484" s="10">
        <f>IFERROR(_xll.ciqfunctions.udf.CIQ(mh_ticker, "IQ_SHARESOUTSTANDING_OUT", B1484), "")</f>
        <v/>
      </c>
      <c r="E1484" s="11">
        <f>IFERROR(_xll.ciqfunctions.udf.CIQ(mh_ticker, "IQ_CASH_EQUIV", , B1484), "")</f>
        <v/>
      </c>
      <c r="F1484" s="11">
        <f>IFERROR(_xll.ciqfunctions.udf.CIQ(mh_ticker, "IQ_ST_INVEST", , B1484), "")</f>
        <v/>
      </c>
      <c r="G1484" s="11">
        <f>IFERROR(_xll.ciqfunctions.udf.CIQ(mh_ticker, "IQ_TOTAL_DEBT_EXCL_OPER_LEASES", , B1484), "")</f>
        <v/>
      </c>
      <c r="H1484" s="11">
        <f>IFERROR(_xll.ciqfunctions.udf.CIQ(mh_ticker, "IQ_PREF_EQUITY", , B1484), "")</f>
        <v/>
      </c>
      <c r="I1484" s="11">
        <f>IFERROR(_xll.ciqfunctions.udf.CIQ(mh_ticker, "IQ_MINORITY_INTEREST", , B1484), "")</f>
        <v/>
      </c>
      <c r="J1484" s="11">
        <f>IFERROR(_xll.ciqfunctions.udf.CIQ(mh_ticker, "IQ_EQUITY_METHOD", , B1484), "")</f>
        <v/>
      </c>
      <c r="K1484" s="11">
        <f>IFERROR(_xll.ciqfunctions.udf.CIQ(mh_ticker, "IQ_LT_Mark_Securities", , B1484), "")</f>
        <v/>
      </c>
      <c r="L1484" s="12">
        <f>IFERROR(C1484*D1484, "")</f>
        <v/>
      </c>
      <c r="M1484" s="12">
        <f>IFERROR(L1484-E1484-F1484+G1484+H1484+I1484-J1484-K1484, "")</f>
        <v/>
      </c>
      <c r="N1484" s="11">
        <f>IFERROR(_xll.ciqfunctions.udf.CIQ(mh_ticker, "IQ_EBITDA_EST", IQ_NTM, B1484, , , "USD"), "")</f>
        <v/>
      </c>
      <c r="O1484" s="13">
        <f>IFERROR(M1484/N1484, "")</f>
        <v/>
      </c>
    </row>
    <row r="1485">
      <c r="B1485" s="8" t="n"/>
      <c r="C1485" s="9">
        <f>IFERROR(_xll.ciqfunctions.udf.CIQ(mh_ticker, "IQ_LASTSALEPRICE", B1485), "")</f>
        <v/>
      </c>
      <c r="D1485" s="10">
        <f>IFERROR(_xll.ciqfunctions.udf.CIQ(mh_ticker, "IQ_SHARESOUTSTANDING_OUT", B1485), "")</f>
        <v/>
      </c>
      <c r="E1485" s="11">
        <f>IFERROR(_xll.ciqfunctions.udf.CIQ(mh_ticker, "IQ_CASH_EQUIV", , B1485), "")</f>
        <v/>
      </c>
      <c r="F1485" s="11">
        <f>IFERROR(_xll.ciqfunctions.udf.CIQ(mh_ticker, "IQ_ST_INVEST", , B1485), "")</f>
        <v/>
      </c>
      <c r="G1485" s="11">
        <f>IFERROR(_xll.ciqfunctions.udf.CIQ(mh_ticker, "IQ_TOTAL_DEBT_EXCL_OPER_LEASES", , B1485), "")</f>
        <v/>
      </c>
      <c r="H1485" s="11">
        <f>IFERROR(_xll.ciqfunctions.udf.CIQ(mh_ticker, "IQ_PREF_EQUITY", , B1485), "")</f>
        <v/>
      </c>
      <c r="I1485" s="11">
        <f>IFERROR(_xll.ciqfunctions.udf.CIQ(mh_ticker, "IQ_MINORITY_INTEREST", , B1485), "")</f>
        <v/>
      </c>
      <c r="J1485" s="11">
        <f>IFERROR(_xll.ciqfunctions.udf.CIQ(mh_ticker, "IQ_EQUITY_METHOD", , B1485), "")</f>
        <v/>
      </c>
      <c r="K1485" s="11">
        <f>IFERROR(_xll.ciqfunctions.udf.CIQ(mh_ticker, "IQ_LT_Mark_Securities", , B1485), "")</f>
        <v/>
      </c>
      <c r="L1485" s="12">
        <f>IFERROR(C1485*D1485, "")</f>
        <v/>
      </c>
      <c r="M1485" s="12">
        <f>IFERROR(L1485-E1485-F1485+G1485+H1485+I1485-J1485-K1485, "")</f>
        <v/>
      </c>
      <c r="N1485" s="11">
        <f>IFERROR(_xll.ciqfunctions.udf.CIQ(mh_ticker, "IQ_EBITDA_EST", IQ_NTM, B1485, , , "USD"), "")</f>
        <v/>
      </c>
      <c r="O1485" s="13">
        <f>IFERROR(M1485/N1485, "")</f>
        <v/>
      </c>
    </row>
    <row r="1486">
      <c r="B1486" s="8" t="n"/>
      <c r="C1486" s="9">
        <f>IFERROR(_xll.ciqfunctions.udf.CIQ(mh_ticker, "IQ_LASTSALEPRICE", B1486), "")</f>
        <v/>
      </c>
      <c r="D1486" s="10">
        <f>IFERROR(_xll.ciqfunctions.udf.CIQ(mh_ticker, "IQ_SHARESOUTSTANDING_OUT", B1486), "")</f>
        <v/>
      </c>
      <c r="E1486" s="11">
        <f>IFERROR(_xll.ciqfunctions.udf.CIQ(mh_ticker, "IQ_CASH_EQUIV", , B1486), "")</f>
        <v/>
      </c>
      <c r="F1486" s="11">
        <f>IFERROR(_xll.ciqfunctions.udf.CIQ(mh_ticker, "IQ_ST_INVEST", , B1486), "")</f>
        <v/>
      </c>
      <c r="G1486" s="11">
        <f>IFERROR(_xll.ciqfunctions.udf.CIQ(mh_ticker, "IQ_TOTAL_DEBT_EXCL_OPER_LEASES", , B1486), "")</f>
        <v/>
      </c>
      <c r="H1486" s="11">
        <f>IFERROR(_xll.ciqfunctions.udf.CIQ(mh_ticker, "IQ_PREF_EQUITY", , B1486), "")</f>
        <v/>
      </c>
      <c r="I1486" s="11">
        <f>IFERROR(_xll.ciqfunctions.udf.CIQ(mh_ticker, "IQ_MINORITY_INTEREST", , B1486), "")</f>
        <v/>
      </c>
      <c r="J1486" s="11">
        <f>IFERROR(_xll.ciqfunctions.udf.CIQ(mh_ticker, "IQ_EQUITY_METHOD", , B1486), "")</f>
        <v/>
      </c>
      <c r="K1486" s="11">
        <f>IFERROR(_xll.ciqfunctions.udf.CIQ(mh_ticker, "IQ_LT_Mark_Securities", , B1486), "")</f>
        <v/>
      </c>
      <c r="L1486" s="12">
        <f>IFERROR(C1486*D1486, "")</f>
        <v/>
      </c>
      <c r="M1486" s="12">
        <f>IFERROR(L1486-E1486-F1486+G1486+H1486+I1486-J1486-K1486, "")</f>
        <v/>
      </c>
      <c r="N1486" s="11">
        <f>IFERROR(_xll.ciqfunctions.udf.CIQ(mh_ticker, "IQ_EBITDA_EST", IQ_NTM, B1486, , , "USD"), "")</f>
        <v/>
      </c>
      <c r="O1486" s="13">
        <f>IFERROR(M1486/N1486, "")</f>
        <v/>
      </c>
    </row>
    <row r="1487">
      <c r="B1487" s="8" t="n"/>
      <c r="C1487" s="9">
        <f>IFERROR(_xll.ciqfunctions.udf.CIQ(mh_ticker, "IQ_LASTSALEPRICE", B1487), "")</f>
        <v/>
      </c>
      <c r="D1487" s="10">
        <f>IFERROR(_xll.ciqfunctions.udf.CIQ(mh_ticker, "IQ_SHARESOUTSTANDING_OUT", B1487), "")</f>
        <v/>
      </c>
      <c r="E1487" s="11">
        <f>IFERROR(_xll.ciqfunctions.udf.CIQ(mh_ticker, "IQ_CASH_EQUIV", , B1487), "")</f>
        <v/>
      </c>
      <c r="F1487" s="11">
        <f>IFERROR(_xll.ciqfunctions.udf.CIQ(mh_ticker, "IQ_ST_INVEST", , B1487), "")</f>
        <v/>
      </c>
      <c r="G1487" s="11">
        <f>IFERROR(_xll.ciqfunctions.udf.CIQ(mh_ticker, "IQ_TOTAL_DEBT_EXCL_OPER_LEASES", , B1487), "")</f>
        <v/>
      </c>
      <c r="H1487" s="11">
        <f>IFERROR(_xll.ciqfunctions.udf.CIQ(mh_ticker, "IQ_PREF_EQUITY", , B1487), "")</f>
        <v/>
      </c>
      <c r="I1487" s="11">
        <f>IFERROR(_xll.ciqfunctions.udf.CIQ(mh_ticker, "IQ_MINORITY_INTEREST", , B1487), "")</f>
        <v/>
      </c>
      <c r="J1487" s="11">
        <f>IFERROR(_xll.ciqfunctions.udf.CIQ(mh_ticker, "IQ_EQUITY_METHOD", , B1487), "")</f>
        <v/>
      </c>
      <c r="K1487" s="11">
        <f>IFERROR(_xll.ciqfunctions.udf.CIQ(mh_ticker, "IQ_LT_Mark_Securities", , B1487), "")</f>
        <v/>
      </c>
      <c r="L1487" s="12">
        <f>IFERROR(C1487*D1487, "")</f>
        <v/>
      </c>
      <c r="M1487" s="12">
        <f>IFERROR(L1487-E1487-F1487+G1487+H1487+I1487-J1487-K1487, "")</f>
        <v/>
      </c>
      <c r="N1487" s="11">
        <f>IFERROR(_xll.ciqfunctions.udf.CIQ(mh_ticker, "IQ_EBITDA_EST", IQ_NTM, B1487, , , "USD"), "")</f>
        <v/>
      </c>
      <c r="O1487" s="13">
        <f>IFERROR(M1487/N1487, "")</f>
        <v/>
      </c>
    </row>
    <row r="1488">
      <c r="B1488" s="8" t="n"/>
      <c r="C1488" s="9">
        <f>IFERROR(_xll.ciqfunctions.udf.CIQ(mh_ticker, "IQ_LASTSALEPRICE", B1488), "")</f>
        <v/>
      </c>
      <c r="D1488" s="10">
        <f>IFERROR(_xll.ciqfunctions.udf.CIQ(mh_ticker, "IQ_SHARESOUTSTANDING_OUT", B1488), "")</f>
        <v/>
      </c>
      <c r="E1488" s="11">
        <f>IFERROR(_xll.ciqfunctions.udf.CIQ(mh_ticker, "IQ_CASH_EQUIV", , B1488), "")</f>
        <v/>
      </c>
      <c r="F1488" s="11">
        <f>IFERROR(_xll.ciqfunctions.udf.CIQ(mh_ticker, "IQ_ST_INVEST", , B1488), "")</f>
        <v/>
      </c>
      <c r="G1488" s="11">
        <f>IFERROR(_xll.ciqfunctions.udf.CIQ(mh_ticker, "IQ_TOTAL_DEBT_EXCL_OPER_LEASES", , B1488), "")</f>
        <v/>
      </c>
      <c r="H1488" s="11">
        <f>IFERROR(_xll.ciqfunctions.udf.CIQ(mh_ticker, "IQ_PREF_EQUITY", , B1488), "")</f>
        <v/>
      </c>
      <c r="I1488" s="11">
        <f>IFERROR(_xll.ciqfunctions.udf.CIQ(mh_ticker, "IQ_MINORITY_INTEREST", , B1488), "")</f>
        <v/>
      </c>
      <c r="J1488" s="11">
        <f>IFERROR(_xll.ciqfunctions.udf.CIQ(mh_ticker, "IQ_EQUITY_METHOD", , B1488), "")</f>
        <v/>
      </c>
      <c r="K1488" s="11">
        <f>IFERROR(_xll.ciqfunctions.udf.CIQ(mh_ticker, "IQ_LT_Mark_Securities", , B1488), "")</f>
        <v/>
      </c>
      <c r="L1488" s="12">
        <f>IFERROR(C1488*D1488, "")</f>
        <v/>
      </c>
      <c r="M1488" s="12">
        <f>IFERROR(L1488-E1488-F1488+G1488+H1488+I1488-J1488-K1488, "")</f>
        <v/>
      </c>
      <c r="N1488" s="11">
        <f>IFERROR(_xll.ciqfunctions.udf.CIQ(mh_ticker, "IQ_EBITDA_EST", IQ_NTM, B1488, , , "USD"), "")</f>
        <v/>
      </c>
      <c r="O1488" s="13">
        <f>IFERROR(M1488/N1488, "")</f>
        <v/>
      </c>
    </row>
    <row r="1489">
      <c r="B1489" s="8" t="n"/>
      <c r="C1489" s="9">
        <f>IFERROR(_xll.ciqfunctions.udf.CIQ(mh_ticker, "IQ_LASTSALEPRICE", B1489), "")</f>
        <v/>
      </c>
      <c r="D1489" s="10">
        <f>IFERROR(_xll.ciqfunctions.udf.CIQ(mh_ticker, "IQ_SHARESOUTSTANDING_OUT", B1489), "")</f>
        <v/>
      </c>
      <c r="E1489" s="11">
        <f>IFERROR(_xll.ciqfunctions.udf.CIQ(mh_ticker, "IQ_CASH_EQUIV", , B1489), "")</f>
        <v/>
      </c>
      <c r="F1489" s="11">
        <f>IFERROR(_xll.ciqfunctions.udf.CIQ(mh_ticker, "IQ_ST_INVEST", , B1489), "")</f>
        <v/>
      </c>
      <c r="G1489" s="11">
        <f>IFERROR(_xll.ciqfunctions.udf.CIQ(mh_ticker, "IQ_TOTAL_DEBT_EXCL_OPER_LEASES", , B1489), "")</f>
        <v/>
      </c>
      <c r="H1489" s="11">
        <f>IFERROR(_xll.ciqfunctions.udf.CIQ(mh_ticker, "IQ_PREF_EQUITY", , B1489), "")</f>
        <v/>
      </c>
      <c r="I1489" s="11">
        <f>IFERROR(_xll.ciqfunctions.udf.CIQ(mh_ticker, "IQ_MINORITY_INTEREST", , B1489), "")</f>
        <v/>
      </c>
      <c r="J1489" s="11">
        <f>IFERROR(_xll.ciqfunctions.udf.CIQ(mh_ticker, "IQ_EQUITY_METHOD", , B1489), "")</f>
        <v/>
      </c>
      <c r="K1489" s="11">
        <f>IFERROR(_xll.ciqfunctions.udf.CIQ(mh_ticker, "IQ_LT_Mark_Securities", , B1489), "")</f>
        <v/>
      </c>
      <c r="L1489" s="12">
        <f>IFERROR(C1489*D1489, "")</f>
        <v/>
      </c>
      <c r="M1489" s="12">
        <f>IFERROR(L1489-E1489-F1489+G1489+H1489+I1489-J1489-K1489, "")</f>
        <v/>
      </c>
      <c r="N1489" s="11">
        <f>IFERROR(_xll.ciqfunctions.udf.CIQ(mh_ticker, "IQ_EBITDA_EST", IQ_NTM, B1489, , , "USD"), "")</f>
        <v/>
      </c>
      <c r="O1489" s="13">
        <f>IFERROR(M1489/N1489, "")</f>
        <v/>
      </c>
    </row>
    <row r="1490">
      <c r="B1490" s="8" t="n"/>
      <c r="C1490" s="9">
        <f>IFERROR(_xll.ciqfunctions.udf.CIQ(mh_ticker, "IQ_LASTSALEPRICE", B1490), "")</f>
        <v/>
      </c>
      <c r="D1490" s="10">
        <f>IFERROR(_xll.ciqfunctions.udf.CIQ(mh_ticker, "IQ_SHARESOUTSTANDING_OUT", B1490), "")</f>
        <v/>
      </c>
      <c r="E1490" s="11">
        <f>IFERROR(_xll.ciqfunctions.udf.CIQ(mh_ticker, "IQ_CASH_EQUIV", , B1490), "")</f>
        <v/>
      </c>
      <c r="F1490" s="11">
        <f>IFERROR(_xll.ciqfunctions.udf.CIQ(mh_ticker, "IQ_ST_INVEST", , B1490), "")</f>
        <v/>
      </c>
      <c r="G1490" s="11">
        <f>IFERROR(_xll.ciqfunctions.udf.CIQ(mh_ticker, "IQ_TOTAL_DEBT_EXCL_OPER_LEASES", , B1490), "")</f>
        <v/>
      </c>
      <c r="H1490" s="11">
        <f>IFERROR(_xll.ciqfunctions.udf.CIQ(mh_ticker, "IQ_PREF_EQUITY", , B1490), "")</f>
        <v/>
      </c>
      <c r="I1490" s="11">
        <f>IFERROR(_xll.ciqfunctions.udf.CIQ(mh_ticker, "IQ_MINORITY_INTEREST", , B1490), "")</f>
        <v/>
      </c>
      <c r="J1490" s="11">
        <f>IFERROR(_xll.ciqfunctions.udf.CIQ(mh_ticker, "IQ_EQUITY_METHOD", , B1490), "")</f>
        <v/>
      </c>
      <c r="K1490" s="11">
        <f>IFERROR(_xll.ciqfunctions.udf.CIQ(mh_ticker, "IQ_LT_Mark_Securities", , B1490), "")</f>
        <v/>
      </c>
      <c r="L1490" s="12">
        <f>IFERROR(C1490*D1490, "")</f>
        <v/>
      </c>
      <c r="M1490" s="12">
        <f>IFERROR(L1490-E1490-F1490+G1490+H1490+I1490-J1490-K1490, "")</f>
        <v/>
      </c>
      <c r="N1490" s="11">
        <f>IFERROR(_xll.ciqfunctions.udf.CIQ(mh_ticker, "IQ_EBITDA_EST", IQ_NTM, B1490, , , "USD"), "")</f>
        <v/>
      </c>
      <c r="O1490" s="13">
        <f>IFERROR(M1490/N1490, "")</f>
        <v/>
      </c>
    </row>
    <row r="1491">
      <c r="B1491" s="8" t="n"/>
      <c r="C1491" s="9">
        <f>IFERROR(_xll.ciqfunctions.udf.CIQ(mh_ticker, "IQ_LASTSALEPRICE", B1491), "")</f>
        <v/>
      </c>
      <c r="D1491" s="10">
        <f>IFERROR(_xll.ciqfunctions.udf.CIQ(mh_ticker, "IQ_SHARESOUTSTANDING_OUT", B1491), "")</f>
        <v/>
      </c>
      <c r="E1491" s="11">
        <f>IFERROR(_xll.ciqfunctions.udf.CIQ(mh_ticker, "IQ_CASH_EQUIV", , B1491), "")</f>
        <v/>
      </c>
      <c r="F1491" s="11">
        <f>IFERROR(_xll.ciqfunctions.udf.CIQ(mh_ticker, "IQ_ST_INVEST", , B1491), "")</f>
        <v/>
      </c>
      <c r="G1491" s="11">
        <f>IFERROR(_xll.ciqfunctions.udf.CIQ(mh_ticker, "IQ_TOTAL_DEBT_EXCL_OPER_LEASES", , B1491), "")</f>
        <v/>
      </c>
      <c r="H1491" s="11">
        <f>IFERROR(_xll.ciqfunctions.udf.CIQ(mh_ticker, "IQ_PREF_EQUITY", , B1491), "")</f>
        <v/>
      </c>
      <c r="I1491" s="11">
        <f>IFERROR(_xll.ciqfunctions.udf.CIQ(mh_ticker, "IQ_MINORITY_INTEREST", , B1491), "")</f>
        <v/>
      </c>
      <c r="J1491" s="11">
        <f>IFERROR(_xll.ciqfunctions.udf.CIQ(mh_ticker, "IQ_EQUITY_METHOD", , B1491), "")</f>
        <v/>
      </c>
      <c r="K1491" s="11">
        <f>IFERROR(_xll.ciqfunctions.udf.CIQ(mh_ticker, "IQ_LT_Mark_Securities", , B1491), "")</f>
        <v/>
      </c>
      <c r="L1491" s="12">
        <f>IFERROR(C1491*D1491, "")</f>
        <v/>
      </c>
      <c r="M1491" s="12">
        <f>IFERROR(L1491-E1491-F1491+G1491+H1491+I1491-J1491-K1491, "")</f>
        <v/>
      </c>
      <c r="N1491" s="11">
        <f>IFERROR(_xll.ciqfunctions.udf.CIQ(mh_ticker, "IQ_EBITDA_EST", IQ_NTM, B1491, , , "USD"), "")</f>
        <v/>
      </c>
      <c r="O1491" s="13">
        <f>IFERROR(M1491/N1491, "")</f>
        <v/>
      </c>
    </row>
    <row r="1492">
      <c r="B1492" s="8" t="n"/>
      <c r="C1492" s="9">
        <f>IFERROR(_xll.ciqfunctions.udf.CIQ(mh_ticker, "IQ_LASTSALEPRICE", B1492), "")</f>
        <v/>
      </c>
      <c r="D1492" s="10">
        <f>IFERROR(_xll.ciqfunctions.udf.CIQ(mh_ticker, "IQ_SHARESOUTSTANDING_OUT", B1492), "")</f>
        <v/>
      </c>
      <c r="E1492" s="11">
        <f>IFERROR(_xll.ciqfunctions.udf.CIQ(mh_ticker, "IQ_CASH_EQUIV", , B1492), "")</f>
        <v/>
      </c>
      <c r="F1492" s="11">
        <f>IFERROR(_xll.ciqfunctions.udf.CIQ(mh_ticker, "IQ_ST_INVEST", , B1492), "")</f>
        <v/>
      </c>
      <c r="G1492" s="11">
        <f>IFERROR(_xll.ciqfunctions.udf.CIQ(mh_ticker, "IQ_TOTAL_DEBT_EXCL_OPER_LEASES", , B1492), "")</f>
        <v/>
      </c>
      <c r="H1492" s="11">
        <f>IFERROR(_xll.ciqfunctions.udf.CIQ(mh_ticker, "IQ_PREF_EQUITY", , B1492), "")</f>
        <v/>
      </c>
      <c r="I1492" s="11">
        <f>IFERROR(_xll.ciqfunctions.udf.CIQ(mh_ticker, "IQ_MINORITY_INTEREST", , B1492), "")</f>
        <v/>
      </c>
      <c r="J1492" s="11">
        <f>IFERROR(_xll.ciqfunctions.udf.CIQ(mh_ticker, "IQ_EQUITY_METHOD", , B1492), "")</f>
        <v/>
      </c>
      <c r="K1492" s="11">
        <f>IFERROR(_xll.ciqfunctions.udf.CIQ(mh_ticker, "IQ_LT_Mark_Securities", , B1492), "")</f>
        <v/>
      </c>
      <c r="L1492" s="12">
        <f>IFERROR(C1492*D1492, "")</f>
        <v/>
      </c>
      <c r="M1492" s="12">
        <f>IFERROR(L1492-E1492-F1492+G1492+H1492+I1492-J1492-K1492, "")</f>
        <v/>
      </c>
      <c r="N1492" s="11">
        <f>IFERROR(_xll.ciqfunctions.udf.CIQ(mh_ticker, "IQ_EBITDA_EST", IQ_NTM, B1492, , , "USD"), "")</f>
        <v/>
      </c>
      <c r="O1492" s="13">
        <f>IFERROR(M1492/N1492, "")</f>
        <v/>
      </c>
    </row>
    <row r="1493">
      <c r="B1493" s="8" t="n"/>
      <c r="C1493" s="9">
        <f>IFERROR(_xll.ciqfunctions.udf.CIQ(mh_ticker, "IQ_LASTSALEPRICE", B1493), "")</f>
        <v/>
      </c>
      <c r="D1493" s="10">
        <f>IFERROR(_xll.ciqfunctions.udf.CIQ(mh_ticker, "IQ_SHARESOUTSTANDING_OUT", B1493), "")</f>
        <v/>
      </c>
      <c r="E1493" s="11">
        <f>IFERROR(_xll.ciqfunctions.udf.CIQ(mh_ticker, "IQ_CASH_EQUIV", , B1493), "")</f>
        <v/>
      </c>
      <c r="F1493" s="11">
        <f>IFERROR(_xll.ciqfunctions.udf.CIQ(mh_ticker, "IQ_ST_INVEST", , B1493), "")</f>
        <v/>
      </c>
      <c r="G1493" s="11">
        <f>IFERROR(_xll.ciqfunctions.udf.CIQ(mh_ticker, "IQ_TOTAL_DEBT_EXCL_OPER_LEASES", , B1493), "")</f>
        <v/>
      </c>
      <c r="H1493" s="11">
        <f>IFERROR(_xll.ciqfunctions.udf.CIQ(mh_ticker, "IQ_PREF_EQUITY", , B1493), "")</f>
        <v/>
      </c>
      <c r="I1493" s="11">
        <f>IFERROR(_xll.ciqfunctions.udf.CIQ(mh_ticker, "IQ_MINORITY_INTEREST", , B1493), "")</f>
        <v/>
      </c>
      <c r="J1493" s="11">
        <f>IFERROR(_xll.ciqfunctions.udf.CIQ(mh_ticker, "IQ_EQUITY_METHOD", , B1493), "")</f>
        <v/>
      </c>
      <c r="K1493" s="11">
        <f>IFERROR(_xll.ciqfunctions.udf.CIQ(mh_ticker, "IQ_LT_Mark_Securities", , B1493), "")</f>
        <v/>
      </c>
      <c r="L1493" s="12">
        <f>IFERROR(C1493*D1493, "")</f>
        <v/>
      </c>
      <c r="M1493" s="12">
        <f>IFERROR(L1493-E1493-F1493+G1493+H1493+I1493-J1493-K1493, "")</f>
        <v/>
      </c>
      <c r="N1493" s="11">
        <f>IFERROR(_xll.ciqfunctions.udf.CIQ(mh_ticker, "IQ_EBITDA_EST", IQ_NTM, B1493, , , "USD"), "")</f>
        <v/>
      </c>
      <c r="O1493" s="13">
        <f>IFERROR(M1493/N1493, "")</f>
        <v/>
      </c>
    </row>
    <row r="1494">
      <c r="B1494" s="8" t="n"/>
      <c r="C1494" s="9">
        <f>IFERROR(_xll.ciqfunctions.udf.CIQ(mh_ticker, "IQ_LASTSALEPRICE", B1494), "")</f>
        <v/>
      </c>
      <c r="D1494" s="10">
        <f>IFERROR(_xll.ciqfunctions.udf.CIQ(mh_ticker, "IQ_SHARESOUTSTANDING_OUT", B1494), "")</f>
        <v/>
      </c>
      <c r="E1494" s="11">
        <f>IFERROR(_xll.ciqfunctions.udf.CIQ(mh_ticker, "IQ_CASH_EQUIV", , B1494), "")</f>
        <v/>
      </c>
      <c r="F1494" s="11">
        <f>IFERROR(_xll.ciqfunctions.udf.CIQ(mh_ticker, "IQ_ST_INVEST", , B1494), "")</f>
        <v/>
      </c>
      <c r="G1494" s="11">
        <f>IFERROR(_xll.ciqfunctions.udf.CIQ(mh_ticker, "IQ_TOTAL_DEBT_EXCL_OPER_LEASES", , B1494), "")</f>
        <v/>
      </c>
      <c r="H1494" s="11">
        <f>IFERROR(_xll.ciqfunctions.udf.CIQ(mh_ticker, "IQ_PREF_EQUITY", , B1494), "")</f>
        <v/>
      </c>
      <c r="I1494" s="11">
        <f>IFERROR(_xll.ciqfunctions.udf.CIQ(mh_ticker, "IQ_MINORITY_INTEREST", , B1494), "")</f>
        <v/>
      </c>
      <c r="J1494" s="11">
        <f>IFERROR(_xll.ciqfunctions.udf.CIQ(mh_ticker, "IQ_EQUITY_METHOD", , B1494), "")</f>
        <v/>
      </c>
      <c r="K1494" s="11">
        <f>IFERROR(_xll.ciqfunctions.udf.CIQ(mh_ticker, "IQ_LT_Mark_Securities", , B1494), "")</f>
        <v/>
      </c>
      <c r="L1494" s="12">
        <f>IFERROR(C1494*D1494, "")</f>
        <v/>
      </c>
      <c r="M1494" s="12">
        <f>IFERROR(L1494-E1494-F1494+G1494+H1494+I1494-J1494-K1494, "")</f>
        <v/>
      </c>
      <c r="N1494" s="11">
        <f>IFERROR(_xll.ciqfunctions.udf.CIQ(mh_ticker, "IQ_EBITDA_EST", IQ_NTM, B1494, , , "USD"), "")</f>
        <v/>
      </c>
      <c r="O1494" s="13">
        <f>IFERROR(M1494/N1494, "")</f>
        <v/>
      </c>
    </row>
    <row r="1495">
      <c r="B1495" s="8" t="n"/>
      <c r="C1495" s="9">
        <f>IFERROR(_xll.ciqfunctions.udf.CIQ(mh_ticker, "IQ_LASTSALEPRICE", B1495), "")</f>
        <v/>
      </c>
      <c r="D1495" s="10">
        <f>IFERROR(_xll.ciqfunctions.udf.CIQ(mh_ticker, "IQ_SHARESOUTSTANDING_OUT", B1495), "")</f>
        <v/>
      </c>
      <c r="E1495" s="11">
        <f>IFERROR(_xll.ciqfunctions.udf.CIQ(mh_ticker, "IQ_CASH_EQUIV", , B1495), "")</f>
        <v/>
      </c>
      <c r="F1495" s="11">
        <f>IFERROR(_xll.ciqfunctions.udf.CIQ(mh_ticker, "IQ_ST_INVEST", , B1495), "")</f>
        <v/>
      </c>
      <c r="G1495" s="11">
        <f>IFERROR(_xll.ciqfunctions.udf.CIQ(mh_ticker, "IQ_TOTAL_DEBT_EXCL_OPER_LEASES", , B1495), "")</f>
        <v/>
      </c>
      <c r="H1495" s="11">
        <f>IFERROR(_xll.ciqfunctions.udf.CIQ(mh_ticker, "IQ_PREF_EQUITY", , B1495), "")</f>
        <v/>
      </c>
      <c r="I1495" s="11">
        <f>IFERROR(_xll.ciqfunctions.udf.CIQ(mh_ticker, "IQ_MINORITY_INTEREST", , B1495), "")</f>
        <v/>
      </c>
      <c r="J1495" s="11">
        <f>IFERROR(_xll.ciqfunctions.udf.CIQ(mh_ticker, "IQ_EQUITY_METHOD", , B1495), "")</f>
        <v/>
      </c>
      <c r="K1495" s="11">
        <f>IFERROR(_xll.ciqfunctions.udf.CIQ(mh_ticker, "IQ_LT_Mark_Securities", , B1495), "")</f>
        <v/>
      </c>
      <c r="L1495" s="12">
        <f>IFERROR(C1495*D1495, "")</f>
        <v/>
      </c>
      <c r="M1495" s="12">
        <f>IFERROR(L1495-E1495-F1495+G1495+H1495+I1495-J1495-K1495, "")</f>
        <v/>
      </c>
      <c r="N1495" s="11">
        <f>IFERROR(_xll.ciqfunctions.udf.CIQ(mh_ticker, "IQ_EBITDA_EST", IQ_NTM, B1495, , , "USD"), "")</f>
        <v/>
      </c>
      <c r="O1495" s="13">
        <f>IFERROR(M1495/N1495, "")</f>
        <v/>
      </c>
    </row>
    <row r="1496">
      <c r="B1496" s="8" t="n"/>
      <c r="C1496" s="9">
        <f>IFERROR(_xll.ciqfunctions.udf.CIQ(mh_ticker, "IQ_LASTSALEPRICE", B1496), "")</f>
        <v/>
      </c>
      <c r="D1496" s="10">
        <f>IFERROR(_xll.ciqfunctions.udf.CIQ(mh_ticker, "IQ_SHARESOUTSTANDING_OUT", B1496), "")</f>
        <v/>
      </c>
      <c r="E1496" s="11">
        <f>IFERROR(_xll.ciqfunctions.udf.CIQ(mh_ticker, "IQ_CASH_EQUIV", , B1496), "")</f>
        <v/>
      </c>
      <c r="F1496" s="11">
        <f>IFERROR(_xll.ciqfunctions.udf.CIQ(mh_ticker, "IQ_ST_INVEST", , B1496), "")</f>
        <v/>
      </c>
      <c r="G1496" s="11">
        <f>IFERROR(_xll.ciqfunctions.udf.CIQ(mh_ticker, "IQ_TOTAL_DEBT_EXCL_OPER_LEASES", , B1496), "")</f>
        <v/>
      </c>
      <c r="H1496" s="11">
        <f>IFERROR(_xll.ciqfunctions.udf.CIQ(mh_ticker, "IQ_PREF_EQUITY", , B1496), "")</f>
        <v/>
      </c>
      <c r="I1496" s="11">
        <f>IFERROR(_xll.ciqfunctions.udf.CIQ(mh_ticker, "IQ_MINORITY_INTEREST", , B1496), "")</f>
        <v/>
      </c>
      <c r="J1496" s="11">
        <f>IFERROR(_xll.ciqfunctions.udf.CIQ(mh_ticker, "IQ_EQUITY_METHOD", , B1496), "")</f>
        <v/>
      </c>
      <c r="K1496" s="11">
        <f>IFERROR(_xll.ciqfunctions.udf.CIQ(mh_ticker, "IQ_LT_Mark_Securities", , B1496), "")</f>
        <v/>
      </c>
      <c r="L1496" s="12">
        <f>IFERROR(C1496*D1496, "")</f>
        <v/>
      </c>
      <c r="M1496" s="12">
        <f>IFERROR(L1496-E1496-F1496+G1496+H1496+I1496-J1496-K1496, "")</f>
        <v/>
      </c>
      <c r="N1496" s="11">
        <f>IFERROR(_xll.ciqfunctions.udf.CIQ(mh_ticker, "IQ_EBITDA_EST", IQ_NTM, B1496, , , "USD"), "")</f>
        <v/>
      </c>
      <c r="O1496" s="13">
        <f>IFERROR(M1496/N1496, "")</f>
        <v/>
      </c>
    </row>
    <row r="1497">
      <c r="B1497" s="8" t="n"/>
      <c r="C1497" s="9">
        <f>IFERROR(_xll.ciqfunctions.udf.CIQ(mh_ticker, "IQ_LASTSALEPRICE", B1497), "")</f>
        <v/>
      </c>
      <c r="D1497" s="10">
        <f>IFERROR(_xll.ciqfunctions.udf.CIQ(mh_ticker, "IQ_SHARESOUTSTANDING_OUT", B1497), "")</f>
        <v/>
      </c>
      <c r="E1497" s="11">
        <f>IFERROR(_xll.ciqfunctions.udf.CIQ(mh_ticker, "IQ_CASH_EQUIV", , B1497), "")</f>
        <v/>
      </c>
      <c r="F1497" s="11">
        <f>IFERROR(_xll.ciqfunctions.udf.CIQ(mh_ticker, "IQ_ST_INVEST", , B1497), "")</f>
        <v/>
      </c>
      <c r="G1497" s="11">
        <f>IFERROR(_xll.ciqfunctions.udf.CIQ(mh_ticker, "IQ_TOTAL_DEBT_EXCL_OPER_LEASES", , B1497), "")</f>
        <v/>
      </c>
      <c r="H1497" s="11">
        <f>IFERROR(_xll.ciqfunctions.udf.CIQ(mh_ticker, "IQ_PREF_EQUITY", , B1497), "")</f>
        <v/>
      </c>
      <c r="I1497" s="11">
        <f>IFERROR(_xll.ciqfunctions.udf.CIQ(mh_ticker, "IQ_MINORITY_INTEREST", , B1497), "")</f>
        <v/>
      </c>
      <c r="J1497" s="11">
        <f>IFERROR(_xll.ciqfunctions.udf.CIQ(mh_ticker, "IQ_EQUITY_METHOD", , B1497), "")</f>
        <v/>
      </c>
      <c r="K1497" s="11">
        <f>IFERROR(_xll.ciqfunctions.udf.CIQ(mh_ticker, "IQ_LT_Mark_Securities", , B1497), "")</f>
        <v/>
      </c>
      <c r="L1497" s="12">
        <f>IFERROR(C1497*D1497, "")</f>
        <v/>
      </c>
      <c r="M1497" s="12">
        <f>IFERROR(L1497-E1497-F1497+G1497+H1497+I1497-J1497-K1497, "")</f>
        <v/>
      </c>
      <c r="N1497" s="11">
        <f>IFERROR(_xll.ciqfunctions.udf.CIQ(mh_ticker, "IQ_EBITDA_EST", IQ_NTM, B1497, , , "USD"), "")</f>
        <v/>
      </c>
      <c r="O1497" s="13">
        <f>IFERROR(M1497/N1497, "")</f>
        <v/>
      </c>
    </row>
    <row r="1498">
      <c r="B1498" s="8" t="n"/>
      <c r="C1498" s="9">
        <f>IFERROR(_xll.ciqfunctions.udf.CIQ(mh_ticker, "IQ_LASTSALEPRICE", B1498), "")</f>
        <v/>
      </c>
      <c r="D1498" s="10">
        <f>IFERROR(_xll.ciqfunctions.udf.CIQ(mh_ticker, "IQ_SHARESOUTSTANDING_OUT", B1498), "")</f>
        <v/>
      </c>
      <c r="E1498" s="11">
        <f>IFERROR(_xll.ciqfunctions.udf.CIQ(mh_ticker, "IQ_CASH_EQUIV", , B1498), "")</f>
        <v/>
      </c>
      <c r="F1498" s="11">
        <f>IFERROR(_xll.ciqfunctions.udf.CIQ(mh_ticker, "IQ_ST_INVEST", , B1498), "")</f>
        <v/>
      </c>
      <c r="G1498" s="11">
        <f>IFERROR(_xll.ciqfunctions.udf.CIQ(mh_ticker, "IQ_TOTAL_DEBT_EXCL_OPER_LEASES", , B1498), "")</f>
        <v/>
      </c>
      <c r="H1498" s="11">
        <f>IFERROR(_xll.ciqfunctions.udf.CIQ(mh_ticker, "IQ_PREF_EQUITY", , B1498), "")</f>
        <v/>
      </c>
      <c r="I1498" s="11">
        <f>IFERROR(_xll.ciqfunctions.udf.CIQ(mh_ticker, "IQ_MINORITY_INTEREST", , B1498), "")</f>
        <v/>
      </c>
      <c r="J1498" s="11">
        <f>IFERROR(_xll.ciqfunctions.udf.CIQ(mh_ticker, "IQ_EQUITY_METHOD", , B1498), "")</f>
        <v/>
      </c>
      <c r="K1498" s="11">
        <f>IFERROR(_xll.ciqfunctions.udf.CIQ(mh_ticker, "IQ_LT_Mark_Securities", , B1498), "")</f>
        <v/>
      </c>
      <c r="L1498" s="12">
        <f>IFERROR(C1498*D1498, "")</f>
        <v/>
      </c>
      <c r="M1498" s="12">
        <f>IFERROR(L1498-E1498-F1498+G1498+H1498+I1498-J1498-K1498, "")</f>
        <v/>
      </c>
      <c r="N1498" s="11">
        <f>IFERROR(_xll.ciqfunctions.udf.CIQ(mh_ticker, "IQ_EBITDA_EST", IQ_NTM, B1498, , , "USD"), "")</f>
        <v/>
      </c>
      <c r="O1498" s="13">
        <f>IFERROR(M1498/N1498, "")</f>
        <v/>
      </c>
    </row>
    <row r="1499">
      <c r="B1499" s="8" t="n"/>
      <c r="C1499" s="9">
        <f>IFERROR(_xll.ciqfunctions.udf.CIQ(mh_ticker, "IQ_LASTSALEPRICE", B1499), "")</f>
        <v/>
      </c>
      <c r="D1499" s="10">
        <f>IFERROR(_xll.ciqfunctions.udf.CIQ(mh_ticker, "IQ_SHARESOUTSTANDING_OUT", B1499), "")</f>
        <v/>
      </c>
      <c r="E1499" s="11">
        <f>IFERROR(_xll.ciqfunctions.udf.CIQ(mh_ticker, "IQ_CASH_EQUIV", , B1499), "")</f>
        <v/>
      </c>
      <c r="F1499" s="11">
        <f>IFERROR(_xll.ciqfunctions.udf.CIQ(mh_ticker, "IQ_ST_INVEST", , B1499), "")</f>
        <v/>
      </c>
      <c r="G1499" s="11">
        <f>IFERROR(_xll.ciqfunctions.udf.CIQ(mh_ticker, "IQ_TOTAL_DEBT_EXCL_OPER_LEASES", , B1499), "")</f>
        <v/>
      </c>
      <c r="H1499" s="11">
        <f>IFERROR(_xll.ciqfunctions.udf.CIQ(mh_ticker, "IQ_PREF_EQUITY", , B1499), "")</f>
        <v/>
      </c>
      <c r="I1499" s="11">
        <f>IFERROR(_xll.ciqfunctions.udf.CIQ(mh_ticker, "IQ_MINORITY_INTEREST", , B1499), "")</f>
        <v/>
      </c>
      <c r="J1499" s="11">
        <f>IFERROR(_xll.ciqfunctions.udf.CIQ(mh_ticker, "IQ_EQUITY_METHOD", , B1499), "")</f>
        <v/>
      </c>
      <c r="K1499" s="11">
        <f>IFERROR(_xll.ciqfunctions.udf.CIQ(mh_ticker, "IQ_LT_Mark_Securities", , B1499), "")</f>
        <v/>
      </c>
      <c r="L1499" s="12">
        <f>IFERROR(C1499*D1499, "")</f>
        <v/>
      </c>
      <c r="M1499" s="12">
        <f>IFERROR(L1499-E1499-F1499+G1499+H1499+I1499-J1499-K1499, "")</f>
        <v/>
      </c>
      <c r="N1499" s="11">
        <f>IFERROR(_xll.ciqfunctions.udf.CIQ(mh_ticker, "IQ_EBITDA_EST", IQ_NTM, B1499, , , "USD"), "")</f>
        <v/>
      </c>
      <c r="O1499" s="13">
        <f>IFERROR(M1499/N1499, "")</f>
        <v/>
      </c>
    </row>
    <row r="1500">
      <c r="B1500" s="8" t="n"/>
      <c r="C1500" s="9">
        <f>IFERROR(_xll.ciqfunctions.udf.CIQ(mh_ticker, "IQ_LASTSALEPRICE", B1500), "")</f>
        <v/>
      </c>
      <c r="D1500" s="10">
        <f>IFERROR(_xll.ciqfunctions.udf.CIQ(mh_ticker, "IQ_SHARESOUTSTANDING_OUT", B1500), "")</f>
        <v/>
      </c>
      <c r="E1500" s="11">
        <f>IFERROR(_xll.ciqfunctions.udf.CIQ(mh_ticker, "IQ_CASH_EQUIV", , B1500), "")</f>
        <v/>
      </c>
      <c r="F1500" s="11">
        <f>IFERROR(_xll.ciqfunctions.udf.CIQ(mh_ticker, "IQ_ST_INVEST", , B1500), "")</f>
        <v/>
      </c>
      <c r="G1500" s="11">
        <f>IFERROR(_xll.ciqfunctions.udf.CIQ(mh_ticker, "IQ_TOTAL_DEBT_EXCL_OPER_LEASES", , B1500), "")</f>
        <v/>
      </c>
      <c r="H1500" s="11">
        <f>IFERROR(_xll.ciqfunctions.udf.CIQ(mh_ticker, "IQ_PREF_EQUITY", , B1500), "")</f>
        <v/>
      </c>
      <c r="I1500" s="11">
        <f>IFERROR(_xll.ciqfunctions.udf.CIQ(mh_ticker, "IQ_MINORITY_INTEREST", , B1500), "")</f>
        <v/>
      </c>
      <c r="J1500" s="11">
        <f>IFERROR(_xll.ciqfunctions.udf.CIQ(mh_ticker, "IQ_EQUITY_METHOD", , B1500), "")</f>
        <v/>
      </c>
      <c r="K1500" s="11">
        <f>IFERROR(_xll.ciqfunctions.udf.CIQ(mh_ticker, "IQ_LT_Mark_Securities", , B1500), "")</f>
        <v/>
      </c>
      <c r="L1500" s="12">
        <f>IFERROR(C1500*D1500, "")</f>
        <v/>
      </c>
      <c r="M1500" s="12">
        <f>IFERROR(L1500-E1500-F1500+G1500+H1500+I1500-J1500-K1500, "")</f>
        <v/>
      </c>
      <c r="N1500" s="11">
        <f>IFERROR(_xll.ciqfunctions.udf.CIQ(mh_ticker, "IQ_EBITDA_EST", IQ_NTM, B1500, , , "USD"), "")</f>
        <v/>
      </c>
      <c r="O1500" s="13">
        <f>IFERROR(M1500/N1500, "")</f>
        <v/>
      </c>
    </row>
    <row r="1501">
      <c r="B1501" s="8" t="n"/>
      <c r="C1501" s="9">
        <f>IFERROR(_xll.ciqfunctions.udf.CIQ(mh_ticker, "IQ_LASTSALEPRICE", B1501), "")</f>
        <v/>
      </c>
      <c r="D1501" s="10">
        <f>IFERROR(_xll.ciqfunctions.udf.CIQ(mh_ticker, "IQ_SHARESOUTSTANDING_OUT", B1501), "")</f>
        <v/>
      </c>
      <c r="E1501" s="11">
        <f>IFERROR(_xll.ciqfunctions.udf.CIQ(mh_ticker, "IQ_CASH_EQUIV", , B1501), "")</f>
        <v/>
      </c>
      <c r="F1501" s="11">
        <f>IFERROR(_xll.ciqfunctions.udf.CIQ(mh_ticker, "IQ_ST_INVEST", , B1501), "")</f>
        <v/>
      </c>
      <c r="G1501" s="11">
        <f>IFERROR(_xll.ciqfunctions.udf.CIQ(mh_ticker, "IQ_TOTAL_DEBT_EXCL_OPER_LEASES", , B1501), "")</f>
        <v/>
      </c>
      <c r="H1501" s="11">
        <f>IFERROR(_xll.ciqfunctions.udf.CIQ(mh_ticker, "IQ_PREF_EQUITY", , B1501), "")</f>
        <v/>
      </c>
      <c r="I1501" s="11">
        <f>IFERROR(_xll.ciqfunctions.udf.CIQ(mh_ticker, "IQ_MINORITY_INTEREST", , B1501), "")</f>
        <v/>
      </c>
      <c r="J1501" s="11">
        <f>IFERROR(_xll.ciqfunctions.udf.CIQ(mh_ticker, "IQ_EQUITY_METHOD", , B1501), "")</f>
        <v/>
      </c>
      <c r="K1501" s="11">
        <f>IFERROR(_xll.ciqfunctions.udf.CIQ(mh_ticker, "IQ_LT_Mark_Securities", , B1501), "")</f>
        <v/>
      </c>
      <c r="L1501" s="12">
        <f>IFERROR(C1501*D1501, "")</f>
        <v/>
      </c>
      <c r="M1501" s="12">
        <f>IFERROR(L1501-E1501-F1501+G1501+H1501+I1501-J1501-K1501, "")</f>
        <v/>
      </c>
      <c r="N1501" s="11">
        <f>IFERROR(_xll.ciqfunctions.udf.CIQ(mh_ticker, "IQ_EBITDA_EST", IQ_NTM, B1501, , , "USD"), "")</f>
        <v/>
      </c>
      <c r="O1501" s="13">
        <f>IFERROR(M1501/N1501, "")</f>
        <v/>
      </c>
    </row>
    <row r="1502">
      <c r="B1502" s="8" t="n"/>
      <c r="C1502" s="9">
        <f>IFERROR(_xll.ciqfunctions.udf.CIQ(mh_ticker, "IQ_LASTSALEPRICE", B1502), "")</f>
        <v/>
      </c>
      <c r="D1502" s="10">
        <f>IFERROR(_xll.ciqfunctions.udf.CIQ(mh_ticker, "IQ_SHARESOUTSTANDING_OUT", B1502), "")</f>
        <v/>
      </c>
      <c r="E1502" s="11">
        <f>IFERROR(_xll.ciqfunctions.udf.CIQ(mh_ticker, "IQ_CASH_EQUIV", , B1502), "")</f>
        <v/>
      </c>
      <c r="F1502" s="11">
        <f>IFERROR(_xll.ciqfunctions.udf.CIQ(mh_ticker, "IQ_ST_INVEST", , B1502), "")</f>
        <v/>
      </c>
      <c r="G1502" s="11">
        <f>IFERROR(_xll.ciqfunctions.udf.CIQ(mh_ticker, "IQ_TOTAL_DEBT_EXCL_OPER_LEASES", , B1502), "")</f>
        <v/>
      </c>
      <c r="H1502" s="11">
        <f>IFERROR(_xll.ciqfunctions.udf.CIQ(mh_ticker, "IQ_PREF_EQUITY", , B1502), "")</f>
        <v/>
      </c>
      <c r="I1502" s="11">
        <f>IFERROR(_xll.ciqfunctions.udf.CIQ(mh_ticker, "IQ_MINORITY_INTEREST", , B1502), "")</f>
        <v/>
      </c>
      <c r="J1502" s="11">
        <f>IFERROR(_xll.ciqfunctions.udf.CIQ(mh_ticker, "IQ_EQUITY_METHOD", , B1502), "")</f>
        <v/>
      </c>
      <c r="K1502" s="11">
        <f>IFERROR(_xll.ciqfunctions.udf.CIQ(mh_ticker, "IQ_LT_Mark_Securities", , B1502), "")</f>
        <v/>
      </c>
      <c r="L1502" s="12">
        <f>IFERROR(C1502*D1502, "")</f>
        <v/>
      </c>
      <c r="M1502" s="12">
        <f>IFERROR(L1502-E1502-F1502+G1502+H1502+I1502-J1502-K1502, "")</f>
        <v/>
      </c>
      <c r="N1502" s="11">
        <f>IFERROR(_xll.ciqfunctions.udf.CIQ(mh_ticker, "IQ_EBITDA_EST", IQ_NTM, B1502, , , "USD"), "")</f>
        <v/>
      </c>
      <c r="O1502" s="13">
        <f>IFERROR(M1502/N1502, "")</f>
        <v/>
      </c>
    </row>
    <row r="1503">
      <c r="B1503" s="8" t="n"/>
      <c r="C1503" s="9">
        <f>IFERROR(_xll.ciqfunctions.udf.CIQ(mh_ticker, "IQ_LASTSALEPRICE", B1503), "")</f>
        <v/>
      </c>
      <c r="D1503" s="10">
        <f>IFERROR(_xll.ciqfunctions.udf.CIQ(mh_ticker, "IQ_SHARESOUTSTANDING_OUT", B1503), "")</f>
        <v/>
      </c>
      <c r="E1503" s="11">
        <f>IFERROR(_xll.ciqfunctions.udf.CIQ(mh_ticker, "IQ_CASH_EQUIV", , B1503), "")</f>
        <v/>
      </c>
      <c r="F1503" s="11">
        <f>IFERROR(_xll.ciqfunctions.udf.CIQ(mh_ticker, "IQ_ST_INVEST", , B1503), "")</f>
        <v/>
      </c>
      <c r="G1503" s="11">
        <f>IFERROR(_xll.ciqfunctions.udf.CIQ(mh_ticker, "IQ_TOTAL_DEBT_EXCL_OPER_LEASES", , B1503), "")</f>
        <v/>
      </c>
      <c r="H1503" s="11">
        <f>IFERROR(_xll.ciqfunctions.udf.CIQ(mh_ticker, "IQ_PREF_EQUITY", , B1503), "")</f>
        <v/>
      </c>
      <c r="I1503" s="11">
        <f>IFERROR(_xll.ciqfunctions.udf.CIQ(mh_ticker, "IQ_MINORITY_INTEREST", , B1503), "")</f>
        <v/>
      </c>
      <c r="J1503" s="11">
        <f>IFERROR(_xll.ciqfunctions.udf.CIQ(mh_ticker, "IQ_EQUITY_METHOD", , B1503), "")</f>
        <v/>
      </c>
      <c r="K1503" s="11">
        <f>IFERROR(_xll.ciqfunctions.udf.CIQ(mh_ticker, "IQ_LT_Mark_Securities", , B1503), "")</f>
        <v/>
      </c>
      <c r="L1503" s="12">
        <f>IFERROR(C1503*D1503, "")</f>
        <v/>
      </c>
      <c r="M1503" s="12">
        <f>IFERROR(L1503-E1503-F1503+G1503+H1503+I1503-J1503-K1503, "")</f>
        <v/>
      </c>
      <c r="N1503" s="11">
        <f>IFERROR(_xll.ciqfunctions.udf.CIQ(mh_ticker, "IQ_EBITDA_EST", IQ_NTM, B1503, , , "USD"), "")</f>
        <v/>
      </c>
      <c r="O1503" s="13">
        <f>IFERROR(M1503/N1503, "")</f>
        <v/>
      </c>
    </row>
    <row r="1504">
      <c r="B1504" s="8" t="n"/>
      <c r="C1504" s="9">
        <f>IFERROR(_xll.ciqfunctions.udf.CIQ(mh_ticker, "IQ_LASTSALEPRICE", B1504), "")</f>
        <v/>
      </c>
      <c r="D1504" s="10">
        <f>IFERROR(_xll.ciqfunctions.udf.CIQ(mh_ticker, "IQ_SHARESOUTSTANDING_OUT", B1504), "")</f>
        <v/>
      </c>
      <c r="E1504" s="11">
        <f>IFERROR(_xll.ciqfunctions.udf.CIQ(mh_ticker, "IQ_CASH_EQUIV", , B1504), "")</f>
        <v/>
      </c>
      <c r="F1504" s="11">
        <f>IFERROR(_xll.ciqfunctions.udf.CIQ(mh_ticker, "IQ_ST_INVEST", , B1504), "")</f>
        <v/>
      </c>
      <c r="G1504" s="11">
        <f>IFERROR(_xll.ciqfunctions.udf.CIQ(mh_ticker, "IQ_TOTAL_DEBT_EXCL_OPER_LEASES", , B1504), "")</f>
        <v/>
      </c>
      <c r="H1504" s="11">
        <f>IFERROR(_xll.ciqfunctions.udf.CIQ(mh_ticker, "IQ_PREF_EQUITY", , B1504), "")</f>
        <v/>
      </c>
      <c r="I1504" s="11">
        <f>IFERROR(_xll.ciqfunctions.udf.CIQ(mh_ticker, "IQ_MINORITY_INTEREST", , B1504), "")</f>
        <v/>
      </c>
      <c r="J1504" s="11">
        <f>IFERROR(_xll.ciqfunctions.udf.CIQ(mh_ticker, "IQ_EQUITY_METHOD", , B1504), "")</f>
        <v/>
      </c>
      <c r="K1504" s="11">
        <f>IFERROR(_xll.ciqfunctions.udf.CIQ(mh_ticker, "IQ_LT_Mark_Securities", , B1504), "")</f>
        <v/>
      </c>
      <c r="L1504" s="12">
        <f>IFERROR(C1504*D1504, "")</f>
        <v/>
      </c>
      <c r="M1504" s="12">
        <f>IFERROR(L1504-E1504-F1504+G1504+H1504+I1504-J1504-K1504, "")</f>
        <v/>
      </c>
      <c r="N1504" s="11">
        <f>IFERROR(_xll.ciqfunctions.udf.CIQ(mh_ticker, "IQ_EBITDA_EST", IQ_NTM, B1504, , , "USD"), "")</f>
        <v/>
      </c>
      <c r="O1504" s="13">
        <f>IFERROR(M1504/N1504, "")</f>
        <v/>
      </c>
    </row>
    <row r="1505">
      <c r="B1505" s="8" t="n"/>
      <c r="C1505" s="9">
        <f>IFERROR(_xll.ciqfunctions.udf.CIQ(mh_ticker, "IQ_LASTSALEPRICE", B1505), "")</f>
        <v/>
      </c>
      <c r="D1505" s="10">
        <f>IFERROR(_xll.ciqfunctions.udf.CIQ(mh_ticker, "IQ_SHARESOUTSTANDING_OUT", B1505), "")</f>
        <v/>
      </c>
      <c r="E1505" s="11">
        <f>IFERROR(_xll.ciqfunctions.udf.CIQ(mh_ticker, "IQ_CASH_EQUIV", , B1505), "")</f>
        <v/>
      </c>
      <c r="F1505" s="11">
        <f>IFERROR(_xll.ciqfunctions.udf.CIQ(mh_ticker, "IQ_ST_INVEST", , B1505), "")</f>
        <v/>
      </c>
      <c r="G1505" s="11">
        <f>IFERROR(_xll.ciqfunctions.udf.CIQ(mh_ticker, "IQ_TOTAL_DEBT_EXCL_OPER_LEASES", , B1505), "")</f>
        <v/>
      </c>
      <c r="H1505" s="11">
        <f>IFERROR(_xll.ciqfunctions.udf.CIQ(mh_ticker, "IQ_PREF_EQUITY", , B1505), "")</f>
        <v/>
      </c>
      <c r="I1505" s="11">
        <f>IFERROR(_xll.ciqfunctions.udf.CIQ(mh_ticker, "IQ_MINORITY_INTEREST", , B1505), "")</f>
        <v/>
      </c>
      <c r="J1505" s="11">
        <f>IFERROR(_xll.ciqfunctions.udf.CIQ(mh_ticker, "IQ_EQUITY_METHOD", , B1505), "")</f>
        <v/>
      </c>
      <c r="K1505" s="11">
        <f>IFERROR(_xll.ciqfunctions.udf.CIQ(mh_ticker, "IQ_LT_Mark_Securities", , B1505), "")</f>
        <v/>
      </c>
      <c r="L1505" s="12">
        <f>IFERROR(C1505*D1505, "")</f>
        <v/>
      </c>
      <c r="M1505" s="12">
        <f>IFERROR(L1505-E1505-F1505+G1505+H1505+I1505-J1505-K1505, "")</f>
        <v/>
      </c>
      <c r="N1505" s="11">
        <f>IFERROR(_xll.ciqfunctions.udf.CIQ(mh_ticker, "IQ_EBITDA_EST", IQ_NTM, B1505, , , "USD"), "")</f>
        <v/>
      </c>
      <c r="O1505" s="13">
        <f>IFERROR(M1505/N1505, "")</f>
        <v/>
      </c>
    </row>
    <row r="1506">
      <c r="B1506" s="8" t="n"/>
      <c r="C1506" s="9">
        <f>IFERROR(_xll.ciqfunctions.udf.CIQ(mh_ticker, "IQ_LASTSALEPRICE", B1506), "")</f>
        <v/>
      </c>
      <c r="D1506" s="10">
        <f>IFERROR(_xll.ciqfunctions.udf.CIQ(mh_ticker, "IQ_SHARESOUTSTANDING_OUT", B1506), "")</f>
        <v/>
      </c>
      <c r="E1506" s="11">
        <f>IFERROR(_xll.ciqfunctions.udf.CIQ(mh_ticker, "IQ_CASH_EQUIV", , B1506), "")</f>
        <v/>
      </c>
      <c r="F1506" s="11">
        <f>IFERROR(_xll.ciqfunctions.udf.CIQ(mh_ticker, "IQ_ST_INVEST", , B1506), "")</f>
        <v/>
      </c>
      <c r="G1506" s="11">
        <f>IFERROR(_xll.ciqfunctions.udf.CIQ(mh_ticker, "IQ_TOTAL_DEBT_EXCL_OPER_LEASES", , B1506), "")</f>
        <v/>
      </c>
      <c r="H1506" s="11">
        <f>IFERROR(_xll.ciqfunctions.udf.CIQ(mh_ticker, "IQ_PREF_EQUITY", , B1506), "")</f>
        <v/>
      </c>
      <c r="I1506" s="11">
        <f>IFERROR(_xll.ciqfunctions.udf.CIQ(mh_ticker, "IQ_MINORITY_INTEREST", , B1506), "")</f>
        <v/>
      </c>
      <c r="J1506" s="11">
        <f>IFERROR(_xll.ciqfunctions.udf.CIQ(mh_ticker, "IQ_EQUITY_METHOD", , B1506), "")</f>
        <v/>
      </c>
      <c r="K1506" s="11">
        <f>IFERROR(_xll.ciqfunctions.udf.CIQ(mh_ticker, "IQ_LT_Mark_Securities", , B1506), "")</f>
        <v/>
      </c>
      <c r="L1506" s="12">
        <f>IFERROR(C1506*D1506, "")</f>
        <v/>
      </c>
      <c r="M1506" s="12">
        <f>IFERROR(L1506-E1506-F1506+G1506+H1506+I1506-J1506-K1506, "")</f>
        <v/>
      </c>
      <c r="N1506" s="11">
        <f>IFERROR(_xll.ciqfunctions.udf.CIQ(mh_ticker, "IQ_EBITDA_EST", IQ_NTM, B1506, , , "USD"), "")</f>
        <v/>
      </c>
      <c r="O1506" s="13">
        <f>IFERROR(M1506/N1506, "")</f>
        <v/>
      </c>
    </row>
    <row r="1507">
      <c r="B1507" s="8" t="n"/>
      <c r="C1507" s="9">
        <f>IFERROR(_xll.ciqfunctions.udf.CIQ(mh_ticker, "IQ_LASTSALEPRICE", B1507), "")</f>
        <v/>
      </c>
      <c r="D1507" s="10">
        <f>IFERROR(_xll.ciqfunctions.udf.CIQ(mh_ticker, "IQ_SHARESOUTSTANDING_OUT", B1507), "")</f>
        <v/>
      </c>
      <c r="E1507" s="11">
        <f>IFERROR(_xll.ciqfunctions.udf.CIQ(mh_ticker, "IQ_CASH_EQUIV", , B1507), "")</f>
        <v/>
      </c>
      <c r="F1507" s="11">
        <f>IFERROR(_xll.ciqfunctions.udf.CIQ(mh_ticker, "IQ_ST_INVEST", , B1507), "")</f>
        <v/>
      </c>
      <c r="G1507" s="11">
        <f>IFERROR(_xll.ciqfunctions.udf.CIQ(mh_ticker, "IQ_TOTAL_DEBT_EXCL_OPER_LEASES", , B1507), "")</f>
        <v/>
      </c>
      <c r="H1507" s="11">
        <f>IFERROR(_xll.ciqfunctions.udf.CIQ(mh_ticker, "IQ_PREF_EQUITY", , B1507), "")</f>
        <v/>
      </c>
      <c r="I1507" s="11">
        <f>IFERROR(_xll.ciqfunctions.udf.CIQ(mh_ticker, "IQ_MINORITY_INTEREST", , B1507), "")</f>
        <v/>
      </c>
      <c r="J1507" s="11">
        <f>IFERROR(_xll.ciqfunctions.udf.CIQ(mh_ticker, "IQ_EQUITY_METHOD", , B1507), "")</f>
        <v/>
      </c>
      <c r="K1507" s="11">
        <f>IFERROR(_xll.ciqfunctions.udf.CIQ(mh_ticker, "IQ_LT_Mark_Securities", , B1507), "")</f>
        <v/>
      </c>
      <c r="L1507" s="12">
        <f>IFERROR(C1507*D1507, "")</f>
        <v/>
      </c>
      <c r="M1507" s="12">
        <f>IFERROR(L1507-E1507-F1507+G1507+H1507+I1507-J1507-K1507, "")</f>
        <v/>
      </c>
      <c r="N1507" s="11">
        <f>IFERROR(_xll.ciqfunctions.udf.CIQ(mh_ticker, "IQ_EBITDA_EST", IQ_NTM, B1507, , , "USD"), "")</f>
        <v/>
      </c>
      <c r="O1507" s="13">
        <f>IFERROR(M1507/N1507, "")</f>
        <v/>
      </c>
    </row>
    <row r="1508">
      <c r="B1508" s="8" t="n"/>
      <c r="C1508" s="9">
        <f>IFERROR(_xll.ciqfunctions.udf.CIQ(mh_ticker, "IQ_LASTSALEPRICE", B1508), "")</f>
        <v/>
      </c>
      <c r="D1508" s="10">
        <f>IFERROR(_xll.ciqfunctions.udf.CIQ(mh_ticker, "IQ_SHARESOUTSTANDING_OUT", B1508), "")</f>
        <v/>
      </c>
      <c r="E1508" s="11">
        <f>IFERROR(_xll.ciqfunctions.udf.CIQ(mh_ticker, "IQ_CASH_EQUIV", , B1508), "")</f>
        <v/>
      </c>
      <c r="F1508" s="11">
        <f>IFERROR(_xll.ciqfunctions.udf.CIQ(mh_ticker, "IQ_ST_INVEST", , B1508), "")</f>
        <v/>
      </c>
      <c r="G1508" s="11">
        <f>IFERROR(_xll.ciqfunctions.udf.CIQ(mh_ticker, "IQ_TOTAL_DEBT_EXCL_OPER_LEASES", , B1508), "")</f>
        <v/>
      </c>
      <c r="H1508" s="11">
        <f>IFERROR(_xll.ciqfunctions.udf.CIQ(mh_ticker, "IQ_PREF_EQUITY", , B1508), "")</f>
        <v/>
      </c>
      <c r="I1508" s="11">
        <f>IFERROR(_xll.ciqfunctions.udf.CIQ(mh_ticker, "IQ_MINORITY_INTEREST", , B1508), "")</f>
        <v/>
      </c>
      <c r="J1508" s="11">
        <f>IFERROR(_xll.ciqfunctions.udf.CIQ(mh_ticker, "IQ_EQUITY_METHOD", , B1508), "")</f>
        <v/>
      </c>
      <c r="K1508" s="11">
        <f>IFERROR(_xll.ciqfunctions.udf.CIQ(mh_ticker, "IQ_LT_Mark_Securities", , B1508), "")</f>
        <v/>
      </c>
      <c r="L1508" s="12">
        <f>IFERROR(C1508*D1508, "")</f>
        <v/>
      </c>
      <c r="M1508" s="12">
        <f>IFERROR(L1508-E1508-F1508+G1508+H1508+I1508-J1508-K1508, "")</f>
        <v/>
      </c>
      <c r="N1508" s="11">
        <f>IFERROR(_xll.ciqfunctions.udf.CIQ(mh_ticker, "IQ_EBITDA_EST", IQ_NTM, B1508, , , "USD"), "")</f>
        <v/>
      </c>
      <c r="O1508" s="13">
        <f>IFERROR(M1508/N1508, "")</f>
        <v/>
      </c>
    </row>
    <row r="1509">
      <c r="B1509" s="8" t="n"/>
      <c r="C1509" s="9">
        <f>IFERROR(_xll.ciqfunctions.udf.CIQ(mh_ticker, "IQ_LASTSALEPRICE", B1509), "")</f>
        <v/>
      </c>
      <c r="D1509" s="10">
        <f>IFERROR(_xll.ciqfunctions.udf.CIQ(mh_ticker, "IQ_SHARESOUTSTANDING_OUT", B1509), "")</f>
        <v/>
      </c>
      <c r="E1509" s="11">
        <f>IFERROR(_xll.ciqfunctions.udf.CIQ(mh_ticker, "IQ_CASH_EQUIV", , B1509), "")</f>
        <v/>
      </c>
      <c r="F1509" s="11">
        <f>IFERROR(_xll.ciqfunctions.udf.CIQ(mh_ticker, "IQ_ST_INVEST", , B1509), "")</f>
        <v/>
      </c>
      <c r="G1509" s="11">
        <f>IFERROR(_xll.ciqfunctions.udf.CIQ(mh_ticker, "IQ_TOTAL_DEBT_EXCL_OPER_LEASES", , B1509), "")</f>
        <v/>
      </c>
      <c r="H1509" s="11">
        <f>IFERROR(_xll.ciqfunctions.udf.CIQ(mh_ticker, "IQ_PREF_EQUITY", , B1509), "")</f>
        <v/>
      </c>
      <c r="I1509" s="11">
        <f>IFERROR(_xll.ciqfunctions.udf.CIQ(mh_ticker, "IQ_MINORITY_INTEREST", , B1509), "")</f>
        <v/>
      </c>
      <c r="J1509" s="11">
        <f>IFERROR(_xll.ciqfunctions.udf.CIQ(mh_ticker, "IQ_EQUITY_METHOD", , B1509), "")</f>
        <v/>
      </c>
      <c r="K1509" s="11">
        <f>IFERROR(_xll.ciqfunctions.udf.CIQ(mh_ticker, "IQ_LT_Mark_Securities", , B1509), "")</f>
        <v/>
      </c>
      <c r="L1509" s="12">
        <f>IFERROR(C1509*D1509, "")</f>
        <v/>
      </c>
      <c r="M1509" s="12">
        <f>IFERROR(L1509-E1509-F1509+G1509+H1509+I1509-J1509-K1509, "")</f>
        <v/>
      </c>
      <c r="N1509" s="11">
        <f>IFERROR(_xll.ciqfunctions.udf.CIQ(mh_ticker, "IQ_EBITDA_EST", IQ_NTM, B1509, , , "USD"), "")</f>
        <v/>
      </c>
      <c r="O1509" s="13">
        <f>IFERROR(M1509/N1509, "")</f>
        <v/>
      </c>
    </row>
    <row r="1510">
      <c r="B1510" s="8" t="n"/>
      <c r="C1510" s="9">
        <f>IFERROR(_xll.ciqfunctions.udf.CIQ(mh_ticker, "IQ_LASTSALEPRICE", B1510), "")</f>
        <v/>
      </c>
      <c r="D1510" s="10">
        <f>IFERROR(_xll.ciqfunctions.udf.CIQ(mh_ticker, "IQ_SHARESOUTSTANDING_OUT", B1510), "")</f>
        <v/>
      </c>
      <c r="E1510" s="11">
        <f>IFERROR(_xll.ciqfunctions.udf.CIQ(mh_ticker, "IQ_CASH_EQUIV", , B1510), "")</f>
        <v/>
      </c>
      <c r="F1510" s="11">
        <f>IFERROR(_xll.ciqfunctions.udf.CIQ(mh_ticker, "IQ_ST_INVEST", , B1510), "")</f>
        <v/>
      </c>
      <c r="G1510" s="11">
        <f>IFERROR(_xll.ciqfunctions.udf.CIQ(mh_ticker, "IQ_TOTAL_DEBT_EXCL_OPER_LEASES", , B1510), "")</f>
        <v/>
      </c>
      <c r="H1510" s="11">
        <f>IFERROR(_xll.ciqfunctions.udf.CIQ(mh_ticker, "IQ_PREF_EQUITY", , B1510), "")</f>
        <v/>
      </c>
      <c r="I1510" s="11">
        <f>IFERROR(_xll.ciqfunctions.udf.CIQ(mh_ticker, "IQ_MINORITY_INTEREST", , B1510), "")</f>
        <v/>
      </c>
      <c r="J1510" s="11">
        <f>IFERROR(_xll.ciqfunctions.udf.CIQ(mh_ticker, "IQ_EQUITY_METHOD", , B1510), "")</f>
        <v/>
      </c>
      <c r="K1510" s="11">
        <f>IFERROR(_xll.ciqfunctions.udf.CIQ(mh_ticker, "IQ_LT_Mark_Securities", , B1510), "")</f>
        <v/>
      </c>
      <c r="L1510" s="12">
        <f>IFERROR(C1510*D1510, "")</f>
        <v/>
      </c>
      <c r="M1510" s="12">
        <f>IFERROR(L1510-E1510-F1510+G1510+H1510+I1510-J1510-K1510, "")</f>
        <v/>
      </c>
      <c r="N1510" s="11">
        <f>IFERROR(_xll.ciqfunctions.udf.CIQ(mh_ticker, "IQ_EBITDA_EST", IQ_NTM, B1510, , , "USD"), "")</f>
        <v/>
      </c>
      <c r="O1510" s="13">
        <f>IFERROR(M1510/N1510, 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2026-04-29T04:47:03Z</dcterms:created>
  <dcterms:modified xsi:type="dcterms:W3CDTF">2026-04-29T04:47:04Z</dcterms:modified>
</cp:coreProperties>
</file>