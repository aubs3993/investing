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IS" sheetId="3" state="visible" r:id="rId3"/>
    <sheet name="CF" sheetId="4" state="visible" r:id="rId4"/>
    <sheet name="Debt" sheetId="5" state="visible" r:id="rId5"/>
    <sheet name="Valuation" sheetId="6" state="visible" r:id="rId6"/>
    <sheet name="Summary" sheetId="7" state="visible" r:id="rId7"/>
    <sheet name="Sensitivity" sheetId="8" state="visible" r:id="rId8"/>
    <sheet name="_CapIQ_Data" sheetId="9" state="hidden" r:id="rId9"/>
    <sheet name="_Broker_Data" sheetId="10" state="hidden" r:id="rId10"/>
  </sheets>
  <definedNames>
    <definedName name="inp_ticker">Inputs!$C$5</definedName>
    <definedName name="inp_run_date">Inputs!$C$6</definedName>
    <definedName name="inp_fye_month">Inputs!$C$7</definedName>
    <definedName name="inp_company_name">Inputs!$C$8</definedName>
    <definedName name="inp_sector">Inputs!$C$9</definedName>
    <definedName name="inp_currency">Inputs!$C$10</definedName>
    <definedName name="inp_current_price">Inputs!$C$11</definedName>
    <definedName name="inp_diluted_shares">Inputs!$C$12</definedName>
    <definedName name="inp_annual_dps">Inputs!$C$13</definedName>
    <definedName name="inp_dps_growth">Inputs!$C$14</definedName>
    <definedName name="inp_tax_rate">Inputs!$C$15</definedName>
    <definedName name="inp_cash">Inputs!$C$16</definedName>
    <definedName name="inp_debt">Inputs!$C$17</definedName>
    <definedName name="inp_minority_interest">Inputs!$C$18</definedName>
    <definedName name="inp_equity_investments">Inputs!$C$19</definedName>
    <definedName name="inp_cash_sweep_pct">Inputs!$C$20</definedName>
    <definedName name="inp_min_cash">Inputs!$C$21</definedName>
    <definedName name="calc_annual_div">Inputs!$C$24</definedName>
    <definedName name="mkt_cap">Inputs!$C$25</definedName>
    <definedName name="drv_revenue_growth">Inputs!$F$31:$O$31</definedName>
    <definedName name="drv_gross_margin">Inputs!$F$32:$O$32</definedName>
    <definedName name="drv_opex_pct_rev">Inputs!$F$33:$O$33</definedName>
    <definedName name="drv_capex_pct_rev">Inputs!$F$34:$O$34</definedName>
    <definedName name="drv_da_pct_capex">Inputs!$F$35:$O$35</definedName>
    <definedName name="drv_exit_multiple">Inputs!$F$36:$O$36</definedName>
    <definedName name="sens_target_year_offset">Sensitivity!$C$4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mm/dd/yyyy"/>
    <numFmt numFmtId="166" formatCode="$#,##0.00;($#,##0.00)"/>
    <numFmt numFmtId="167" formatCode="#,##0;(#,##0)"/>
    <numFmt numFmtId="168" formatCode="$0.00"/>
    <numFmt numFmtId="169" formatCode="0.0%"/>
    <numFmt numFmtId="170" formatCode="0.00&quot;x&quot;"/>
    <numFmt numFmtId="171" formatCode="0.0&quot;x&quot;"/>
    <numFmt numFmtId="172" formatCode="#,##0.00;(#,##0.00)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0070C0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</border>
    <border>
      <top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49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2" fillId="0" borderId="0" pivotButton="0" quotePrefix="0" xfId="0"/>
    <xf numFmtId="49" fontId="3" fillId="2" borderId="1" pivotButton="0" quotePrefix="0" xfId="0"/>
    <xf numFmtId="165" fontId="3" fillId="2" borderId="1" pivotButton="0" quotePrefix="0" xfId="0"/>
    <xf numFmtId="1" fontId="3" fillId="2" borderId="1" pivotButton="0" quotePrefix="0" xfId="0"/>
    <xf numFmtId="168" fontId="4" fillId="0" borderId="0" pivotButton="0" quotePrefix="0" xfId="0"/>
    <xf numFmtId="169" fontId="3" fillId="2" borderId="1" pivotButton="0" quotePrefix="0" xfId="0"/>
    <xf numFmtId="167" fontId="3" fillId="2" borderId="1" pivotButton="0" quotePrefix="0" xfId="0"/>
    <xf numFmtId="167" fontId="2" fillId="0" borderId="0" pivotButton="0" quotePrefix="0" xfId="0"/>
    <xf numFmtId="0" fontId="5" fillId="3" borderId="0" applyAlignment="1" pivotButton="0" quotePrefix="0" xfId="0">
      <alignment horizontal="center" vertical="center"/>
    </xf>
    <xf numFmtId="170" fontId="3" fillId="2" borderId="1" pivotButton="0" quotePrefix="0" xfId="0"/>
    <xf numFmtId="171" fontId="3" fillId="2" borderId="1" pivotButton="0" quotePrefix="0" xfId="0"/>
    <xf numFmtId="169" fontId="2" fillId="0" borderId="0" pivotButton="0" quotePrefix="0" xfId="0"/>
    <xf numFmtId="167" fontId="1" fillId="0" borderId="2" pivotButton="0" quotePrefix="0" xfId="0"/>
    <xf numFmtId="172" fontId="2" fillId="0" borderId="0" pivotButton="0" quotePrefix="0" xfId="0"/>
    <xf numFmtId="171" fontId="4" fillId="0" borderId="0" pivotButton="0" quotePrefix="0" xfId="0"/>
    <xf numFmtId="172" fontId="1" fillId="0" borderId="2" pivotButton="0" quotePrefix="0" xfId="0"/>
    <xf numFmtId="171" fontId="2" fillId="0" borderId="0" pivotButton="0" quotePrefix="0" xfId="0"/>
    <xf numFmtId="169" fontId="4" fillId="0" borderId="0" pivotButton="0" quotePrefix="0" xfId="0"/>
    <xf numFmtId="171" fontId="1" fillId="0" borderId="2" pivotButton="0" quotePrefix="0" xfId="0"/>
    <xf numFmtId="172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2.71" customWidth="1" min="1" max="1"/>
    <col width="28" customWidth="1" min="2" max="2"/>
    <col width="28" customWidth="1" min="3" max="3"/>
  </cols>
  <sheetData>
    <row r="2">
      <c r="B2" s="1">
        <f>inp_ticker &amp; " | Cover"</f>
        <v/>
      </c>
    </row>
    <row r="4">
      <c r="B4" s="1" t="inlineStr">
        <is>
          <t>Company Name</t>
        </is>
      </c>
      <c r="C4" s="2">
        <f>inp_company_name</f>
        <v/>
      </c>
    </row>
    <row r="5">
      <c r="B5" s="1" t="inlineStr">
        <is>
          <t>Ticker</t>
        </is>
      </c>
      <c r="C5" s="2">
        <f>inp_ticker</f>
        <v/>
      </c>
    </row>
    <row r="6">
      <c r="B6" s="1" t="inlineStr">
        <is>
          <t>Sector</t>
        </is>
      </c>
      <c r="C6" s="2">
        <f>inp_sector</f>
        <v/>
      </c>
    </row>
    <row r="7">
      <c r="B7" s="1" t="inlineStr">
        <is>
          <t>Currency</t>
        </is>
      </c>
      <c r="C7" s="2">
        <f>inp_currency</f>
        <v/>
      </c>
    </row>
    <row r="8">
      <c r="B8" s="1" t="inlineStr">
        <is>
          <t>Run Date</t>
        </is>
      </c>
      <c r="C8" s="3">
        <f>inp_run_date</f>
        <v/>
      </c>
    </row>
    <row r="9">
      <c r="B9" s="1" t="inlineStr">
        <is>
          <t>Current Price</t>
        </is>
      </c>
      <c r="C9" s="4">
        <f>inp_current_price</f>
        <v/>
      </c>
    </row>
    <row r="10">
      <c r="B10" s="1" t="inlineStr">
        <is>
          <t>Market Cap</t>
        </is>
      </c>
      <c r="C10" s="5">
        <f>mkt_cap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36"/>
  <sheetViews>
    <sheetView showGridLines="0" workbookViewId="0">
      <selection activeCell="A1" sqref="A1"/>
    </sheetView>
  </sheetViews>
  <sheetFormatPr baseColWidth="8" defaultRowHeight="15"/>
  <cols>
    <col width="2.71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2">
      <c r="B2" s="1">
        <f>inp_ticker &amp; " | Inputs &amp; Assumptions"</f>
        <v/>
      </c>
    </row>
    <row r="4">
      <c r="B4" s="1" t="inlineStr">
        <is>
          <t>Inputs (CapIQ-driven where available; manual otherwise)</t>
        </is>
      </c>
    </row>
    <row r="5">
      <c r="B5" s="6" t="inlineStr">
        <is>
          <t>Ticker</t>
        </is>
      </c>
      <c r="C5" s="7" t="inlineStr">
        <is>
          <t>TICKR</t>
        </is>
      </c>
    </row>
    <row r="6">
      <c r="B6" s="6" t="inlineStr">
        <is>
          <t>Run Date</t>
        </is>
      </c>
      <c r="C6" s="8" t="n">
        <v>46140</v>
      </c>
    </row>
    <row r="7">
      <c r="B7" s="6" t="inlineStr">
        <is>
          <t>Fiscal Year End Month</t>
        </is>
      </c>
      <c r="C7" s="9" t="n">
        <v>12</v>
      </c>
    </row>
    <row r="8">
      <c r="B8" s="6" t="inlineStr">
        <is>
          <t>Company Name</t>
        </is>
      </c>
      <c r="C8" s="2">
        <f>_CapIQ_Data!F12</f>
        <v/>
      </c>
    </row>
    <row r="9">
      <c r="B9" s="6" t="inlineStr">
        <is>
          <t>Sector</t>
        </is>
      </c>
      <c r="C9" s="2">
        <f>_CapIQ_Data!F13</f>
        <v/>
      </c>
    </row>
    <row r="10">
      <c r="B10" s="6" t="inlineStr">
        <is>
          <t>Currency</t>
        </is>
      </c>
      <c r="C10" s="2">
        <f>_CapIQ_Data!F14</f>
        <v/>
      </c>
    </row>
    <row r="11">
      <c r="B11" s="6" t="inlineStr">
        <is>
          <t>Current Price</t>
        </is>
      </c>
      <c r="C11" s="4">
        <f>_CapIQ_Data!F18</f>
        <v/>
      </c>
    </row>
    <row r="12">
      <c r="B12" s="6" t="inlineStr">
        <is>
          <t>Diluted Shares Outstanding</t>
        </is>
      </c>
      <c r="C12" s="5">
        <f>_CapIQ_Data!F19</f>
        <v/>
      </c>
    </row>
    <row r="13">
      <c r="B13" s="6" t="inlineStr">
        <is>
          <t>Annual DPS</t>
        </is>
      </c>
      <c r="C13" s="10">
        <f>IFERROR(_CapIQ_Data!E40, _CapIQ_Data!D40)</f>
        <v/>
      </c>
    </row>
    <row r="14">
      <c r="B14" s="6" t="inlineStr">
        <is>
          <t>DPS Annual Growth %</t>
        </is>
      </c>
      <c r="C14" s="11" t="n">
        <v>0</v>
      </c>
    </row>
    <row r="15">
      <c r="B15" s="6" t="inlineStr">
        <is>
          <t>Tax Rate</t>
        </is>
      </c>
      <c r="C15" s="11" t="n">
        <v>0.21</v>
      </c>
    </row>
    <row r="16">
      <c r="B16" s="6" t="inlineStr">
        <is>
          <t>Cash &amp; Equivalents</t>
        </is>
      </c>
      <c r="C16" s="5">
        <f>_CapIQ_Data!F21</f>
        <v/>
      </c>
    </row>
    <row r="17">
      <c r="B17" s="6" t="inlineStr">
        <is>
          <t>Total Debt</t>
        </is>
      </c>
      <c r="C17" s="5">
        <f>_CapIQ_Data!F23</f>
        <v/>
      </c>
    </row>
    <row r="18">
      <c r="B18" s="6" t="inlineStr">
        <is>
          <t>Minority Interest</t>
        </is>
      </c>
      <c r="C18" s="5">
        <f>_CapIQ_Data!F25</f>
        <v/>
      </c>
    </row>
    <row r="19">
      <c r="B19" s="6" t="inlineStr">
        <is>
          <t>Equity Investments</t>
        </is>
      </c>
      <c r="C19" s="5">
        <f>_CapIQ_Data!F26</f>
        <v/>
      </c>
    </row>
    <row r="20">
      <c r="B20" s="6" t="inlineStr">
        <is>
          <t>Cash Sweep %</t>
        </is>
      </c>
      <c r="C20" s="11" t="n">
        <v>0</v>
      </c>
    </row>
    <row r="21">
      <c r="B21" s="6" t="inlineStr">
        <is>
          <t>Minimum Cash Balance</t>
        </is>
      </c>
      <c r="C21" s="12" t="n">
        <v>0</v>
      </c>
    </row>
    <row r="23">
      <c r="B23" s="1" t="inlineStr">
        <is>
          <t>Calculated</t>
        </is>
      </c>
    </row>
    <row r="24">
      <c r="B24" s="6" t="inlineStr">
        <is>
          <t>Annual Dividends Paid (current)</t>
        </is>
      </c>
      <c r="C24" s="13">
        <f>inp_annual_dps*inp_diluted_shares</f>
        <v/>
      </c>
    </row>
    <row r="25">
      <c r="B25" s="6" t="inlineStr">
        <is>
          <t>Current Market Cap</t>
        </is>
      </c>
      <c r="C25" s="13">
        <f>inp_current_price*inp_diluted_shares</f>
        <v/>
      </c>
    </row>
    <row r="26">
      <c r="B26" s="6" t="inlineStr">
        <is>
          <t>Net Debt</t>
        </is>
      </c>
      <c r="C26" s="13">
        <f>inp_debt-inp_cash</f>
        <v/>
      </c>
    </row>
    <row r="27">
      <c r="B27" s="6" t="inlineStr">
        <is>
          <t>Current Enterprise Value</t>
        </is>
      </c>
      <c r="C27" s="13">
        <f>mkt_cap+inp_debt-inp_cash+inp_minority_interest-inp_equity_investments</f>
        <v/>
      </c>
    </row>
    <row r="29">
      <c r="B29" s="1" t="inlineStr">
        <is>
          <t>Driver Assumptions (manual fill)</t>
        </is>
      </c>
    </row>
    <row r="30">
      <c r="F30" s="14" t="inlineStr">
        <is>
          <t>2026E</t>
        </is>
      </c>
      <c r="G30" s="14" t="inlineStr">
        <is>
          <t>2027E</t>
        </is>
      </c>
      <c r="H30" s="14" t="inlineStr">
        <is>
          <t>2028E</t>
        </is>
      </c>
      <c r="I30" s="14" t="inlineStr">
        <is>
          <t>2029E</t>
        </is>
      </c>
      <c r="J30" s="14" t="inlineStr">
        <is>
          <t>2030E</t>
        </is>
      </c>
      <c r="K30" s="14" t="inlineStr">
        <is>
          <t>2031E</t>
        </is>
      </c>
      <c r="L30" s="14" t="inlineStr">
        <is>
          <t>2032E</t>
        </is>
      </c>
      <c r="M30" s="14" t="inlineStr">
        <is>
          <t>2033E</t>
        </is>
      </c>
      <c r="N30" s="14" t="inlineStr">
        <is>
          <t>2034E</t>
        </is>
      </c>
      <c r="O30" s="14" t="inlineStr">
        <is>
          <t>2035E</t>
        </is>
      </c>
    </row>
    <row r="31">
      <c r="B31" s="6" t="inlineStr">
        <is>
          <t>Revenue Growth %</t>
        </is>
      </c>
      <c r="F31" s="11" t="n">
        <v>0.05</v>
      </c>
      <c r="G31" s="11" t="n">
        <v>0.05</v>
      </c>
      <c r="H31" s="11" t="n">
        <v>0.05</v>
      </c>
      <c r="I31" s="11" t="n">
        <v>0.05</v>
      </c>
      <c r="J31" s="11" t="n">
        <v>0.05</v>
      </c>
      <c r="K31" s="11" t="n">
        <v>0.05</v>
      </c>
      <c r="L31" s="11" t="n">
        <v>0.05</v>
      </c>
      <c r="M31" s="11" t="n">
        <v>0.05</v>
      </c>
      <c r="N31" s="11" t="n">
        <v>0.05</v>
      </c>
      <c r="O31" s="11" t="n">
        <v>0.05</v>
      </c>
    </row>
    <row r="32">
      <c r="B32" s="6" t="inlineStr">
        <is>
          <t>Gross Margin %</t>
        </is>
      </c>
      <c r="F32" s="11" t="n">
        <v>0.4</v>
      </c>
      <c r="G32" s="11" t="n">
        <v>0.4</v>
      </c>
      <c r="H32" s="11" t="n">
        <v>0.4</v>
      </c>
      <c r="I32" s="11" t="n">
        <v>0.4</v>
      </c>
      <c r="J32" s="11" t="n">
        <v>0.4</v>
      </c>
      <c r="K32" s="11" t="n">
        <v>0.4</v>
      </c>
      <c r="L32" s="11" t="n">
        <v>0.4</v>
      </c>
      <c r="M32" s="11" t="n">
        <v>0.4</v>
      </c>
      <c r="N32" s="11" t="n">
        <v>0.4</v>
      </c>
      <c r="O32" s="11" t="n">
        <v>0.4</v>
      </c>
    </row>
    <row r="33">
      <c r="B33" s="6" t="inlineStr">
        <is>
          <t>Total OpEx % of Revenue</t>
        </is>
      </c>
      <c r="F33" s="11" t="n">
        <v>0.2</v>
      </c>
      <c r="G33" s="11" t="n">
        <v>0.2</v>
      </c>
      <c r="H33" s="11" t="n">
        <v>0.2</v>
      </c>
      <c r="I33" s="11" t="n">
        <v>0.2</v>
      </c>
      <c r="J33" s="11" t="n">
        <v>0.2</v>
      </c>
      <c r="K33" s="11" t="n">
        <v>0.2</v>
      </c>
      <c r="L33" s="11" t="n">
        <v>0.2</v>
      </c>
      <c r="M33" s="11" t="n">
        <v>0.2</v>
      </c>
      <c r="N33" s="11" t="n">
        <v>0.2</v>
      </c>
      <c r="O33" s="11" t="n">
        <v>0.2</v>
      </c>
    </row>
    <row r="34">
      <c r="B34" s="6" t="inlineStr">
        <is>
          <t>CapEx % of Revenue</t>
        </is>
      </c>
      <c r="F34" s="11" t="n">
        <v>0.05</v>
      </c>
      <c r="G34" s="11" t="n">
        <v>0.05</v>
      </c>
      <c r="H34" s="11" t="n">
        <v>0.05</v>
      </c>
      <c r="I34" s="11" t="n">
        <v>0.05</v>
      </c>
      <c r="J34" s="11" t="n">
        <v>0.05</v>
      </c>
      <c r="K34" s="11" t="n">
        <v>0.05</v>
      </c>
      <c r="L34" s="11" t="n">
        <v>0.05</v>
      </c>
      <c r="M34" s="11" t="n">
        <v>0.05</v>
      </c>
      <c r="N34" s="11" t="n">
        <v>0.05</v>
      </c>
      <c r="O34" s="11" t="n">
        <v>0.05</v>
      </c>
    </row>
    <row r="35">
      <c r="B35" s="6" t="inlineStr">
        <is>
          <t>D&amp;A % of CapEx</t>
        </is>
      </c>
      <c r="F35" s="15" t="n">
        <v>1</v>
      </c>
      <c r="G35" s="15" t="n">
        <v>1</v>
      </c>
      <c r="H35" s="15" t="n">
        <v>1</v>
      </c>
      <c r="I35" s="15" t="n">
        <v>1</v>
      </c>
      <c r="J35" s="15" t="n">
        <v>1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</row>
    <row r="36">
      <c r="B36" s="6" t="inlineStr">
        <is>
          <t>Exit EBITDA Multiple</t>
        </is>
      </c>
      <c r="F36" s="16" t="n">
        <v>10</v>
      </c>
      <c r="G36" s="16" t="n">
        <v>10</v>
      </c>
      <c r="H36" s="16" t="n">
        <v>10</v>
      </c>
      <c r="I36" s="16" t="n">
        <v>10</v>
      </c>
      <c r="J36" s="16" t="n">
        <v>10</v>
      </c>
      <c r="K36" s="16" t="n">
        <v>10</v>
      </c>
      <c r="L36" s="16" t="n">
        <v>10</v>
      </c>
      <c r="M36" s="16" t="n">
        <v>10</v>
      </c>
      <c r="N36" s="16" t="n">
        <v>10</v>
      </c>
      <c r="O36" s="16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71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2">
      <c r="B2" s="1">
        <f>inp_ticker &amp; " | Income Statement"</f>
        <v/>
      </c>
    </row>
    <row r="4">
      <c r="C4" s="14" t="inlineStr">
        <is>
          <t>2023A</t>
        </is>
      </c>
      <c r="D4" s="14" t="inlineStr">
        <is>
          <t>2024A</t>
        </is>
      </c>
      <c r="E4" s="14" t="inlineStr">
        <is>
          <t>2025A</t>
        </is>
      </c>
      <c r="F4" s="14" t="inlineStr">
        <is>
          <t>2026E</t>
        </is>
      </c>
      <c r="G4" s="14" t="inlineStr">
        <is>
          <t>2027E</t>
        </is>
      </c>
      <c r="H4" s="14" t="inlineStr">
        <is>
          <t>2028E</t>
        </is>
      </c>
      <c r="I4" s="14" t="inlineStr">
        <is>
          <t>2029E</t>
        </is>
      </c>
      <c r="J4" s="14" t="inlineStr">
        <is>
          <t>2030E</t>
        </is>
      </c>
      <c r="K4" s="14" t="inlineStr">
        <is>
          <t>2031E</t>
        </is>
      </c>
      <c r="L4" s="14" t="inlineStr">
        <is>
          <t>2032E</t>
        </is>
      </c>
      <c r="M4" s="14" t="inlineStr">
        <is>
          <t>2033E</t>
        </is>
      </c>
      <c r="N4" s="14" t="inlineStr">
        <is>
          <t>2034E</t>
        </is>
      </c>
      <c r="O4" s="14" t="inlineStr">
        <is>
          <t>2035E</t>
        </is>
      </c>
    </row>
    <row r="5">
      <c r="B5" s="6" t="inlineStr">
        <is>
          <t>Revenue</t>
        </is>
      </c>
      <c r="C5" s="5">
        <f>_CapIQ_Data!C31</f>
        <v/>
      </c>
      <c r="D5" s="5">
        <f>_CapIQ_Data!D31</f>
        <v/>
      </c>
      <c r="E5" s="5">
        <f>_CapIQ_Data!E31</f>
        <v/>
      </c>
      <c r="F5" s="13">
        <f>E5*(1+Inputs!F$31)</f>
        <v/>
      </c>
      <c r="G5" s="13">
        <f>F5*(1+Inputs!G$31)</f>
        <v/>
      </c>
      <c r="H5" s="13">
        <f>G5*(1+Inputs!H$31)</f>
        <v/>
      </c>
      <c r="I5" s="13">
        <f>H5*(1+Inputs!I$31)</f>
        <v/>
      </c>
      <c r="J5" s="13">
        <f>I5*(1+Inputs!J$31)</f>
        <v/>
      </c>
      <c r="K5" s="13">
        <f>J5*(1+Inputs!K$31)</f>
        <v/>
      </c>
      <c r="L5" s="13">
        <f>K5*(1+Inputs!L$31)</f>
        <v/>
      </c>
      <c r="M5" s="13">
        <f>L5*(1+Inputs!M$31)</f>
        <v/>
      </c>
      <c r="N5" s="13">
        <f>M5*(1+Inputs!N$31)</f>
        <v/>
      </c>
      <c r="O5" s="13">
        <f>N5*(1+Inputs!O$31)</f>
        <v/>
      </c>
    </row>
    <row r="6">
      <c r="B6" s="6" t="inlineStr">
        <is>
          <t>Revenue Growth %</t>
        </is>
      </c>
      <c r="D6" s="17">
        <f>D5/C5-1</f>
        <v/>
      </c>
      <c r="E6" s="17">
        <f>E5/D5-1</f>
        <v/>
      </c>
      <c r="F6" s="17">
        <f>F5/E5-1</f>
        <v/>
      </c>
      <c r="G6" s="17">
        <f>G5/F5-1</f>
        <v/>
      </c>
      <c r="H6" s="17">
        <f>H5/G5-1</f>
        <v/>
      </c>
      <c r="I6" s="17">
        <f>I5/H5-1</f>
        <v/>
      </c>
      <c r="J6" s="17">
        <f>J5/I5-1</f>
        <v/>
      </c>
      <c r="K6" s="17">
        <f>K5/J5-1</f>
        <v/>
      </c>
      <c r="L6" s="17">
        <f>L5/K5-1</f>
        <v/>
      </c>
      <c r="M6" s="17">
        <f>M5/L5-1</f>
        <v/>
      </c>
      <c r="N6" s="17">
        <f>N5/M5-1</f>
        <v/>
      </c>
      <c r="O6" s="17">
        <f>O5/N5-1</f>
        <v/>
      </c>
    </row>
    <row r="7">
      <c r="B7" s="6" t="inlineStr">
        <is>
          <t>COGS</t>
        </is>
      </c>
      <c r="C7" s="5">
        <f>_CapIQ_Data!C32</f>
        <v/>
      </c>
      <c r="D7" s="5">
        <f>_CapIQ_Data!D32</f>
        <v/>
      </c>
      <c r="E7" s="5">
        <f>_CapIQ_Data!E32</f>
        <v/>
      </c>
      <c r="F7" s="13">
        <f>F5*(1-Inputs!F$32)</f>
        <v/>
      </c>
      <c r="G7" s="13">
        <f>G5*(1-Inputs!G$32)</f>
        <v/>
      </c>
      <c r="H7" s="13">
        <f>H5*(1-Inputs!H$32)</f>
        <v/>
      </c>
      <c r="I7" s="13">
        <f>I5*(1-Inputs!I$32)</f>
        <v/>
      </c>
      <c r="J7" s="13">
        <f>J5*(1-Inputs!J$32)</f>
        <v/>
      </c>
      <c r="K7" s="13">
        <f>K5*(1-Inputs!K$32)</f>
        <v/>
      </c>
      <c r="L7" s="13">
        <f>L5*(1-Inputs!L$32)</f>
        <v/>
      </c>
      <c r="M7" s="13">
        <f>M5*(1-Inputs!M$32)</f>
        <v/>
      </c>
      <c r="N7" s="13">
        <f>N5*(1-Inputs!N$32)</f>
        <v/>
      </c>
      <c r="O7" s="13">
        <f>O5*(1-Inputs!O$32)</f>
        <v/>
      </c>
    </row>
    <row r="8">
      <c r="B8" s="6" t="inlineStr">
        <is>
          <t>Gross Profit</t>
        </is>
      </c>
      <c r="C8" s="18">
        <f>C5-C7</f>
        <v/>
      </c>
      <c r="D8" s="18">
        <f>D5-D7</f>
        <v/>
      </c>
      <c r="E8" s="18">
        <f>E5-E7</f>
        <v/>
      </c>
      <c r="F8" s="18">
        <f>F5-F7</f>
        <v/>
      </c>
      <c r="G8" s="18">
        <f>G5-G7</f>
        <v/>
      </c>
      <c r="H8" s="18">
        <f>H5-H7</f>
        <v/>
      </c>
      <c r="I8" s="18">
        <f>I5-I7</f>
        <v/>
      </c>
      <c r="J8" s="18">
        <f>J5-J7</f>
        <v/>
      </c>
      <c r="K8" s="18">
        <f>K5-K7</f>
        <v/>
      </c>
      <c r="L8" s="18">
        <f>L5-L7</f>
        <v/>
      </c>
      <c r="M8" s="18">
        <f>M5-M7</f>
        <v/>
      </c>
      <c r="N8" s="18">
        <f>N5-N7</f>
        <v/>
      </c>
      <c r="O8" s="18">
        <f>O5-O7</f>
        <v/>
      </c>
    </row>
    <row r="9">
      <c r="B9" s="6" t="inlineStr">
        <is>
          <t>Gross Margin %</t>
        </is>
      </c>
      <c r="C9" s="17">
        <f>IFERROR(C8/C5,0)</f>
        <v/>
      </c>
      <c r="D9" s="17">
        <f>IFERROR(D8/D5,0)</f>
        <v/>
      </c>
      <c r="E9" s="17">
        <f>IFERROR(E8/E5,0)</f>
        <v/>
      </c>
      <c r="F9" s="17">
        <f>IFERROR(F8/F5,0)</f>
        <v/>
      </c>
      <c r="G9" s="17">
        <f>IFERROR(G8/G5,0)</f>
        <v/>
      </c>
      <c r="H9" s="17">
        <f>IFERROR(H8/H5,0)</f>
        <v/>
      </c>
      <c r="I9" s="17">
        <f>IFERROR(I8/I5,0)</f>
        <v/>
      </c>
      <c r="J9" s="17">
        <f>IFERROR(J8/J5,0)</f>
        <v/>
      </c>
      <c r="K9" s="17">
        <f>IFERROR(K8/K5,0)</f>
        <v/>
      </c>
      <c r="L9" s="17">
        <f>IFERROR(L8/L5,0)</f>
        <v/>
      </c>
      <c r="M9" s="17">
        <f>IFERROR(M8/M5,0)</f>
        <v/>
      </c>
      <c r="N9" s="17">
        <f>IFERROR(N8/N5,0)</f>
        <v/>
      </c>
      <c r="O9" s="17">
        <f>IFERROR(O8/O5,0)</f>
        <v/>
      </c>
    </row>
    <row r="10">
      <c r="B10" s="6" t="inlineStr">
        <is>
          <t>Total OpEx</t>
        </is>
      </c>
      <c r="C10" s="5">
        <f>_CapIQ_Data!C34</f>
        <v/>
      </c>
      <c r="D10" s="5">
        <f>_CapIQ_Data!D34</f>
        <v/>
      </c>
      <c r="E10" s="5">
        <f>_CapIQ_Data!E34</f>
        <v/>
      </c>
      <c r="F10" s="13">
        <f>F5*Inputs!F$33</f>
        <v/>
      </c>
      <c r="G10" s="13">
        <f>G5*Inputs!G$33</f>
        <v/>
      </c>
      <c r="H10" s="13">
        <f>H5*Inputs!H$33</f>
        <v/>
      </c>
      <c r="I10" s="13">
        <f>I5*Inputs!I$33</f>
        <v/>
      </c>
      <c r="J10" s="13">
        <f>J5*Inputs!J$33</f>
        <v/>
      </c>
      <c r="K10" s="13">
        <f>K5*Inputs!K$33</f>
        <v/>
      </c>
      <c r="L10" s="13">
        <f>L5*Inputs!L$33</f>
        <v/>
      </c>
      <c r="M10" s="13">
        <f>M5*Inputs!M$33</f>
        <v/>
      </c>
      <c r="N10" s="13">
        <f>N5*Inputs!N$33</f>
        <v/>
      </c>
      <c r="O10" s="13">
        <f>O5*Inputs!O$33</f>
        <v/>
      </c>
    </row>
    <row r="11">
      <c r="B11" s="6" t="inlineStr">
        <is>
          <t>EBITDA</t>
        </is>
      </c>
      <c r="C11" s="18">
        <f>C8-C10</f>
        <v/>
      </c>
      <c r="D11" s="18">
        <f>D8-D10</f>
        <v/>
      </c>
      <c r="E11" s="18">
        <f>E8-E10</f>
        <v/>
      </c>
      <c r="F11" s="18">
        <f>F8-F10</f>
        <v/>
      </c>
      <c r="G11" s="18">
        <f>G8-G10</f>
        <v/>
      </c>
      <c r="H11" s="18">
        <f>H8-H10</f>
        <v/>
      </c>
      <c r="I11" s="18">
        <f>I8-I10</f>
        <v/>
      </c>
      <c r="J11" s="18">
        <f>J8-J10</f>
        <v/>
      </c>
      <c r="K11" s="18">
        <f>K8-K10</f>
        <v/>
      </c>
      <c r="L11" s="18">
        <f>L8-L10</f>
        <v/>
      </c>
      <c r="M11" s="18">
        <f>M8-M10</f>
        <v/>
      </c>
      <c r="N11" s="18">
        <f>N8-N10</f>
        <v/>
      </c>
      <c r="O11" s="18">
        <f>O8-O10</f>
        <v/>
      </c>
    </row>
    <row r="12">
      <c r="B12" s="6" t="inlineStr">
        <is>
          <t>EBITDA Margin %</t>
        </is>
      </c>
      <c r="C12" s="17">
        <f>IFERROR(C11/C5,0)</f>
        <v/>
      </c>
      <c r="D12" s="17">
        <f>IFERROR(D11/D5,0)</f>
        <v/>
      </c>
      <c r="E12" s="17">
        <f>IFERROR(E11/E5,0)</f>
        <v/>
      </c>
      <c r="F12" s="17">
        <f>IFERROR(F11/F5,0)</f>
        <v/>
      </c>
      <c r="G12" s="17">
        <f>IFERROR(G11/G5,0)</f>
        <v/>
      </c>
      <c r="H12" s="17">
        <f>IFERROR(H11/H5,0)</f>
        <v/>
      </c>
      <c r="I12" s="17">
        <f>IFERROR(I11/I5,0)</f>
        <v/>
      </c>
      <c r="J12" s="17">
        <f>IFERROR(J11/J5,0)</f>
        <v/>
      </c>
      <c r="K12" s="17">
        <f>IFERROR(K11/K5,0)</f>
        <v/>
      </c>
      <c r="L12" s="17">
        <f>IFERROR(L11/L5,0)</f>
        <v/>
      </c>
      <c r="M12" s="17">
        <f>IFERROR(M11/M5,0)</f>
        <v/>
      </c>
      <c r="N12" s="17">
        <f>IFERROR(N11/N5,0)</f>
        <v/>
      </c>
      <c r="O12" s="17">
        <f>IFERROR(O11/O5,0)</f>
        <v/>
      </c>
    </row>
    <row r="13">
      <c r="B13" s="6" t="inlineStr">
        <is>
          <t>D&amp;A</t>
        </is>
      </c>
      <c r="C13" s="5">
        <f>_CapIQ_Data!C35</f>
        <v/>
      </c>
      <c r="D13" s="5">
        <f>_CapIQ_Data!D35</f>
        <v/>
      </c>
      <c r="E13" s="5">
        <f>_CapIQ_Data!E35</f>
        <v/>
      </c>
      <c r="F13" s="5">
        <f>-CF!F8*Inputs!F$35</f>
        <v/>
      </c>
      <c r="G13" s="5">
        <f>-CF!G8*Inputs!G$35</f>
        <v/>
      </c>
      <c r="H13" s="5">
        <f>-CF!H8*Inputs!H$35</f>
        <v/>
      </c>
      <c r="I13" s="5">
        <f>-CF!I8*Inputs!I$35</f>
        <v/>
      </c>
      <c r="J13" s="5">
        <f>-CF!J8*Inputs!J$35</f>
        <v/>
      </c>
      <c r="K13" s="5">
        <f>-CF!K8*Inputs!K$35</f>
        <v/>
      </c>
      <c r="L13" s="5">
        <f>-CF!L8*Inputs!L$35</f>
        <v/>
      </c>
      <c r="M13" s="5">
        <f>-CF!M8*Inputs!M$35</f>
        <v/>
      </c>
      <c r="N13" s="5">
        <f>-CF!N8*Inputs!N$35</f>
        <v/>
      </c>
      <c r="O13" s="5">
        <f>-CF!O8*Inputs!O$35</f>
        <v/>
      </c>
    </row>
    <row r="14">
      <c r="B14" s="6" t="inlineStr">
        <is>
          <t>EBIT</t>
        </is>
      </c>
      <c r="C14" s="18">
        <f>C11-C13</f>
        <v/>
      </c>
      <c r="D14" s="18">
        <f>D11-D13</f>
        <v/>
      </c>
      <c r="E14" s="18">
        <f>E11-E13</f>
        <v/>
      </c>
      <c r="F14" s="18">
        <f>F11-F13</f>
        <v/>
      </c>
      <c r="G14" s="18">
        <f>G11-G13</f>
        <v/>
      </c>
      <c r="H14" s="18">
        <f>H11-H13</f>
        <v/>
      </c>
      <c r="I14" s="18">
        <f>I11-I13</f>
        <v/>
      </c>
      <c r="J14" s="18">
        <f>J11-J13</f>
        <v/>
      </c>
      <c r="K14" s="18">
        <f>K11-K13</f>
        <v/>
      </c>
      <c r="L14" s="18">
        <f>L11-L13</f>
        <v/>
      </c>
      <c r="M14" s="18">
        <f>M11-M13</f>
        <v/>
      </c>
      <c r="N14" s="18">
        <f>N11-N13</f>
        <v/>
      </c>
      <c r="O14" s="18">
        <f>O11-O13</f>
        <v/>
      </c>
    </row>
    <row r="15">
      <c r="B15" s="6" t="inlineStr">
        <is>
          <t>EBIT Margin %</t>
        </is>
      </c>
      <c r="C15" s="17">
        <f>IFERROR(C14/C5,0)</f>
        <v/>
      </c>
      <c r="D15" s="17">
        <f>IFERROR(D14/D5,0)</f>
        <v/>
      </c>
      <c r="E15" s="17">
        <f>IFERROR(E14/E5,0)</f>
        <v/>
      </c>
      <c r="F15" s="17">
        <f>IFERROR(F14/F5,0)</f>
        <v/>
      </c>
      <c r="G15" s="17">
        <f>IFERROR(G14/G5,0)</f>
        <v/>
      </c>
      <c r="H15" s="17">
        <f>IFERROR(H14/H5,0)</f>
        <v/>
      </c>
      <c r="I15" s="17">
        <f>IFERROR(I14/I5,0)</f>
        <v/>
      </c>
      <c r="J15" s="17">
        <f>IFERROR(J14/J5,0)</f>
        <v/>
      </c>
      <c r="K15" s="17">
        <f>IFERROR(K14/K5,0)</f>
        <v/>
      </c>
      <c r="L15" s="17">
        <f>IFERROR(L14/L5,0)</f>
        <v/>
      </c>
      <c r="M15" s="17">
        <f>IFERROR(M14/M5,0)</f>
        <v/>
      </c>
      <c r="N15" s="17">
        <f>IFERROR(N14/N5,0)</f>
        <v/>
      </c>
      <c r="O15" s="17">
        <f>IFERROR(O14/O5,0)</f>
        <v/>
      </c>
    </row>
    <row r="16">
      <c r="B16" s="6" t="inlineStr">
        <is>
          <t>Interest Expense</t>
        </is>
      </c>
      <c r="F16" s="5">
        <f>Debt!F33</f>
        <v/>
      </c>
      <c r="G16" s="5">
        <f>Debt!G33</f>
        <v/>
      </c>
      <c r="H16" s="5">
        <f>Debt!H33</f>
        <v/>
      </c>
      <c r="I16" s="5">
        <f>Debt!I33</f>
        <v/>
      </c>
      <c r="J16" s="5">
        <f>Debt!J33</f>
        <v/>
      </c>
      <c r="K16" s="5">
        <f>Debt!K33</f>
        <v/>
      </c>
      <c r="L16" s="5">
        <f>Debt!L33</f>
        <v/>
      </c>
      <c r="M16" s="5">
        <f>Debt!M33</f>
        <v/>
      </c>
      <c r="N16" s="5">
        <f>Debt!N33</f>
        <v/>
      </c>
      <c r="O16" s="5">
        <f>Debt!O33</f>
        <v/>
      </c>
    </row>
    <row r="17">
      <c r="B17" s="6" t="inlineStr">
        <is>
          <t>Interest Income</t>
        </is>
      </c>
      <c r="F17" s="12" t="n">
        <v>0</v>
      </c>
      <c r="G17" s="13">
        <f>F17</f>
        <v/>
      </c>
      <c r="H17" s="13">
        <f>G17</f>
        <v/>
      </c>
      <c r="I17" s="13">
        <f>H17</f>
        <v/>
      </c>
      <c r="J17" s="13">
        <f>I17</f>
        <v/>
      </c>
      <c r="K17" s="13">
        <f>J17</f>
        <v/>
      </c>
      <c r="L17" s="13">
        <f>K17</f>
        <v/>
      </c>
      <c r="M17" s="13">
        <f>L17</f>
        <v/>
      </c>
      <c r="N17" s="13">
        <f>M17</f>
        <v/>
      </c>
      <c r="O17" s="13">
        <f>N17</f>
        <v/>
      </c>
    </row>
    <row r="18">
      <c r="B18" s="6" t="inlineStr">
        <is>
          <t>Pre-tax Income</t>
        </is>
      </c>
      <c r="F18" s="18">
        <f>F14-F16+F17</f>
        <v/>
      </c>
      <c r="G18" s="18">
        <f>G14-G16+G17</f>
        <v/>
      </c>
      <c r="H18" s="18">
        <f>H14-H16+H17</f>
        <v/>
      </c>
      <c r="I18" s="18">
        <f>I14-I16+I17</f>
        <v/>
      </c>
      <c r="J18" s="18">
        <f>J14-J16+J17</f>
        <v/>
      </c>
      <c r="K18" s="18">
        <f>K14-K16+K17</f>
        <v/>
      </c>
      <c r="L18" s="18">
        <f>L14-L16+L17</f>
        <v/>
      </c>
      <c r="M18" s="18">
        <f>M14-M16+M17</f>
        <v/>
      </c>
      <c r="N18" s="18">
        <f>N14-N16+N17</f>
        <v/>
      </c>
      <c r="O18" s="18">
        <f>O14-O16+O17</f>
        <v/>
      </c>
    </row>
    <row r="19">
      <c r="B19" s="6" t="inlineStr">
        <is>
          <t>Taxes</t>
        </is>
      </c>
      <c r="F19" s="13">
        <f>F18*inp_tax_rate</f>
        <v/>
      </c>
      <c r="G19" s="13">
        <f>G18*inp_tax_rate</f>
        <v/>
      </c>
      <c r="H19" s="13">
        <f>H18*inp_tax_rate</f>
        <v/>
      </c>
      <c r="I19" s="13">
        <f>I18*inp_tax_rate</f>
        <v/>
      </c>
      <c r="J19" s="13">
        <f>J18*inp_tax_rate</f>
        <v/>
      </c>
      <c r="K19" s="13">
        <f>K18*inp_tax_rate</f>
        <v/>
      </c>
      <c r="L19" s="13">
        <f>L18*inp_tax_rate</f>
        <v/>
      </c>
      <c r="M19" s="13">
        <f>M18*inp_tax_rate</f>
        <v/>
      </c>
      <c r="N19" s="13">
        <f>N18*inp_tax_rate</f>
        <v/>
      </c>
      <c r="O19" s="13">
        <f>O18*inp_tax_rate</f>
        <v/>
      </c>
    </row>
    <row r="20">
      <c r="B20" s="6" t="inlineStr">
        <is>
          <t>Effective Tax Rate %</t>
        </is>
      </c>
      <c r="F20" s="17">
        <f>IFERROR(F19/F18,0)</f>
        <v/>
      </c>
      <c r="G20" s="17">
        <f>IFERROR(G19/G18,0)</f>
        <v/>
      </c>
      <c r="H20" s="17">
        <f>IFERROR(H19/H18,0)</f>
        <v/>
      </c>
      <c r="I20" s="17">
        <f>IFERROR(I19/I18,0)</f>
        <v/>
      </c>
      <c r="J20" s="17">
        <f>IFERROR(J19/J18,0)</f>
        <v/>
      </c>
      <c r="K20" s="17">
        <f>IFERROR(K19/K18,0)</f>
        <v/>
      </c>
      <c r="L20" s="17">
        <f>IFERROR(L19/L18,0)</f>
        <v/>
      </c>
      <c r="M20" s="17">
        <f>IFERROR(M19/M18,0)</f>
        <v/>
      </c>
      <c r="N20" s="17">
        <f>IFERROR(N19/N18,0)</f>
        <v/>
      </c>
      <c r="O20" s="17">
        <f>IFERROR(O19/O18,0)</f>
        <v/>
      </c>
    </row>
    <row r="21">
      <c r="B21" s="6" t="inlineStr">
        <is>
          <t>Net Income</t>
        </is>
      </c>
      <c r="F21" s="18">
        <f>F18-F19</f>
        <v/>
      </c>
      <c r="G21" s="18">
        <f>G18-G19</f>
        <v/>
      </c>
      <c r="H21" s="18">
        <f>H18-H19</f>
        <v/>
      </c>
      <c r="I21" s="18">
        <f>I18-I19</f>
        <v/>
      </c>
      <c r="J21" s="18">
        <f>J18-J19</f>
        <v/>
      </c>
      <c r="K21" s="18">
        <f>K18-K19</f>
        <v/>
      </c>
      <c r="L21" s="18">
        <f>L18-L19</f>
        <v/>
      </c>
      <c r="M21" s="18">
        <f>M18-M19</f>
        <v/>
      </c>
      <c r="N21" s="18">
        <f>N18-N19</f>
        <v/>
      </c>
      <c r="O21" s="18">
        <f>O18-O19</f>
        <v/>
      </c>
    </row>
    <row r="22">
      <c r="B22" s="6" t="inlineStr">
        <is>
          <t>Diluted Shares Outstanding</t>
        </is>
      </c>
      <c r="C22" s="5">
        <f>inp_diluted_shares</f>
        <v/>
      </c>
      <c r="D22" s="5">
        <f>inp_diluted_shares</f>
        <v/>
      </c>
      <c r="E22" s="5">
        <f>inp_diluted_shares</f>
        <v/>
      </c>
      <c r="F22" s="5">
        <f>inp_diluted_shares</f>
        <v/>
      </c>
      <c r="G22" s="5">
        <f>inp_diluted_shares</f>
        <v/>
      </c>
      <c r="H22" s="5">
        <f>inp_diluted_shares</f>
        <v/>
      </c>
      <c r="I22" s="5">
        <f>inp_diluted_shares</f>
        <v/>
      </c>
      <c r="J22" s="5">
        <f>inp_diluted_shares</f>
        <v/>
      </c>
      <c r="K22" s="5">
        <f>inp_diluted_shares</f>
        <v/>
      </c>
      <c r="L22" s="5">
        <f>inp_diluted_shares</f>
        <v/>
      </c>
      <c r="M22" s="5">
        <f>inp_diluted_shares</f>
        <v/>
      </c>
      <c r="N22" s="5">
        <f>inp_diluted_shares</f>
        <v/>
      </c>
      <c r="O22" s="5">
        <f>inp_diluted_shares</f>
        <v/>
      </c>
    </row>
    <row r="23">
      <c r="B23" s="6" t="inlineStr">
        <is>
          <t>Diluted EPS</t>
        </is>
      </c>
      <c r="C23" s="19">
        <f>IFERROR(C21/C22,0)</f>
        <v/>
      </c>
      <c r="D23" s="19">
        <f>IFERROR(D21/D22,0)</f>
        <v/>
      </c>
      <c r="E23" s="19">
        <f>IFERROR(E21/E22,0)</f>
        <v/>
      </c>
      <c r="F23" s="19">
        <f>IFERROR(F21/F22,0)</f>
        <v/>
      </c>
      <c r="G23" s="19">
        <f>IFERROR(G21/G22,0)</f>
        <v/>
      </c>
      <c r="H23" s="19">
        <f>IFERROR(H21/H22,0)</f>
        <v/>
      </c>
      <c r="I23" s="19">
        <f>IFERROR(I21/I22,0)</f>
        <v/>
      </c>
      <c r="J23" s="19">
        <f>IFERROR(J21/J22,0)</f>
        <v/>
      </c>
      <c r="K23" s="19">
        <f>IFERROR(K21/K22,0)</f>
        <v/>
      </c>
      <c r="L23" s="19">
        <f>IFERROR(L21/L22,0)</f>
        <v/>
      </c>
      <c r="M23" s="19">
        <f>IFERROR(M21/M22,0)</f>
        <v/>
      </c>
      <c r="N23" s="19">
        <f>IFERROR(N21/N22,0)</f>
        <v/>
      </c>
      <c r="O23" s="19">
        <f>IFERROR(O21/O22,0)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O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71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2">
      <c r="B2" s="1">
        <f>inp_ticker &amp; " | Cash Flow"</f>
        <v/>
      </c>
    </row>
    <row r="4">
      <c r="C4" s="14" t="inlineStr">
        <is>
          <t>2023A</t>
        </is>
      </c>
      <c r="D4" s="14" t="inlineStr">
        <is>
          <t>2024A</t>
        </is>
      </c>
      <c r="E4" s="14" t="inlineStr">
        <is>
          <t>2025A</t>
        </is>
      </c>
      <c r="F4" s="14" t="inlineStr">
        <is>
          <t>2026E</t>
        </is>
      </c>
      <c r="G4" s="14" t="inlineStr">
        <is>
          <t>2027E</t>
        </is>
      </c>
      <c r="H4" s="14" t="inlineStr">
        <is>
          <t>2028E</t>
        </is>
      </c>
      <c r="I4" s="14" t="inlineStr">
        <is>
          <t>2029E</t>
        </is>
      </c>
      <c r="J4" s="14" t="inlineStr">
        <is>
          <t>2030E</t>
        </is>
      </c>
      <c r="K4" s="14" t="inlineStr">
        <is>
          <t>2031E</t>
        </is>
      </c>
      <c r="L4" s="14" t="inlineStr">
        <is>
          <t>2032E</t>
        </is>
      </c>
      <c r="M4" s="14" t="inlineStr">
        <is>
          <t>2033E</t>
        </is>
      </c>
      <c r="N4" s="14" t="inlineStr">
        <is>
          <t>2034E</t>
        </is>
      </c>
      <c r="O4" s="14" t="inlineStr">
        <is>
          <t>2035E</t>
        </is>
      </c>
    </row>
    <row r="5">
      <c r="B5" s="6" t="inlineStr">
        <is>
          <t>EBITDA</t>
        </is>
      </c>
      <c r="C5" s="5">
        <f>IS!C11</f>
        <v/>
      </c>
      <c r="D5" s="5">
        <f>IS!D11</f>
        <v/>
      </c>
      <c r="E5" s="5">
        <f>IS!E11</f>
        <v/>
      </c>
      <c r="F5" s="5">
        <f>IS!F11</f>
        <v/>
      </c>
      <c r="G5" s="5">
        <f>IS!G11</f>
        <v/>
      </c>
      <c r="H5" s="5">
        <f>IS!H11</f>
        <v/>
      </c>
      <c r="I5" s="5">
        <f>IS!I11</f>
        <v/>
      </c>
      <c r="J5" s="5">
        <f>IS!J11</f>
        <v/>
      </c>
      <c r="K5" s="5">
        <f>IS!K11</f>
        <v/>
      </c>
      <c r="L5" s="5">
        <f>IS!L11</f>
        <v/>
      </c>
      <c r="M5" s="5">
        <f>IS!M11</f>
        <v/>
      </c>
      <c r="N5" s="5">
        <f>IS!N11</f>
        <v/>
      </c>
      <c r="O5" s="5">
        <f>IS!O11</f>
        <v/>
      </c>
    </row>
    <row r="6">
      <c r="B6" s="6" t="inlineStr">
        <is>
          <t>(Less) Cash Taxes</t>
        </is>
      </c>
      <c r="F6" s="5">
        <f>-IS!F19</f>
        <v/>
      </c>
      <c r="G6" s="5">
        <f>-IS!G19</f>
        <v/>
      </c>
      <c r="H6" s="5">
        <f>-IS!H19</f>
        <v/>
      </c>
      <c r="I6" s="5">
        <f>-IS!I19</f>
        <v/>
      </c>
      <c r="J6" s="5">
        <f>-IS!J19</f>
        <v/>
      </c>
      <c r="K6" s="5">
        <f>-IS!K19</f>
        <v/>
      </c>
      <c r="L6" s="5">
        <f>-IS!L19</f>
        <v/>
      </c>
      <c r="M6" s="5">
        <f>-IS!M19</f>
        <v/>
      </c>
      <c r="N6" s="5">
        <f>-IS!N19</f>
        <v/>
      </c>
      <c r="O6" s="5">
        <f>-IS!O19</f>
        <v/>
      </c>
    </row>
    <row r="7">
      <c r="B7" s="6" t="inlineStr">
        <is>
          <t>(Less) Cash Interest</t>
        </is>
      </c>
      <c r="F7" s="5">
        <f>-IS!F16</f>
        <v/>
      </c>
      <c r="G7" s="5">
        <f>-IS!G16</f>
        <v/>
      </c>
      <c r="H7" s="5">
        <f>-IS!H16</f>
        <v/>
      </c>
      <c r="I7" s="5">
        <f>-IS!I16</f>
        <v/>
      </c>
      <c r="J7" s="5">
        <f>-IS!J16</f>
        <v/>
      </c>
      <c r="K7" s="5">
        <f>-IS!K16</f>
        <v/>
      </c>
      <c r="L7" s="5">
        <f>-IS!L16</f>
        <v/>
      </c>
      <c r="M7" s="5">
        <f>-IS!M16</f>
        <v/>
      </c>
      <c r="N7" s="5">
        <f>-IS!N16</f>
        <v/>
      </c>
      <c r="O7" s="5">
        <f>-IS!O16</f>
        <v/>
      </c>
    </row>
    <row r="8">
      <c r="B8" s="6" t="inlineStr">
        <is>
          <t>(Less) CapEx</t>
        </is>
      </c>
      <c r="C8" s="5">
        <f>-_CapIQ_Data!C38</f>
        <v/>
      </c>
      <c r="D8" s="5">
        <f>-_CapIQ_Data!D38</f>
        <v/>
      </c>
      <c r="E8" s="5">
        <f>-_CapIQ_Data!E38</f>
        <v/>
      </c>
      <c r="F8" s="13">
        <f>-IS!F5*Inputs!F$34</f>
        <v/>
      </c>
      <c r="G8" s="13">
        <f>-IS!G5*Inputs!G$34</f>
        <v/>
      </c>
      <c r="H8" s="13">
        <f>-IS!H5*Inputs!H$34</f>
        <v/>
      </c>
      <c r="I8" s="13">
        <f>-IS!I5*Inputs!I$34</f>
        <v/>
      </c>
      <c r="J8" s="13">
        <f>-IS!J5*Inputs!J$34</f>
        <v/>
      </c>
      <c r="K8" s="13">
        <f>-IS!K5*Inputs!K$34</f>
        <v/>
      </c>
      <c r="L8" s="13">
        <f>-IS!L5*Inputs!L$34</f>
        <v/>
      </c>
      <c r="M8" s="13">
        <f>-IS!M5*Inputs!M$34</f>
        <v/>
      </c>
      <c r="N8" s="13">
        <f>-IS!N5*Inputs!N$34</f>
        <v/>
      </c>
      <c r="O8" s="13">
        <f>-IS!O5*Inputs!O$34</f>
        <v/>
      </c>
    </row>
    <row r="9">
      <c r="B9" s="6" t="inlineStr">
        <is>
          <t>Levered Free Cash Flow</t>
        </is>
      </c>
      <c r="C9" s="18">
        <f>SUM(C5:C8)</f>
        <v/>
      </c>
      <c r="D9" s="18">
        <f>SUM(D5:D8)</f>
        <v/>
      </c>
      <c r="E9" s="18">
        <f>SUM(E5:E8)</f>
        <v/>
      </c>
      <c r="F9" s="18">
        <f>SUM(F5:F8)</f>
        <v/>
      </c>
      <c r="G9" s="18">
        <f>SUM(G5:G8)</f>
        <v/>
      </c>
      <c r="H9" s="18">
        <f>SUM(H5:H8)</f>
        <v/>
      </c>
      <c r="I9" s="18">
        <f>SUM(I5:I8)</f>
        <v/>
      </c>
      <c r="J9" s="18">
        <f>SUM(J5:J8)</f>
        <v/>
      </c>
      <c r="K9" s="18">
        <f>SUM(K5:K8)</f>
        <v/>
      </c>
      <c r="L9" s="18">
        <f>SUM(L5:L8)</f>
        <v/>
      </c>
      <c r="M9" s="18">
        <f>SUM(M5:M8)</f>
        <v/>
      </c>
      <c r="N9" s="18">
        <f>SUM(N5:N8)</f>
        <v/>
      </c>
      <c r="O9" s="18">
        <f>SUM(O5:O8)</f>
        <v/>
      </c>
    </row>
    <row r="10">
      <c r="B10" s="6" t="inlineStr">
        <is>
          <t>(Less) Debt Amortization</t>
        </is>
      </c>
      <c r="F10" s="5">
        <f>-(Debt!F34+Debt!F35)</f>
        <v/>
      </c>
      <c r="G10" s="5">
        <f>-(Debt!G34+Debt!G35)</f>
        <v/>
      </c>
      <c r="H10" s="5">
        <f>-(Debt!H34+Debt!H35)</f>
        <v/>
      </c>
      <c r="I10" s="5">
        <f>-(Debt!I34+Debt!I35)</f>
        <v/>
      </c>
      <c r="J10" s="5">
        <f>-(Debt!J34+Debt!J35)</f>
        <v/>
      </c>
      <c r="K10" s="5">
        <f>-(Debt!K34+Debt!K35)</f>
        <v/>
      </c>
      <c r="L10" s="5">
        <f>-(Debt!L34+Debt!L35)</f>
        <v/>
      </c>
      <c r="M10" s="5">
        <f>-(Debt!M34+Debt!M35)</f>
        <v/>
      </c>
      <c r="N10" s="5">
        <f>-(Debt!N34+Debt!N35)</f>
        <v/>
      </c>
      <c r="O10" s="5">
        <f>-(Debt!O34+Debt!O35)</f>
        <v/>
      </c>
    </row>
    <row r="11">
      <c r="B11" s="6" t="inlineStr">
        <is>
          <t>(Less) Dividends</t>
        </is>
      </c>
      <c r="C11" s="12" t="n">
        <v>0</v>
      </c>
      <c r="D11" s="12" t="n">
        <v>0</v>
      </c>
      <c r="E11" s="12" t="n">
        <v>0</v>
      </c>
      <c r="F11" s="13">
        <f>-inp_annual_dps*((1+inp_dps_growth)^0)*IS!F22</f>
        <v/>
      </c>
      <c r="G11" s="13">
        <f>-inp_annual_dps*((1+inp_dps_growth)^1)*IS!G22</f>
        <v/>
      </c>
      <c r="H11" s="13">
        <f>-inp_annual_dps*((1+inp_dps_growth)^2)*IS!H22</f>
        <v/>
      </c>
      <c r="I11" s="13">
        <f>-inp_annual_dps*((1+inp_dps_growth)^3)*IS!I22</f>
        <v/>
      </c>
      <c r="J11" s="13">
        <f>-inp_annual_dps*((1+inp_dps_growth)^4)*IS!J22</f>
        <v/>
      </c>
      <c r="K11" s="13">
        <f>-inp_annual_dps*((1+inp_dps_growth)^5)*IS!K22</f>
        <v/>
      </c>
      <c r="L11" s="13">
        <f>-inp_annual_dps*((1+inp_dps_growth)^6)*IS!L22</f>
        <v/>
      </c>
      <c r="M11" s="13">
        <f>-inp_annual_dps*((1+inp_dps_growth)^7)*IS!M22</f>
        <v/>
      </c>
      <c r="N11" s="13">
        <f>-inp_annual_dps*((1+inp_dps_growth)^8)*IS!N22</f>
        <v/>
      </c>
      <c r="O11" s="13">
        <f>-inp_annual_dps*((1+inp_dps_growth)^9)*IS!O22</f>
        <v/>
      </c>
    </row>
    <row r="12">
      <c r="B12" s="6" t="inlineStr">
        <is>
          <t>Net Change in Cash</t>
        </is>
      </c>
      <c r="C12" s="18">
        <f>C9+C10+C11</f>
        <v/>
      </c>
      <c r="D12" s="18">
        <f>D9+D10+D11</f>
        <v/>
      </c>
      <c r="E12" s="18">
        <f>E9+E10+E11</f>
        <v/>
      </c>
      <c r="F12" s="18">
        <f>F9+F10+F11</f>
        <v/>
      </c>
      <c r="G12" s="18">
        <f>G9+G10+G11</f>
        <v/>
      </c>
      <c r="H12" s="18">
        <f>H9+H10+H11</f>
        <v/>
      </c>
      <c r="I12" s="18">
        <f>I9+I10+I11</f>
        <v/>
      </c>
      <c r="J12" s="18">
        <f>J9+J10+J11</f>
        <v/>
      </c>
      <c r="K12" s="18">
        <f>K9+K10+K11</f>
        <v/>
      </c>
      <c r="L12" s="18">
        <f>L9+L10+L11</f>
        <v/>
      </c>
      <c r="M12" s="18">
        <f>M9+M10+M11</f>
        <v/>
      </c>
      <c r="N12" s="18">
        <f>N9+N10+N11</f>
        <v/>
      </c>
      <c r="O12" s="18">
        <f>O9+O10+O11</f>
        <v/>
      </c>
    </row>
    <row r="13">
      <c r="B13" s="6" t="inlineStr">
        <is>
          <t>Beginning Cash</t>
        </is>
      </c>
      <c r="C13" s="12" t="n">
        <v>0</v>
      </c>
      <c r="D13" s="13">
        <f>C14</f>
        <v/>
      </c>
      <c r="E13" s="13">
        <f>D14</f>
        <v/>
      </c>
      <c r="F13" s="13">
        <f>E14</f>
        <v/>
      </c>
      <c r="G13" s="13">
        <f>F14</f>
        <v/>
      </c>
      <c r="H13" s="13">
        <f>G14</f>
        <v/>
      </c>
      <c r="I13" s="13">
        <f>H14</f>
        <v/>
      </c>
      <c r="J13" s="13">
        <f>I14</f>
        <v/>
      </c>
      <c r="K13" s="13">
        <f>J14</f>
        <v/>
      </c>
      <c r="L13" s="13">
        <f>K14</f>
        <v/>
      </c>
      <c r="M13" s="13">
        <f>L14</f>
        <v/>
      </c>
      <c r="N13" s="13">
        <f>M14</f>
        <v/>
      </c>
      <c r="O13" s="13">
        <f>N14</f>
        <v/>
      </c>
    </row>
    <row r="14">
      <c r="B14" s="6" t="inlineStr">
        <is>
          <t>Ending Cash</t>
        </is>
      </c>
      <c r="C14" s="18">
        <f>C13+C12</f>
        <v/>
      </c>
      <c r="D14" s="18">
        <f>D13+D12</f>
        <v/>
      </c>
      <c r="E14" s="18">
        <f>E13+E12</f>
        <v/>
      </c>
      <c r="F14" s="18">
        <f>F13+F12</f>
        <v/>
      </c>
      <c r="G14" s="18">
        <f>G13+G12</f>
        <v/>
      </c>
      <c r="H14" s="18">
        <f>H13+H12</f>
        <v/>
      </c>
      <c r="I14" s="18">
        <f>I13+I12</f>
        <v/>
      </c>
      <c r="J14" s="18">
        <f>J13+J12</f>
        <v/>
      </c>
      <c r="K14" s="18">
        <f>K13+K12</f>
        <v/>
      </c>
      <c r="L14" s="18">
        <f>L13+L12</f>
        <v/>
      </c>
      <c r="M14" s="18">
        <f>M13+M12</f>
        <v/>
      </c>
      <c r="N14" s="18">
        <f>N13+N12</f>
        <v/>
      </c>
      <c r="O14" s="18">
        <f>O13+O12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O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71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2">
      <c r="B2" s="1">
        <f>inp_ticker &amp; " | Debt Schedule"</f>
        <v/>
      </c>
    </row>
    <row r="4">
      <c r="C4" s="14" t="inlineStr">
        <is>
          <t>2023A</t>
        </is>
      </c>
      <c r="D4" s="14" t="inlineStr">
        <is>
          <t>2024A</t>
        </is>
      </c>
      <c r="E4" s="14" t="inlineStr">
        <is>
          <t>2025A</t>
        </is>
      </c>
      <c r="F4" s="14" t="inlineStr">
        <is>
          <t>2026E</t>
        </is>
      </c>
      <c r="G4" s="14" t="inlineStr">
        <is>
          <t>2027E</t>
        </is>
      </c>
      <c r="H4" s="14" t="inlineStr">
        <is>
          <t>2028E</t>
        </is>
      </c>
      <c r="I4" s="14" t="inlineStr">
        <is>
          <t>2029E</t>
        </is>
      </c>
      <c r="J4" s="14" t="inlineStr">
        <is>
          <t>2030E</t>
        </is>
      </c>
      <c r="K4" s="14" t="inlineStr">
        <is>
          <t>2031E</t>
        </is>
      </c>
      <c r="L4" s="14" t="inlineStr">
        <is>
          <t>2032E</t>
        </is>
      </c>
      <c r="M4" s="14" t="inlineStr">
        <is>
          <t>2033E</t>
        </is>
      </c>
      <c r="N4" s="14" t="inlineStr">
        <is>
          <t>2034E</t>
        </is>
      </c>
      <c r="O4" s="14" t="inlineStr">
        <is>
          <t>2035E</t>
        </is>
      </c>
    </row>
    <row r="5">
      <c r="B5" s="1" t="inlineStr">
        <is>
          <t>Revolver</t>
        </is>
      </c>
    </row>
    <row r="6">
      <c r="B6" s="6" t="inlineStr">
        <is>
          <t>Beginning Balance</t>
        </is>
      </c>
      <c r="C6" s="12" t="n">
        <v>0</v>
      </c>
      <c r="D6" s="13">
        <f>C9</f>
        <v/>
      </c>
      <c r="E6" s="13">
        <f>D9</f>
        <v/>
      </c>
      <c r="F6" s="13">
        <f>E9</f>
        <v/>
      </c>
      <c r="G6" s="13">
        <f>F9</f>
        <v/>
      </c>
      <c r="H6" s="13">
        <f>G9</f>
        <v/>
      </c>
      <c r="I6" s="13">
        <f>H9</f>
        <v/>
      </c>
      <c r="J6" s="13">
        <f>I9</f>
        <v/>
      </c>
      <c r="K6" s="13">
        <f>J9</f>
        <v/>
      </c>
      <c r="L6" s="13">
        <f>K9</f>
        <v/>
      </c>
      <c r="M6" s="13">
        <f>L9</f>
        <v/>
      </c>
      <c r="N6" s="13">
        <f>M9</f>
        <v/>
      </c>
      <c r="O6" s="13">
        <f>N9</f>
        <v/>
      </c>
    </row>
    <row r="7">
      <c r="B7" s="6" t="inlineStr">
        <is>
          <t>Draws</t>
        </is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2" t="n">
        <v>0</v>
      </c>
    </row>
    <row r="8">
      <c r="B8" s="6" t="inlineStr">
        <is>
          <t>Repayments</t>
        </is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</row>
    <row r="9">
      <c r="B9" s="6" t="inlineStr">
        <is>
          <t>Ending Balance</t>
        </is>
      </c>
      <c r="C9" s="18">
        <f>C6+C7-C8</f>
        <v/>
      </c>
      <c r="D9" s="18">
        <f>D6+D7-D8</f>
        <v/>
      </c>
      <c r="E9" s="18">
        <f>E6+E7-E8</f>
        <v/>
      </c>
      <c r="F9" s="18">
        <f>F6+F7-F8</f>
        <v/>
      </c>
      <c r="G9" s="18">
        <f>G6+G7-G8</f>
        <v/>
      </c>
      <c r="H9" s="18">
        <f>H6+H7-H8</f>
        <v/>
      </c>
      <c r="I9" s="18">
        <f>I6+I7-I8</f>
        <v/>
      </c>
      <c r="J9" s="18">
        <f>J6+J7-J8</f>
        <v/>
      </c>
      <c r="K9" s="18">
        <f>K6+K7-K8</f>
        <v/>
      </c>
      <c r="L9" s="18">
        <f>L6+L7-L8</f>
        <v/>
      </c>
      <c r="M9" s="18">
        <f>M6+M7-M8</f>
        <v/>
      </c>
      <c r="N9" s="18">
        <f>N6+N7-N8</f>
        <v/>
      </c>
      <c r="O9" s="18">
        <f>O6+O7-O8</f>
        <v/>
      </c>
    </row>
    <row r="10">
      <c r="B10" s="6" t="inlineStr">
        <is>
          <t>Average Balance</t>
        </is>
      </c>
      <c r="C10" s="13">
        <f>(C6+C9)/2</f>
        <v/>
      </c>
      <c r="D10" s="13">
        <f>(D6+D9)/2</f>
        <v/>
      </c>
      <c r="E10" s="13">
        <f>(E6+E9)/2</f>
        <v/>
      </c>
      <c r="F10" s="13">
        <f>(F6+F9)/2</f>
        <v/>
      </c>
      <c r="G10" s="13">
        <f>(G6+G9)/2</f>
        <v/>
      </c>
      <c r="H10" s="13">
        <f>(H6+H9)/2</f>
        <v/>
      </c>
      <c r="I10" s="13">
        <f>(I6+I9)/2</f>
        <v/>
      </c>
      <c r="J10" s="13">
        <f>(J6+J9)/2</f>
        <v/>
      </c>
      <c r="K10" s="13">
        <f>(K6+K9)/2</f>
        <v/>
      </c>
      <c r="L10" s="13">
        <f>(L6+L9)/2</f>
        <v/>
      </c>
      <c r="M10" s="13">
        <f>(M6+M9)/2</f>
        <v/>
      </c>
      <c r="N10" s="13">
        <f>(N6+N9)/2</f>
        <v/>
      </c>
      <c r="O10" s="13">
        <f>(O6+O9)/2</f>
        <v/>
      </c>
    </row>
    <row r="11">
      <c r="B11" s="6" t="inlineStr">
        <is>
          <t>Interest Rate %</t>
        </is>
      </c>
      <c r="C11" s="11" t="n">
        <v>0.06</v>
      </c>
      <c r="D11" s="11" t="n">
        <v>0.06</v>
      </c>
      <c r="E11" s="11" t="n">
        <v>0.06</v>
      </c>
      <c r="F11" s="11" t="n">
        <v>0.06</v>
      </c>
      <c r="G11" s="11" t="n">
        <v>0.06</v>
      </c>
      <c r="H11" s="11" t="n">
        <v>0.06</v>
      </c>
      <c r="I11" s="11" t="n">
        <v>0.06</v>
      </c>
      <c r="J11" s="11" t="n">
        <v>0.06</v>
      </c>
      <c r="K11" s="11" t="n">
        <v>0.06</v>
      </c>
      <c r="L11" s="11" t="n">
        <v>0.06</v>
      </c>
      <c r="M11" s="11" t="n">
        <v>0.06</v>
      </c>
      <c r="N11" s="11" t="n">
        <v>0.06</v>
      </c>
      <c r="O11" s="11" t="n">
        <v>0.06</v>
      </c>
    </row>
    <row r="12">
      <c r="B12" s="6" t="inlineStr">
        <is>
          <t>Interest Expense</t>
        </is>
      </c>
      <c r="C12" s="13">
        <f>C10*C11</f>
        <v/>
      </c>
      <c r="D12" s="13">
        <f>D10*D11</f>
        <v/>
      </c>
      <c r="E12" s="13">
        <f>E10*E11</f>
        <v/>
      </c>
      <c r="F12" s="13">
        <f>F10*F11</f>
        <v/>
      </c>
      <c r="G12" s="13">
        <f>G10*G11</f>
        <v/>
      </c>
      <c r="H12" s="13">
        <f>H10*H11</f>
        <v/>
      </c>
      <c r="I12" s="13">
        <f>I10*I11</f>
        <v/>
      </c>
      <c r="J12" s="13">
        <f>J10*J11</f>
        <v/>
      </c>
      <c r="K12" s="13">
        <f>K10*K11</f>
        <v/>
      </c>
      <c r="L12" s="13">
        <f>L10*L11</f>
        <v/>
      </c>
      <c r="M12" s="13">
        <f>M10*M11</f>
        <v/>
      </c>
      <c r="N12" s="13">
        <f>N10*N11</f>
        <v/>
      </c>
      <c r="O12" s="13">
        <f>O10*O11</f>
        <v/>
      </c>
    </row>
    <row r="14">
      <c r="B14" s="1" t="inlineStr">
        <is>
          <t>Term Loan</t>
        </is>
      </c>
    </row>
    <row r="15">
      <c r="B15" s="6" t="inlineStr">
        <is>
          <t>Beginning Balance</t>
        </is>
      </c>
      <c r="C15" s="12" t="n">
        <v>0</v>
      </c>
      <c r="D15" s="13">
        <f>C18</f>
        <v/>
      </c>
      <c r="E15" s="13">
        <f>D18</f>
        <v/>
      </c>
      <c r="F15" s="13">
        <f>E18</f>
        <v/>
      </c>
      <c r="G15" s="13">
        <f>F18</f>
        <v/>
      </c>
      <c r="H15" s="13">
        <f>G18</f>
        <v/>
      </c>
      <c r="I15" s="13">
        <f>H18</f>
        <v/>
      </c>
      <c r="J15" s="13">
        <f>I18</f>
        <v/>
      </c>
      <c r="K15" s="13">
        <f>J18</f>
        <v/>
      </c>
      <c r="L15" s="13">
        <f>K18</f>
        <v/>
      </c>
      <c r="M15" s="13">
        <f>L18</f>
        <v/>
      </c>
      <c r="N15" s="13">
        <f>M18</f>
        <v/>
      </c>
      <c r="O15" s="13">
        <f>N18</f>
        <v/>
      </c>
    </row>
    <row r="16">
      <c r="B16" s="6" t="inlineStr">
        <is>
          <t>Mandatory Amortization</t>
        </is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</row>
    <row r="17">
      <c r="B17" s="6" t="inlineStr">
        <is>
          <t>Optional Prepayment (Cash Sweep)</t>
        </is>
      </c>
      <c r="C17" s="13" t="n">
        <v>0</v>
      </c>
      <c r="D17" s="13" t="n">
        <v>0</v>
      </c>
      <c r="E17" s="13" t="n">
        <v>0</v>
      </c>
      <c r="F17" s="5">
        <f>F40</f>
        <v/>
      </c>
      <c r="G17" s="5">
        <f>G40</f>
        <v/>
      </c>
      <c r="H17" s="5">
        <f>H40</f>
        <v/>
      </c>
      <c r="I17" s="5">
        <f>I40</f>
        <v/>
      </c>
      <c r="J17" s="5">
        <f>J40</f>
        <v/>
      </c>
      <c r="K17" s="5">
        <f>K40</f>
        <v/>
      </c>
      <c r="L17" s="5">
        <f>L40</f>
        <v/>
      </c>
      <c r="M17" s="5">
        <f>M40</f>
        <v/>
      </c>
      <c r="N17" s="5">
        <f>N40</f>
        <v/>
      </c>
      <c r="O17" s="5">
        <f>O40</f>
        <v/>
      </c>
    </row>
    <row r="18">
      <c r="B18" s="6" t="inlineStr">
        <is>
          <t>Ending Balance</t>
        </is>
      </c>
      <c r="C18" s="18">
        <f>C15-C16-C17</f>
        <v/>
      </c>
      <c r="D18" s="18">
        <f>D15-D16-D17</f>
        <v/>
      </c>
      <c r="E18" s="18">
        <f>E15-E16-E17</f>
        <v/>
      </c>
      <c r="F18" s="18">
        <f>F15-F16-F17</f>
        <v/>
      </c>
      <c r="G18" s="18">
        <f>G15-G16-G17</f>
        <v/>
      </c>
      <c r="H18" s="18">
        <f>H15-H16-H17</f>
        <v/>
      </c>
      <c r="I18" s="18">
        <f>I15-I16-I17</f>
        <v/>
      </c>
      <c r="J18" s="18">
        <f>J15-J16-J17</f>
        <v/>
      </c>
      <c r="K18" s="18">
        <f>K15-K16-K17</f>
        <v/>
      </c>
      <c r="L18" s="18">
        <f>L15-L16-L17</f>
        <v/>
      </c>
      <c r="M18" s="18">
        <f>M15-M16-M17</f>
        <v/>
      </c>
      <c r="N18" s="18">
        <f>N15-N16-N17</f>
        <v/>
      </c>
      <c r="O18" s="18">
        <f>O15-O16-O17</f>
        <v/>
      </c>
    </row>
    <row r="19">
      <c r="B19" s="6" t="inlineStr">
        <is>
          <t>Average Balance</t>
        </is>
      </c>
      <c r="C19" s="13">
        <f>(C15+C18)/2</f>
        <v/>
      </c>
      <c r="D19" s="13">
        <f>(D15+D18)/2</f>
        <v/>
      </c>
      <c r="E19" s="13">
        <f>(E15+E18)/2</f>
        <v/>
      </c>
      <c r="F19" s="13">
        <f>(F15+F18)/2</f>
        <v/>
      </c>
      <c r="G19" s="13">
        <f>(G15+G18)/2</f>
        <v/>
      </c>
      <c r="H19" s="13">
        <f>(H15+H18)/2</f>
        <v/>
      </c>
      <c r="I19" s="13">
        <f>(I15+I18)/2</f>
        <v/>
      </c>
      <c r="J19" s="13">
        <f>(J15+J18)/2</f>
        <v/>
      </c>
      <c r="K19" s="13">
        <f>(K15+K18)/2</f>
        <v/>
      </c>
      <c r="L19" s="13">
        <f>(L15+L18)/2</f>
        <v/>
      </c>
      <c r="M19" s="13">
        <f>(M15+M18)/2</f>
        <v/>
      </c>
      <c r="N19" s="13">
        <f>(N15+N18)/2</f>
        <v/>
      </c>
      <c r="O19" s="13">
        <f>(O15+O18)/2</f>
        <v/>
      </c>
    </row>
    <row r="20">
      <c r="B20" s="6" t="inlineStr">
        <is>
          <t>Interest Rate %</t>
        </is>
      </c>
      <c r="C20" s="11" t="n">
        <v>0.07000000000000001</v>
      </c>
      <c r="D20" s="11" t="n">
        <v>0.07000000000000001</v>
      </c>
      <c r="E20" s="11" t="n">
        <v>0.07000000000000001</v>
      </c>
      <c r="F20" s="11" t="n">
        <v>0.07000000000000001</v>
      </c>
      <c r="G20" s="11" t="n">
        <v>0.07000000000000001</v>
      </c>
      <c r="H20" s="11" t="n">
        <v>0.07000000000000001</v>
      </c>
      <c r="I20" s="11" t="n">
        <v>0.07000000000000001</v>
      </c>
      <c r="J20" s="11" t="n">
        <v>0.07000000000000001</v>
      </c>
      <c r="K20" s="11" t="n">
        <v>0.07000000000000001</v>
      </c>
      <c r="L20" s="11" t="n">
        <v>0.07000000000000001</v>
      </c>
      <c r="M20" s="11" t="n">
        <v>0.07000000000000001</v>
      </c>
      <c r="N20" s="11" t="n">
        <v>0.07000000000000001</v>
      </c>
      <c r="O20" s="11" t="n">
        <v>0.07000000000000001</v>
      </c>
    </row>
    <row r="21">
      <c r="B21" s="6" t="inlineStr">
        <is>
          <t>Interest Expense</t>
        </is>
      </c>
      <c r="C21" s="13">
        <f>C19*C20</f>
        <v/>
      </c>
      <c r="D21" s="13">
        <f>D19*D20</f>
        <v/>
      </c>
      <c r="E21" s="13">
        <f>E19*E20</f>
        <v/>
      </c>
      <c r="F21" s="13">
        <f>F19*F20</f>
        <v/>
      </c>
      <c r="G21" s="13">
        <f>G19*G20</f>
        <v/>
      </c>
      <c r="H21" s="13">
        <f>H19*H20</f>
        <v/>
      </c>
      <c r="I21" s="13">
        <f>I19*I20</f>
        <v/>
      </c>
      <c r="J21" s="13">
        <f>J19*J20</f>
        <v/>
      </c>
      <c r="K21" s="13">
        <f>K19*K20</f>
        <v/>
      </c>
      <c r="L21" s="13">
        <f>L19*L20</f>
        <v/>
      </c>
      <c r="M21" s="13">
        <f>M19*M20</f>
        <v/>
      </c>
      <c r="N21" s="13">
        <f>N19*N20</f>
        <v/>
      </c>
      <c r="O21" s="13">
        <f>O19*O20</f>
        <v/>
      </c>
    </row>
    <row r="23">
      <c r="B23" s="1" t="inlineStr">
        <is>
          <t>Senior Notes</t>
        </is>
      </c>
    </row>
    <row r="24">
      <c r="B24" s="6" t="inlineStr">
        <is>
          <t>Beginning Balance</t>
        </is>
      </c>
      <c r="C24" s="12" t="n">
        <v>0</v>
      </c>
      <c r="D24" s="13">
        <f>C26</f>
        <v/>
      </c>
      <c r="E24" s="13">
        <f>D26</f>
        <v/>
      </c>
      <c r="F24" s="13">
        <f>E26</f>
        <v/>
      </c>
      <c r="G24" s="13">
        <f>F26</f>
        <v/>
      </c>
      <c r="H24" s="13">
        <f>G26</f>
        <v/>
      </c>
      <c r="I24" s="13">
        <f>H26</f>
        <v/>
      </c>
      <c r="J24" s="13">
        <f>I26</f>
        <v/>
      </c>
      <c r="K24" s="13">
        <f>J26</f>
        <v/>
      </c>
      <c r="L24" s="13">
        <f>K26</f>
        <v/>
      </c>
      <c r="M24" s="13">
        <f>L26</f>
        <v/>
      </c>
      <c r="N24" s="13">
        <f>M26</f>
        <v/>
      </c>
      <c r="O24" s="13">
        <f>N26</f>
        <v/>
      </c>
    </row>
    <row r="25">
      <c r="B25" s="6" t="inlineStr">
        <is>
          <t>Repayment at Maturity</t>
        </is>
      </c>
      <c r="C25" s="12" t="n">
        <v>0</v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2" t="n">
        <v>0</v>
      </c>
      <c r="N25" s="12" t="n">
        <v>0</v>
      </c>
      <c r="O25" s="12" t="n">
        <v>0</v>
      </c>
    </row>
    <row r="26">
      <c r="B26" s="6" t="inlineStr">
        <is>
          <t>Ending Balance</t>
        </is>
      </c>
      <c r="C26" s="18">
        <f>C24-C25</f>
        <v/>
      </c>
      <c r="D26" s="18">
        <f>D24-D25</f>
        <v/>
      </c>
      <c r="E26" s="18">
        <f>E24-E25</f>
        <v/>
      </c>
      <c r="F26" s="18">
        <f>F24-F25</f>
        <v/>
      </c>
      <c r="G26" s="18">
        <f>G24-G25</f>
        <v/>
      </c>
      <c r="H26" s="18">
        <f>H24-H25</f>
        <v/>
      </c>
      <c r="I26" s="18">
        <f>I24-I25</f>
        <v/>
      </c>
      <c r="J26" s="18">
        <f>J24-J25</f>
        <v/>
      </c>
      <c r="K26" s="18">
        <f>K24-K25</f>
        <v/>
      </c>
      <c r="L26" s="18">
        <f>L24-L25</f>
        <v/>
      </c>
      <c r="M26" s="18">
        <f>M24-M25</f>
        <v/>
      </c>
      <c r="N26" s="18">
        <f>N24-N25</f>
        <v/>
      </c>
      <c r="O26" s="18">
        <f>O24-O25</f>
        <v/>
      </c>
    </row>
    <row r="27">
      <c r="B27" s="6" t="inlineStr">
        <is>
          <t>Interest Rate %</t>
        </is>
      </c>
      <c r="C27" s="11" t="n">
        <v>0.05</v>
      </c>
      <c r="D27" s="11" t="n">
        <v>0.05</v>
      </c>
      <c r="E27" s="11" t="n">
        <v>0.05</v>
      </c>
      <c r="F27" s="11" t="n">
        <v>0.05</v>
      </c>
      <c r="G27" s="11" t="n">
        <v>0.05</v>
      </c>
      <c r="H27" s="11" t="n">
        <v>0.05</v>
      </c>
      <c r="I27" s="11" t="n">
        <v>0.05</v>
      </c>
      <c r="J27" s="11" t="n">
        <v>0.05</v>
      </c>
      <c r="K27" s="11" t="n">
        <v>0.05</v>
      </c>
      <c r="L27" s="11" t="n">
        <v>0.05</v>
      </c>
      <c r="M27" s="11" t="n">
        <v>0.05</v>
      </c>
      <c r="N27" s="11" t="n">
        <v>0.05</v>
      </c>
      <c r="O27" s="11" t="n">
        <v>0.05</v>
      </c>
    </row>
    <row r="28">
      <c r="B28" s="6" t="inlineStr">
        <is>
          <t>Interest Expense</t>
        </is>
      </c>
      <c r="C28" s="13">
        <f>C24*C27</f>
        <v/>
      </c>
      <c r="D28" s="13">
        <f>D24*D27</f>
        <v/>
      </c>
      <c r="E28" s="13">
        <f>E24*E27</f>
        <v/>
      </c>
      <c r="F28" s="13">
        <f>F24*F27</f>
        <v/>
      </c>
      <c r="G28" s="13">
        <f>G24*G27</f>
        <v/>
      </c>
      <c r="H28" s="13">
        <f>H24*H27</f>
        <v/>
      </c>
      <c r="I28" s="13">
        <f>I24*I27</f>
        <v/>
      </c>
      <c r="J28" s="13">
        <f>J24*J27</f>
        <v/>
      </c>
      <c r="K28" s="13">
        <f>K24*K27</f>
        <v/>
      </c>
      <c r="L28" s="13">
        <f>L24*L27</f>
        <v/>
      </c>
      <c r="M28" s="13">
        <f>M24*M27</f>
        <v/>
      </c>
      <c r="N28" s="13">
        <f>N24*N27</f>
        <v/>
      </c>
      <c r="O28" s="13">
        <f>O24*O27</f>
        <v/>
      </c>
    </row>
    <row r="30">
      <c r="B30" s="1" t="inlineStr">
        <is>
          <t>Totals</t>
        </is>
      </c>
    </row>
    <row r="31">
      <c r="B31" s="6" t="inlineStr">
        <is>
          <t>Total Beginning Debt</t>
        </is>
      </c>
      <c r="C31" s="18">
        <f>C6+C15+C24</f>
        <v/>
      </c>
      <c r="D31" s="18">
        <f>D6+D15+D24</f>
        <v/>
      </c>
      <c r="E31" s="18">
        <f>E6+E15+E24</f>
        <v/>
      </c>
      <c r="F31" s="18">
        <f>F6+F15+F24</f>
        <v/>
      </c>
      <c r="G31" s="18">
        <f>G6+G15+G24</f>
        <v/>
      </c>
      <c r="H31" s="18">
        <f>H6+H15+H24</f>
        <v/>
      </c>
      <c r="I31" s="18">
        <f>I6+I15+I24</f>
        <v/>
      </c>
      <c r="J31" s="18">
        <f>J6+J15+J24</f>
        <v/>
      </c>
      <c r="K31" s="18">
        <f>K6+K15+K24</f>
        <v/>
      </c>
      <c r="L31" s="18">
        <f>L6+L15+L24</f>
        <v/>
      </c>
      <c r="M31" s="18">
        <f>M6+M15+M24</f>
        <v/>
      </c>
      <c r="N31" s="18">
        <f>N6+N15+N24</f>
        <v/>
      </c>
      <c r="O31" s="18">
        <f>O6+O15+O24</f>
        <v/>
      </c>
    </row>
    <row r="32">
      <c r="B32" s="6" t="inlineStr">
        <is>
          <t>Total Ending Debt</t>
        </is>
      </c>
      <c r="C32" s="18">
        <f>C9+C18+C26</f>
        <v/>
      </c>
      <c r="D32" s="18">
        <f>D9+D18+D26</f>
        <v/>
      </c>
      <c r="E32" s="18">
        <f>E9+E18+E26</f>
        <v/>
      </c>
      <c r="F32" s="18">
        <f>F9+F18+F26</f>
        <v/>
      </c>
      <c r="G32" s="18">
        <f>G9+G18+G26</f>
        <v/>
      </c>
      <c r="H32" s="18">
        <f>H9+H18+H26</f>
        <v/>
      </c>
      <c r="I32" s="18">
        <f>I9+I18+I26</f>
        <v/>
      </c>
      <c r="J32" s="18">
        <f>J9+J18+J26</f>
        <v/>
      </c>
      <c r="K32" s="18">
        <f>K9+K18+K26</f>
        <v/>
      </c>
      <c r="L32" s="18">
        <f>L9+L18+L26</f>
        <v/>
      </c>
      <c r="M32" s="18">
        <f>M9+M18+M26</f>
        <v/>
      </c>
      <c r="N32" s="18">
        <f>N9+N18+N26</f>
        <v/>
      </c>
      <c r="O32" s="18">
        <f>O9+O18+O26</f>
        <v/>
      </c>
    </row>
    <row r="33">
      <c r="B33" s="6" t="inlineStr">
        <is>
          <t>Total Interest Expense</t>
        </is>
      </c>
      <c r="C33" s="18">
        <f>C12+C21+C28</f>
        <v/>
      </c>
      <c r="D33" s="18">
        <f>D12+D21+D28</f>
        <v/>
      </c>
      <c r="E33" s="18">
        <f>E12+E21+E28</f>
        <v/>
      </c>
      <c r="F33" s="18">
        <f>F12+F21+F28</f>
        <v/>
      </c>
      <c r="G33" s="18">
        <f>G12+G21+G28</f>
        <v/>
      </c>
      <c r="H33" s="18">
        <f>H12+H21+H28</f>
        <v/>
      </c>
      <c r="I33" s="18">
        <f>I12+I21+I28</f>
        <v/>
      </c>
      <c r="J33" s="18">
        <f>J12+J21+J28</f>
        <v/>
      </c>
      <c r="K33" s="18">
        <f>K12+K21+K28</f>
        <v/>
      </c>
      <c r="L33" s="18">
        <f>L12+L21+L28</f>
        <v/>
      </c>
      <c r="M33" s="18">
        <f>M12+M21+M28</f>
        <v/>
      </c>
      <c r="N33" s="18">
        <f>N12+N21+N28</f>
        <v/>
      </c>
      <c r="O33" s="18">
        <f>O12+O21+O28</f>
        <v/>
      </c>
    </row>
    <row r="34">
      <c r="B34" s="6" t="inlineStr">
        <is>
          <t>Total Mandatory Amortization</t>
        </is>
      </c>
      <c r="C34" s="13">
        <f>C16</f>
        <v/>
      </c>
      <c r="D34" s="13">
        <f>D16</f>
        <v/>
      </c>
      <c r="E34" s="13">
        <f>E16</f>
        <v/>
      </c>
      <c r="F34" s="13">
        <f>F16</f>
        <v/>
      </c>
      <c r="G34" s="13">
        <f>G16</f>
        <v/>
      </c>
      <c r="H34" s="13">
        <f>H16</f>
        <v/>
      </c>
      <c r="I34" s="13">
        <f>I16</f>
        <v/>
      </c>
      <c r="J34" s="13">
        <f>J16</f>
        <v/>
      </c>
      <c r="K34" s="13">
        <f>K16</f>
        <v/>
      </c>
      <c r="L34" s="13">
        <f>L16</f>
        <v/>
      </c>
      <c r="M34" s="13">
        <f>M16</f>
        <v/>
      </c>
      <c r="N34" s="13">
        <f>N16</f>
        <v/>
      </c>
      <c r="O34" s="13">
        <f>O16</f>
        <v/>
      </c>
    </row>
    <row r="35">
      <c r="B35" s="6" t="inlineStr">
        <is>
          <t>Total Optional Prepayment</t>
        </is>
      </c>
      <c r="C35" s="13">
        <f>C17</f>
        <v/>
      </c>
      <c r="D35" s="13">
        <f>D17</f>
        <v/>
      </c>
      <c r="E35" s="13">
        <f>E17</f>
        <v/>
      </c>
      <c r="F35" s="13">
        <f>F17</f>
        <v/>
      </c>
      <c r="G35" s="13">
        <f>G17</f>
        <v/>
      </c>
      <c r="H35" s="13">
        <f>H17</f>
        <v/>
      </c>
      <c r="I35" s="13">
        <f>I17</f>
        <v/>
      </c>
      <c r="J35" s="13">
        <f>J17</f>
        <v/>
      </c>
      <c r="K35" s="13">
        <f>K17</f>
        <v/>
      </c>
      <c r="L35" s="13">
        <f>L17</f>
        <v/>
      </c>
      <c r="M35" s="13">
        <f>M17</f>
        <v/>
      </c>
      <c r="N35" s="13">
        <f>N17</f>
        <v/>
      </c>
      <c r="O35" s="13">
        <f>O17</f>
        <v/>
      </c>
    </row>
    <row r="37">
      <c r="B37" s="1" t="inlineStr">
        <is>
          <t>Cash Sweep</t>
        </is>
      </c>
    </row>
    <row r="38">
      <c r="B38" s="6" t="inlineStr">
        <is>
          <t>Available Cash for Sweep</t>
        </is>
      </c>
      <c r="C38" s="13" t="n">
        <v>0</v>
      </c>
      <c r="D38" s="13" t="n">
        <v>0</v>
      </c>
      <c r="E38" s="13" t="n">
        <v>0</v>
      </c>
      <c r="F38" s="13">
        <f>MAX(0,CF!F14-inp_min_cash)</f>
        <v/>
      </c>
      <c r="G38" s="13">
        <f>MAX(0,CF!G14-inp_min_cash)</f>
        <v/>
      </c>
      <c r="H38" s="13">
        <f>MAX(0,CF!H14-inp_min_cash)</f>
        <v/>
      </c>
      <c r="I38" s="13">
        <f>MAX(0,CF!I14-inp_min_cash)</f>
        <v/>
      </c>
      <c r="J38" s="13">
        <f>MAX(0,CF!J14-inp_min_cash)</f>
        <v/>
      </c>
      <c r="K38" s="13">
        <f>MAX(0,CF!K14-inp_min_cash)</f>
        <v/>
      </c>
      <c r="L38" s="13">
        <f>MAX(0,CF!L14-inp_min_cash)</f>
        <v/>
      </c>
      <c r="M38" s="13">
        <f>MAX(0,CF!M14-inp_min_cash)</f>
        <v/>
      </c>
      <c r="N38" s="13">
        <f>MAX(0,CF!N14-inp_min_cash)</f>
        <v/>
      </c>
      <c r="O38" s="13">
        <f>MAX(0,CF!O14-inp_min_cash)</f>
        <v/>
      </c>
    </row>
    <row r="39">
      <c r="B39" s="6" t="inlineStr">
        <is>
          <t>Cash Sweep Applied</t>
        </is>
      </c>
      <c r="C39" s="13" t="n">
        <v>0</v>
      </c>
      <c r="D39" s="13" t="n">
        <v>0</v>
      </c>
      <c r="E39" s="13" t="n">
        <v>0</v>
      </c>
      <c r="F39" s="13">
        <f>F38*inp_cash_sweep_pct</f>
        <v/>
      </c>
      <c r="G39" s="13">
        <f>G38*inp_cash_sweep_pct</f>
        <v/>
      </c>
      <c r="H39" s="13">
        <f>H38*inp_cash_sweep_pct</f>
        <v/>
      </c>
      <c r="I39" s="13">
        <f>I38*inp_cash_sweep_pct</f>
        <v/>
      </c>
      <c r="J39" s="13">
        <f>J38*inp_cash_sweep_pct</f>
        <v/>
      </c>
      <c r="K39" s="13">
        <f>K38*inp_cash_sweep_pct</f>
        <v/>
      </c>
      <c r="L39" s="13">
        <f>L38*inp_cash_sweep_pct</f>
        <v/>
      </c>
      <c r="M39" s="13">
        <f>M38*inp_cash_sweep_pct</f>
        <v/>
      </c>
      <c r="N39" s="13">
        <f>N38*inp_cash_sweep_pct</f>
        <v/>
      </c>
      <c r="O39" s="13">
        <f>O38*inp_cash_sweep_pct</f>
        <v/>
      </c>
    </row>
    <row r="40">
      <c r="B40" s="6" t="inlineStr">
        <is>
          <t>Allocated to Term Loan</t>
        </is>
      </c>
      <c r="C40" s="13" t="n">
        <v>0</v>
      </c>
      <c r="D40" s="13" t="n">
        <v>0</v>
      </c>
      <c r="E40" s="13" t="n">
        <v>0</v>
      </c>
      <c r="F40" s="13">
        <f>F39</f>
        <v/>
      </c>
      <c r="G40" s="13">
        <f>G39</f>
        <v/>
      </c>
      <c r="H40" s="13">
        <f>H39</f>
        <v/>
      </c>
      <c r="I40" s="13">
        <f>I39</f>
        <v/>
      </c>
      <c r="J40" s="13">
        <f>J39</f>
        <v/>
      </c>
      <c r="K40" s="13">
        <f>K39</f>
        <v/>
      </c>
      <c r="L40" s="13">
        <f>L39</f>
        <v/>
      </c>
      <c r="M40" s="13">
        <f>M39</f>
        <v/>
      </c>
      <c r="N40" s="13">
        <f>N39</f>
        <v/>
      </c>
      <c r="O40" s="13">
        <f>O39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O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71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2">
      <c r="B2" s="1">
        <f>inp_ticker &amp; " | Valuation"</f>
        <v/>
      </c>
    </row>
    <row r="4">
      <c r="F4" s="14" t="inlineStr">
        <is>
          <t>2026E</t>
        </is>
      </c>
      <c r="G4" s="14" t="inlineStr">
        <is>
          <t>2027E</t>
        </is>
      </c>
      <c r="H4" s="14" t="inlineStr">
        <is>
          <t>2028E</t>
        </is>
      </c>
      <c r="I4" s="14" t="inlineStr">
        <is>
          <t>2029E</t>
        </is>
      </c>
      <c r="J4" s="14" t="inlineStr">
        <is>
          <t>2030E</t>
        </is>
      </c>
      <c r="K4" s="14" t="inlineStr">
        <is>
          <t>2031E</t>
        </is>
      </c>
      <c r="L4" s="14" t="inlineStr">
        <is>
          <t>2032E</t>
        </is>
      </c>
      <c r="M4" s="14" t="inlineStr">
        <is>
          <t>2033E</t>
        </is>
      </c>
      <c r="N4" s="14" t="inlineStr">
        <is>
          <t>2034E</t>
        </is>
      </c>
      <c r="O4" s="14" t="inlineStr">
        <is>
          <t>2035E</t>
        </is>
      </c>
    </row>
    <row r="5">
      <c r="B5" s="6" t="inlineStr">
        <is>
          <t>Year-end EBITDA</t>
        </is>
      </c>
      <c r="F5" s="5">
        <f>IS!F11</f>
        <v/>
      </c>
      <c r="G5" s="5">
        <f>IS!G11</f>
        <v/>
      </c>
      <c r="H5" s="5">
        <f>IS!H11</f>
        <v/>
      </c>
      <c r="I5" s="5">
        <f>IS!I11</f>
        <v/>
      </c>
      <c r="J5" s="5">
        <f>IS!J11</f>
        <v/>
      </c>
      <c r="K5" s="5">
        <f>IS!K11</f>
        <v/>
      </c>
      <c r="L5" s="5">
        <f>IS!L11</f>
        <v/>
      </c>
      <c r="M5" s="5">
        <f>IS!M11</f>
        <v/>
      </c>
      <c r="N5" s="5">
        <f>IS!N11</f>
        <v/>
      </c>
      <c r="O5" s="5">
        <f>IS!O11</f>
        <v/>
      </c>
    </row>
    <row r="6">
      <c r="B6" s="6" t="inlineStr">
        <is>
          <t>Exit EBITDA Multiple</t>
        </is>
      </c>
      <c r="F6" s="20">
        <f>Inputs!F$36</f>
        <v/>
      </c>
      <c r="G6" s="20">
        <f>Inputs!G$36</f>
        <v/>
      </c>
      <c r="H6" s="20">
        <f>Inputs!H$36</f>
        <v/>
      </c>
      <c r="I6" s="20">
        <f>Inputs!I$36</f>
        <v/>
      </c>
      <c r="J6" s="20">
        <f>Inputs!J$36</f>
        <v/>
      </c>
      <c r="K6" s="20">
        <f>Inputs!K$36</f>
        <v/>
      </c>
      <c r="L6" s="20">
        <f>Inputs!L$36</f>
        <v/>
      </c>
      <c r="M6" s="20">
        <f>Inputs!M$36</f>
        <v/>
      </c>
      <c r="N6" s="20">
        <f>Inputs!N$36</f>
        <v/>
      </c>
      <c r="O6" s="20">
        <f>Inputs!O$36</f>
        <v/>
      </c>
    </row>
    <row r="7">
      <c r="B7" s="6" t="inlineStr">
        <is>
          <t>Implied Enterprise Value</t>
        </is>
      </c>
      <c r="F7" s="18">
        <f>F5*F6</f>
        <v/>
      </c>
      <c r="G7" s="18">
        <f>G5*G6</f>
        <v/>
      </c>
      <c r="H7" s="18">
        <f>H5*H6</f>
        <v/>
      </c>
      <c r="I7" s="18">
        <f>I5*I6</f>
        <v/>
      </c>
      <c r="J7" s="18">
        <f>J5*J6</f>
        <v/>
      </c>
      <c r="K7" s="18">
        <f>K5*K6</f>
        <v/>
      </c>
      <c r="L7" s="18">
        <f>L5*L6</f>
        <v/>
      </c>
      <c r="M7" s="18">
        <f>M5*M6</f>
        <v/>
      </c>
      <c r="N7" s="18">
        <f>N5*N6</f>
        <v/>
      </c>
      <c r="O7" s="18">
        <f>O5*O6</f>
        <v/>
      </c>
    </row>
    <row r="8">
      <c r="B8" s="6" t="inlineStr">
        <is>
          <t>(Less) Year-end Total Debt</t>
        </is>
      </c>
      <c r="F8" s="5">
        <f>-Debt!F32</f>
        <v/>
      </c>
      <c r="G8" s="5">
        <f>-Debt!G32</f>
        <v/>
      </c>
      <c r="H8" s="5">
        <f>-Debt!H32</f>
        <v/>
      </c>
      <c r="I8" s="5">
        <f>-Debt!I32</f>
        <v/>
      </c>
      <c r="J8" s="5">
        <f>-Debt!J32</f>
        <v/>
      </c>
      <c r="K8" s="5">
        <f>-Debt!K32</f>
        <v/>
      </c>
      <c r="L8" s="5">
        <f>-Debt!L32</f>
        <v/>
      </c>
      <c r="M8" s="5">
        <f>-Debt!M32</f>
        <v/>
      </c>
      <c r="N8" s="5">
        <f>-Debt!N32</f>
        <v/>
      </c>
      <c r="O8" s="5">
        <f>-Debt!O32</f>
        <v/>
      </c>
    </row>
    <row r="9">
      <c r="B9" s="6" t="inlineStr">
        <is>
          <t>Plus: Year-end Cash</t>
        </is>
      </c>
      <c r="F9" s="5">
        <f>CF!F14</f>
        <v/>
      </c>
      <c r="G9" s="5">
        <f>CF!G14</f>
        <v/>
      </c>
      <c r="H9" s="5">
        <f>CF!H14</f>
        <v/>
      </c>
      <c r="I9" s="5">
        <f>CF!I14</f>
        <v/>
      </c>
      <c r="J9" s="5">
        <f>CF!J14</f>
        <v/>
      </c>
      <c r="K9" s="5">
        <f>CF!K14</f>
        <v/>
      </c>
      <c r="L9" s="5">
        <f>CF!L14</f>
        <v/>
      </c>
      <c r="M9" s="5">
        <f>CF!M14</f>
        <v/>
      </c>
      <c r="N9" s="5">
        <f>CF!N14</f>
        <v/>
      </c>
      <c r="O9" s="5">
        <f>CF!O14</f>
        <v/>
      </c>
    </row>
    <row r="10">
      <c r="B10" s="6" t="inlineStr">
        <is>
          <t>(Less) Minority Interest</t>
        </is>
      </c>
      <c r="F10" s="5">
        <f>-inp_minority_interest</f>
        <v/>
      </c>
      <c r="G10" s="5">
        <f>-inp_minority_interest</f>
        <v/>
      </c>
      <c r="H10" s="5">
        <f>-inp_minority_interest</f>
        <v/>
      </c>
      <c r="I10" s="5">
        <f>-inp_minority_interest</f>
        <v/>
      </c>
      <c r="J10" s="5">
        <f>-inp_minority_interest</f>
        <v/>
      </c>
      <c r="K10" s="5">
        <f>-inp_minority_interest</f>
        <v/>
      </c>
      <c r="L10" s="5">
        <f>-inp_minority_interest</f>
        <v/>
      </c>
      <c r="M10" s="5">
        <f>-inp_minority_interest</f>
        <v/>
      </c>
      <c r="N10" s="5">
        <f>-inp_minority_interest</f>
        <v/>
      </c>
      <c r="O10" s="5">
        <f>-inp_minority_interest</f>
        <v/>
      </c>
    </row>
    <row r="11">
      <c r="B11" s="6" t="inlineStr">
        <is>
          <t>Plus: Equity Investments</t>
        </is>
      </c>
      <c r="F11" s="5">
        <f>inp_equity_investments</f>
        <v/>
      </c>
      <c r="G11" s="5">
        <f>inp_equity_investments</f>
        <v/>
      </c>
      <c r="H11" s="5">
        <f>inp_equity_investments</f>
        <v/>
      </c>
      <c r="I11" s="5">
        <f>inp_equity_investments</f>
        <v/>
      </c>
      <c r="J11" s="5">
        <f>inp_equity_investments</f>
        <v/>
      </c>
      <c r="K11" s="5">
        <f>inp_equity_investments</f>
        <v/>
      </c>
      <c r="L11" s="5">
        <f>inp_equity_investments</f>
        <v/>
      </c>
      <c r="M11" s="5">
        <f>inp_equity_investments</f>
        <v/>
      </c>
      <c r="N11" s="5">
        <f>inp_equity_investments</f>
        <v/>
      </c>
      <c r="O11" s="5">
        <f>inp_equity_investments</f>
        <v/>
      </c>
    </row>
    <row r="12">
      <c r="B12" s="6" t="inlineStr">
        <is>
          <t>Implied Equity Value</t>
        </is>
      </c>
      <c r="F12" s="18">
        <f>F7+F8+F9+F10+F11</f>
        <v/>
      </c>
      <c r="G12" s="18">
        <f>G7+G8+G9+G10+G11</f>
        <v/>
      </c>
      <c r="H12" s="18">
        <f>H7+H8+H9+H10+H11</f>
        <v/>
      </c>
      <c r="I12" s="18">
        <f>I7+I8+I9+I10+I11</f>
        <v/>
      </c>
      <c r="J12" s="18">
        <f>J7+J8+J9+J10+J11</f>
        <v/>
      </c>
      <c r="K12" s="18">
        <f>K7+K8+K9+K10+K11</f>
        <v/>
      </c>
      <c r="L12" s="18">
        <f>L7+L8+L9+L10+L11</f>
        <v/>
      </c>
      <c r="M12" s="18">
        <f>M7+M8+M9+M10+M11</f>
        <v/>
      </c>
      <c r="N12" s="18">
        <f>N7+N8+N9+N10+N11</f>
        <v/>
      </c>
      <c r="O12" s="18">
        <f>O7+O8+O9+O10+O11</f>
        <v/>
      </c>
    </row>
    <row r="13">
      <c r="B13" s="6" t="inlineStr">
        <is>
          <t>/ Diluted Shares Outstanding</t>
        </is>
      </c>
      <c r="F13" s="5">
        <f>IS!F22</f>
        <v/>
      </c>
      <c r="G13" s="5">
        <f>IS!G22</f>
        <v/>
      </c>
      <c r="H13" s="5">
        <f>IS!H22</f>
        <v/>
      </c>
      <c r="I13" s="5">
        <f>IS!I22</f>
        <v/>
      </c>
      <c r="J13" s="5">
        <f>IS!J22</f>
        <v/>
      </c>
      <c r="K13" s="5">
        <f>IS!K22</f>
        <v/>
      </c>
      <c r="L13" s="5">
        <f>IS!L22</f>
        <v/>
      </c>
      <c r="M13" s="5">
        <f>IS!M22</f>
        <v/>
      </c>
      <c r="N13" s="5">
        <f>IS!N22</f>
        <v/>
      </c>
      <c r="O13" s="5">
        <f>IS!O22</f>
        <v/>
      </c>
    </row>
    <row r="14">
      <c r="B14" s="6" t="inlineStr">
        <is>
          <t>Implied Price per Share</t>
        </is>
      </c>
      <c r="F14" s="21">
        <f>IFERROR(F12/F13,0)</f>
        <v/>
      </c>
      <c r="G14" s="21">
        <f>IFERROR(G12/G13,0)</f>
        <v/>
      </c>
      <c r="H14" s="21">
        <f>IFERROR(H12/H13,0)</f>
        <v/>
      </c>
      <c r="I14" s="21">
        <f>IFERROR(I12/I13,0)</f>
        <v/>
      </c>
      <c r="J14" s="21">
        <f>IFERROR(J12/J13,0)</f>
        <v/>
      </c>
      <c r="K14" s="21">
        <f>IFERROR(K12/K13,0)</f>
        <v/>
      </c>
      <c r="L14" s="21">
        <f>IFERROR(L12/L13,0)</f>
        <v/>
      </c>
      <c r="M14" s="21">
        <f>IFERROR(M12/M13,0)</f>
        <v/>
      </c>
      <c r="N14" s="21">
        <f>IFERROR(N12/N13,0)</f>
        <v/>
      </c>
      <c r="O14" s="21">
        <f>IFERROR(O12/O13,0)</f>
        <v/>
      </c>
    </row>
    <row r="15">
      <c r="B15" s="6" t="inlineStr">
        <is>
          <t>Implied IRR from Today</t>
        </is>
      </c>
      <c r="F15" s="17">
        <f>IFERROR((F14/inp_current_price)^(1/1)-1,0)</f>
        <v/>
      </c>
      <c r="G15" s="17">
        <f>IFERROR((G14/inp_current_price)^(1/2)-1,0)</f>
        <v/>
      </c>
      <c r="H15" s="17">
        <f>IFERROR((H14/inp_current_price)^(1/3)-1,0)</f>
        <v/>
      </c>
      <c r="I15" s="17">
        <f>IFERROR((I14/inp_current_price)^(1/4)-1,0)</f>
        <v/>
      </c>
      <c r="J15" s="17">
        <f>IFERROR((J14/inp_current_price)^(1/5)-1,0)</f>
        <v/>
      </c>
      <c r="K15" s="17">
        <f>IFERROR((K14/inp_current_price)^(1/6)-1,0)</f>
        <v/>
      </c>
      <c r="L15" s="17">
        <f>IFERROR((L14/inp_current_price)^(1/7)-1,0)</f>
        <v/>
      </c>
      <c r="M15" s="17">
        <f>IFERROR((M14/inp_current_price)^(1/8)-1,0)</f>
        <v/>
      </c>
      <c r="N15" s="17">
        <f>IFERROR((N14/inp_current_price)^(1/9)-1,0)</f>
        <v/>
      </c>
      <c r="O15" s="17">
        <f>IFERROR((O14/inp_current_price)^(1/10)-1,0)</f>
        <v/>
      </c>
    </row>
    <row r="16">
      <c r="B16" s="6" t="inlineStr">
        <is>
          <t>Implied MOIC</t>
        </is>
      </c>
      <c r="F16" s="22">
        <f>IFERROR(F14/inp_current_price,0)</f>
        <v/>
      </c>
      <c r="G16" s="22">
        <f>IFERROR(G14/inp_current_price,0)</f>
        <v/>
      </c>
      <c r="H16" s="22">
        <f>IFERROR(H14/inp_current_price,0)</f>
        <v/>
      </c>
      <c r="I16" s="22">
        <f>IFERROR(I14/inp_current_price,0)</f>
        <v/>
      </c>
      <c r="J16" s="22">
        <f>IFERROR(J14/inp_current_price,0)</f>
        <v/>
      </c>
      <c r="K16" s="22">
        <f>IFERROR(K14/inp_current_price,0)</f>
        <v/>
      </c>
      <c r="L16" s="22">
        <f>IFERROR(L14/inp_current_price,0)</f>
        <v/>
      </c>
      <c r="M16" s="22">
        <f>IFERROR(M14/inp_current_price,0)</f>
        <v/>
      </c>
      <c r="N16" s="22">
        <f>IFERROR(N14/inp_current_price,0)</f>
        <v/>
      </c>
      <c r="O16" s="22">
        <f>IFERROR(O14/inp_current_price,0)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O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71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2">
      <c r="B2" s="1">
        <f>inp_ticker &amp; " | Summary"</f>
        <v/>
      </c>
    </row>
    <row r="4">
      <c r="B4" s="1" t="inlineStr">
        <is>
          <t>Company Name</t>
        </is>
      </c>
      <c r="C4" s="2">
        <f>inp_company_name</f>
        <v/>
      </c>
    </row>
    <row r="5">
      <c r="B5" s="1" t="inlineStr">
        <is>
          <t>Ticker</t>
        </is>
      </c>
      <c r="C5" s="2">
        <f>inp_ticker</f>
        <v/>
      </c>
    </row>
    <row r="6">
      <c r="B6" s="1" t="inlineStr">
        <is>
          <t>Sector</t>
        </is>
      </c>
      <c r="C6" s="2">
        <f>inp_sector</f>
        <v/>
      </c>
    </row>
    <row r="8">
      <c r="B8" s="1" t="inlineStr">
        <is>
          <t>Financial Summary</t>
        </is>
      </c>
    </row>
    <row r="9">
      <c r="C9" s="14" t="inlineStr">
        <is>
          <t>2023A</t>
        </is>
      </c>
      <c r="D9" s="14" t="inlineStr">
        <is>
          <t>2024A</t>
        </is>
      </c>
      <c r="E9" s="14" t="inlineStr">
        <is>
          <t>2025A</t>
        </is>
      </c>
      <c r="F9" s="14" t="inlineStr">
        <is>
          <t>2026E</t>
        </is>
      </c>
      <c r="G9" s="14" t="inlineStr">
        <is>
          <t>2027E</t>
        </is>
      </c>
      <c r="H9" s="14" t="inlineStr">
        <is>
          <t>2028E</t>
        </is>
      </c>
      <c r="I9" s="14" t="inlineStr">
        <is>
          <t>2029E</t>
        </is>
      </c>
      <c r="J9" s="14" t="inlineStr">
        <is>
          <t>2030E</t>
        </is>
      </c>
      <c r="K9" s="14" t="inlineStr">
        <is>
          <t>2031E</t>
        </is>
      </c>
      <c r="L9" s="14" t="inlineStr">
        <is>
          <t>2032E</t>
        </is>
      </c>
      <c r="M9" s="14" t="inlineStr">
        <is>
          <t>2033E</t>
        </is>
      </c>
      <c r="N9" s="14" t="inlineStr">
        <is>
          <t>2034E</t>
        </is>
      </c>
      <c r="O9" s="14" t="inlineStr">
        <is>
          <t>2035E</t>
        </is>
      </c>
    </row>
    <row r="10">
      <c r="B10" s="6" t="inlineStr">
        <is>
          <t>Revenue</t>
        </is>
      </c>
      <c r="C10" s="5">
        <f>IS!C5</f>
        <v/>
      </c>
      <c r="D10" s="5">
        <f>IS!D5</f>
        <v/>
      </c>
      <c r="E10" s="5">
        <f>IS!E5</f>
        <v/>
      </c>
      <c r="F10" s="5">
        <f>IS!F5</f>
        <v/>
      </c>
      <c r="G10" s="5">
        <f>IS!G5</f>
        <v/>
      </c>
      <c r="H10" s="5">
        <f>IS!H5</f>
        <v/>
      </c>
      <c r="I10" s="5">
        <f>IS!I5</f>
        <v/>
      </c>
      <c r="J10" s="5">
        <f>IS!J5</f>
        <v/>
      </c>
      <c r="K10" s="5">
        <f>IS!K5</f>
        <v/>
      </c>
      <c r="L10" s="5">
        <f>IS!L5</f>
        <v/>
      </c>
      <c r="M10" s="5">
        <f>IS!M5</f>
        <v/>
      </c>
      <c r="N10" s="5">
        <f>IS!N5</f>
        <v/>
      </c>
      <c r="O10" s="5">
        <f>IS!O5</f>
        <v/>
      </c>
    </row>
    <row r="11">
      <c r="B11" s="6" t="inlineStr">
        <is>
          <t>Revenue Growth %</t>
        </is>
      </c>
      <c r="C11" s="23">
        <f>IS!C6</f>
        <v/>
      </c>
      <c r="D11" s="23">
        <f>IS!D6</f>
        <v/>
      </c>
      <c r="E11" s="23">
        <f>IS!E6</f>
        <v/>
      </c>
      <c r="F11" s="23">
        <f>IS!F6</f>
        <v/>
      </c>
      <c r="G11" s="23">
        <f>IS!G6</f>
        <v/>
      </c>
      <c r="H11" s="23">
        <f>IS!H6</f>
        <v/>
      </c>
      <c r="I11" s="23">
        <f>IS!I6</f>
        <v/>
      </c>
      <c r="J11" s="23">
        <f>IS!J6</f>
        <v/>
      </c>
      <c r="K11" s="23">
        <f>IS!K6</f>
        <v/>
      </c>
      <c r="L11" s="23">
        <f>IS!L6</f>
        <v/>
      </c>
      <c r="M11" s="23">
        <f>IS!M6</f>
        <v/>
      </c>
      <c r="N11" s="23">
        <f>IS!N6</f>
        <v/>
      </c>
      <c r="O11" s="23">
        <f>IS!O6</f>
        <v/>
      </c>
    </row>
    <row r="12">
      <c r="B12" s="6" t="inlineStr">
        <is>
          <t>EBITDA</t>
        </is>
      </c>
      <c r="C12" s="5">
        <f>IS!C11</f>
        <v/>
      </c>
      <c r="D12" s="5">
        <f>IS!D11</f>
        <v/>
      </c>
      <c r="E12" s="5">
        <f>IS!E11</f>
        <v/>
      </c>
      <c r="F12" s="5">
        <f>IS!F11</f>
        <v/>
      </c>
      <c r="G12" s="5">
        <f>IS!G11</f>
        <v/>
      </c>
      <c r="H12" s="5">
        <f>IS!H11</f>
        <v/>
      </c>
      <c r="I12" s="5">
        <f>IS!I11</f>
        <v/>
      </c>
      <c r="J12" s="5">
        <f>IS!J11</f>
        <v/>
      </c>
      <c r="K12" s="5">
        <f>IS!K11</f>
        <v/>
      </c>
      <c r="L12" s="5">
        <f>IS!L11</f>
        <v/>
      </c>
      <c r="M12" s="5">
        <f>IS!M11</f>
        <v/>
      </c>
      <c r="N12" s="5">
        <f>IS!N11</f>
        <v/>
      </c>
      <c r="O12" s="5">
        <f>IS!O11</f>
        <v/>
      </c>
    </row>
    <row r="13">
      <c r="B13" s="6" t="inlineStr">
        <is>
          <t>EBITDA Margin %</t>
        </is>
      </c>
      <c r="C13" s="23">
        <f>IS!C12</f>
        <v/>
      </c>
      <c r="D13" s="23">
        <f>IS!D12</f>
        <v/>
      </c>
      <c r="E13" s="23">
        <f>IS!E12</f>
        <v/>
      </c>
      <c r="F13" s="23">
        <f>IS!F12</f>
        <v/>
      </c>
      <c r="G13" s="23">
        <f>IS!G12</f>
        <v/>
      </c>
      <c r="H13" s="23">
        <f>IS!H12</f>
        <v/>
      </c>
      <c r="I13" s="23">
        <f>IS!I12</f>
        <v/>
      </c>
      <c r="J13" s="23">
        <f>IS!J12</f>
        <v/>
      </c>
      <c r="K13" s="23">
        <f>IS!K12</f>
        <v/>
      </c>
      <c r="L13" s="23">
        <f>IS!L12</f>
        <v/>
      </c>
      <c r="M13" s="23">
        <f>IS!M12</f>
        <v/>
      </c>
      <c r="N13" s="23">
        <f>IS!N12</f>
        <v/>
      </c>
      <c r="O13" s="23">
        <f>IS!O12</f>
        <v/>
      </c>
    </row>
    <row r="14">
      <c r="B14" s="6" t="inlineStr">
        <is>
          <t>Levered Free Cash Flow</t>
        </is>
      </c>
      <c r="C14" s="5">
        <f>CF!C9</f>
        <v/>
      </c>
      <c r="D14" s="5">
        <f>CF!D9</f>
        <v/>
      </c>
      <c r="E14" s="5">
        <f>CF!E9</f>
        <v/>
      </c>
      <c r="F14" s="5">
        <f>CF!F9</f>
        <v/>
      </c>
      <c r="G14" s="5">
        <f>CF!G9</f>
        <v/>
      </c>
      <c r="H14" s="5">
        <f>CF!H9</f>
        <v/>
      </c>
      <c r="I14" s="5">
        <f>CF!I9</f>
        <v/>
      </c>
      <c r="J14" s="5">
        <f>CF!J9</f>
        <v/>
      </c>
      <c r="K14" s="5">
        <f>CF!K9</f>
        <v/>
      </c>
      <c r="L14" s="5">
        <f>CF!L9</f>
        <v/>
      </c>
      <c r="M14" s="5">
        <f>CF!M9</f>
        <v/>
      </c>
      <c r="N14" s="5">
        <f>CF!N9</f>
        <v/>
      </c>
      <c r="O14" s="5">
        <f>CF!O9</f>
        <v/>
      </c>
    </row>
    <row r="15">
      <c r="B15" s="6" t="inlineStr">
        <is>
          <t>LFCF Margin %</t>
        </is>
      </c>
      <c r="C15" s="17">
        <f>IFERROR(C14/C10,0)</f>
        <v/>
      </c>
      <c r="D15" s="17">
        <f>IFERROR(D14/D10,0)</f>
        <v/>
      </c>
      <c r="E15" s="17">
        <f>IFERROR(E14/E10,0)</f>
        <v/>
      </c>
      <c r="F15" s="17">
        <f>IFERROR(F14/F10,0)</f>
        <v/>
      </c>
      <c r="G15" s="17">
        <f>IFERROR(G14/G10,0)</f>
        <v/>
      </c>
      <c r="H15" s="17">
        <f>IFERROR(H14/H10,0)</f>
        <v/>
      </c>
      <c r="I15" s="17">
        <f>IFERROR(I14/I10,0)</f>
        <v/>
      </c>
      <c r="J15" s="17">
        <f>IFERROR(J14/J10,0)</f>
        <v/>
      </c>
      <c r="K15" s="17">
        <f>IFERROR(K14/K10,0)</f>
        <v/>
      </c>
      <c r="L15" s="17">
        <f>IFERROR(L14/L10,0)</f>
        <v/>
      </c>
      <c r="M15" s="17">
        <f>IFERROR(M14/M10,0)</f>
        <v/>
      </c>
      <c r="N15" s="17">
        <f>IFERROR(N14/N10,0)</f>
        <v/>
      </c>
      <c r="O15" s="17">
        <f>IFERROR(O14/O10,0)</f>
        <v/>
      </c>
    </row>
    <row r="16">
      <c r="B16" s="6" t="inlineStr">
        <is>
          <t>Net Debt</t>
        </is>
      </c>
      <c r="C16" s="13">
        <f>Debt!C32-CF!C14</f>
        <v/>
      </c>
      <c r="D16" s="13">
        <f>Debt!D32-CF!D14</f>
        <v/>
      </c>
      <c r="E16" s="13">
        <f>Debt!E32-CF!E14</f>
        <v/>
      </c>
      <c r="F16" s="13">
        <f>Debt!F32-CF!F14</f>
        <v/>
      </c>
      <c r="G16" s="13">
        <f>Debt!G32-CF!G14</f>
        <v/>
      </c>
      <c r="H16" s="13">
        <f>Debt!H32-CF!H14</f>
        <v/>
      </c>
      <c r="I16" s="13">
        <f>Debt!I32-CF!I14</f>
        <v/>
      </c>
      <c r="J16" s="13">
        <f>Debt!J32-CF!J14</f>
        <v/>
      </c>
      <c r="K16" s="13">
        <f>Debt!K32-CF!K14</f>
        <v/>
      </c>
      <c r="L16" s="13">
        <f>Debt!L32-CF!L14</f>
        <v/>
      </c>
      <c r="M16" s="13">
        <f>Debt!M32-CF!M14</f>
        <v/>
      </c>
      <c r="N16" s="13">
        <f>Debt!N32-CF!N14</f>
        <v/>
      </c>
      <c r="O16" s="13">
        <f>Debt!O32-CF!O14</f>
        <v/>
      </c>
    </row>
    <row r="17">
      <c r="B17" s="6" t="inlineStr">
        <is>
          <t>Net Leverage (Net Debt / EBITDA)</t>
        </is>
      </c>
      <c r="C17" s="24">
        <f>IFERROR(C16/C12,0)</f>
        <v/>
      </c>
      <c r="D17" s="24">
        <f>IFERROR(D16/D12,0)</f>
        <v/>
      </c>
      <c r="E17" s="24">
        <f>IFERROR(E16/E12,0)</f>
        <v/>
      </c>
      <c r="F17" s="24">
        <f>IFERROR(F16/F12,0)</f>
        <v/>
      </c>
      <c r="G17" s="24">
        <f>IFERROR(G16/G12,0)</f>
        <v/>
      </c>
      <c r="H17" s="24">
        <f>IFERROR(H16/H12,0)</f>
        <v/>
      </c>
      <c r="I17" s="24">
        <f>IFERROR(I16/I12,0)</f>
        <v/>
      </c>
      <c r="J17" s="24">
        <f>IFERROR(J16/J12,0)</f>
        <v/>
      </c>
      <c r="K17" s="24">
        <f>IFERROR(K16/K12,0)</f>
        <v/>
      </c>
      <c r="L17" s="24">
        <f>IFERROR(L16/L12,0)</f>
        <v/>
      </c>
      <c r="M17" s="24">
        <f>IFERROR(M16/M12,0)</f>
        <v/>
      </c>
      <c r="N17" s="24">
        <f>IFERROR(N16/N12,0)</f>
        <v/>
      </c>
      <c r="O17" s="24">
        <f>IFERROR(O16/O12,0)</f>
        <v/>
      </c>
    </row>
    <row r="19">
      <c r="B19" s="1" t="inlineStr">
        <is>
          <t>Returns Table</t>
        </is>
      </c>
    </row>
    <row r="20">
      <c r="B20" s="14" t="inlineStr">
        <is>
          <t>Year</t>
        </is>
      </c>
      <c r="C20" s="14" t="inlineStr">
        <is>
          <t>Implied Price per Share</t>
        </is>
      </c>
      <c r="D20" s="14" t="inlineStr">
        <is>
          <t>Implied IRR</t>
        </is>
      </c>
      <c r="E20" s="14" t="inlineStr">
        <is>
          <t>Implied MOIC</t>
        </is>
      </c>
    </row>
    <row r="21">
      <c r="B21" s="1" t="inlineStr">
        <is>
          <t>Y1 (2026E)</t>
        </is>
      </c>
      <c r="C21" s="25">
        <f>Valuation!F14</f>
        <v/>
      </c>
      <c r="D21" s="23">
        <f>Valuation!F15</f>
        <v/>
      </c>
      <c r="E21" s="20">
        <f>Valuation!F16</f>
        <v/>
      </c>
    </row>
    <row r="22">
      <c r="B22" s="1" t="inlineStr">
        <is>
          <t>Y3 (2028E)</t>
        </is>
      </c>
      <c r="C22" s="25">
        <f>Valuation!H14</f>
        <v/>
      </c>
      <c r="D22" s="23">
        <f>Valuation!H15</f>
        <v/>
      </c>
      <c r="E22" s="20">
        <f>Valuation!H16</f>
        <v/>
      </c>
    </row>
    <row r="23">
      <c r="B23" s="1" t="inlineStr">
        <is>
          <t>Y5 (2030E)</t>
        </is>
      </c>
      <c r="C23" s="25">
        <f>Valuation!J14</f>
        <v/>
      </c>
      <c r="D23" s="23">
        <f>Valuation!J15</f>
        <v/>
      </c>
      <c r="E23" s="20">
        <f>Valuation!J16</f>
        <v/>
      </c>
    </row>
    <row r="24">
      <c r="B24" s="1" t="inlineStr">
        <is>
          <t>Y10 (2035E)</t>
        </is>
      </c>
      <c r="C24" s="25">
        <f>Valuation!O14</f>
        <v/>
      </c>
      <c r="D24" s="23">
        <f>Valuation!O15</f>
        <v/>
      </c>
      <c r="E24" s="20">
        <f>Valuation!O16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27"/>
  <sheetViews>
    <sheetView showGridLines="0" workbookViewId="0">
      <selection activeCell="A1" sqref="A1"/>
    </sheetView>
  </sheetViews>
  <sheetFormatPr baseColWidth="8" defaultRowHeight="15"/>
  <cols>
    <col width="2.71" customWidth="1" min="1" max="1"/>
    <col width="38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>
      <c r="B2" s="1">
        <f>inp_ticker &amp; " | Sensitivity"</f>
        <v/>
      </c>
    </row>
    <row r="4">
      <c r="B4" s="6" t="inlineStr">
        <is>
          <t>Target Year Offset (1 = first projection year)</t>
        </is>
      </c>
      <c r="C4" s="9" t="n">
        <v>5</v>
      </c>
    </row>
    <row r="6">
      <c r="B6" s="1" t="inlineStr">
        <is>
          <t>Exit Multiple</t>
        </is>
      </c>
      <c r="C6" s="1">
        <f>"Implied Price per Share at Year " &amp; sens_target_year_offset</f>
        <v/>
      </c>
    </row>
    <row r="7">
      <c r="B7" s="16" t="n">
        <v>6</v>
      </c>
      <c r="C7" s="19">
        <f>(INDEX(IS!$F$11:$O$11,sens_target_year_offset)*$B7-INDEX(Debt!$F$32:$O$32,sens_target_year_offset)+INDEX(CF!$F$14:$O$14,sens_target_year_offset)-inp_minority_interest+inp_equity_investments)/INDEX(IS!$F$22:$O$22,sens_target_year_offset)</f>
        <v/>
      </c>
    </row>
    <row r="8">
      <c r="B8" s="16" t="n">
        <v>7</v>
      </c>
      <c r="C8" s="19">
        <f>(INDEX(IS!$F$11:$O$11,sens_target_year_offset)*$B8-INDEX(Debt!$F$32:$O$32,sens_target_year_offset)+INDEX(CF!$F$14:$O$14,sens_target_year_offset)-inp_minority_interest+inp_equity_investments)/INDEX(IS!$F$22:$O$22,sens_target_year_offset)</f>
        <v/>
      </c>
    </row>
    <row r="9">
      <c r="B9" s="16" t="n">
        <v>8</v>
      </c>
      <c r="C9" s="19">
        <f>(INDEX(IS!$F$11:$O$11,sens_target_year_offset)*$B9-INDEX(Debt!$F$32:$O$32,sens_target_year_offset)+INDEX(CF!$F$14:$O$14,sens_target_year_offset)-inp_minority_interest+inp_equity_investments)/INDEX(IS!$F$22:$O$22,sens_target_year_offset)</f>
        <v/>
      </c>
    </row>
    <row r="10">
      <c r="B10" s="16" t="n">
        <v>9</v>
      </c>
      <c r="C10" s="19">
        <f>(INDEX(IS!$F$11:$O$11,sens_target_year_offset)*$B10-INDEX(Debt!$F$32:$O$32,sens_target_year_offset)+INDEX(CF!$F$14:$O$14,sens_target_year_offset)-inp_minority_interest+inp_equity_investments)/INDEX(IS!$F$22:$O$22,sens_target_year_offset)</f>
        <v/>
      </c>
    </row>
    <row r="11">
      <c r="B11" s="16" t="n">
        <v>10</v>
      </c>
      <c r="C11" s="19">
        <f>(INDEX(IS!$F$11:$O$11,sens_target_year_offset)*$B11-INDEX(Debt!$F$32:$O$32,sens_target_year_offset)+INDEX(CF!$F$14:$O$14,sens_target_year_offset)-inp_minority_interest+inp_equity_investments)/INDEX(IS!$F$22:$O$22,sens_target_year_offset)</f>
        <v/>
      </c>
    </row>
    <row r="12">
      <c r="B12" s="16" t="n">
        <v>11</v>
      </c>
      <c r="C12" s="19">
        <f>(INDEX(IS!$F$11:$O$11,sens_target_year_offset)*$B12-INDEX(Debt!$F$32:$O$32,sens_target_year_offset)+INDEX(CF!$F$14:$O$14,sens_target_year_offset)-inp_minority_interest+inp_equity_investments)/INDEX(IS!$F$22:$O$22,sens_target_year_offset)</f>
        <v/>
      </c>
    </row>
    <row r="13">
      <c r="B13" s="16" t="n">
        <v>12</v>
      </c>
      <c r="C13" s="19">
        <f>(INDEX(IS!$F$11:$O$11,sens_target_year_offset)*$B13-INDEX(Debt!$F$32:$O$32,sens_target_year_offset)+INDEX(CF!$F$14:$O$14,sens_target_year_offset)-inp_minority_interest+inp_equity_investments)/INDEX(IS!$F$22:$O$22,sens_target_year_offset)</f>
        <v/>
      </c>
    </row>
    <row r="14">
      <c r="B14" s="16" t="n">
        <v>13</v>
      </c>
      <c r="C14" s="19">
        <f>(INDEX(IS!$F$11:$O$11,sens_target_year_offset)*$B14-INDEX(Debt!$F$32:$O$32,sens_target_year_offset)+INDEX(CF!$F$14:$O$14,sens_target_year_offset)-inp_minority_interest+inp_equity_investments)/INDEX(IS!$F$22:$O$22,sens_target_year_offset)</f>
        <v/>
      </c>
    </row>
    <row r="15">
      <c r="B15" s="16" t="n">
        <v>14</v>
      </c>
      <c r="C15" s="19">
        <f>(INDEX(IS!$F$11:$O$11,sens_target_year_offset)*$B15-INDEX(Debt!$F$32:$O$32,sens_target_year_offset)+INDEX(CF!$F$14:$O$14,sens_target_year_offset)-inp_minority_interest+inp_equity_investments)/INDEX(IS!$F$22:$O$22,sens_target_year_offset)</f>
        <v/>
      </c>
    </row>
    <row r="17">
      <c r="B17" s="1" t="inlineStr">
        <is>
          <t>2D Sensitivity (Exit Multiple x Year)</t>
        </is>
      </c>
    </row>
    <row r="18">
      <c r="B18" s="14" t="inlineStr">
        <is>
          <t>Multiple</t>
        </is>
      </c>
      <c r="C18" s="14" t="inlineStr">
        <is>
          <t>Y3</t>
        </is>
      </c>
      <c r="D18" s="14" t="inlineStr">
        <is>
          <t>Y5</t>
        </is>
      </c>
      <c r="E18" s="14" t="inlineStr">
        <is>
          <t>Y7</t>
        </is>
      </c>
      <c r="F18" s="14" t="inlineStr">
        <is>
          <t>Y10</t>
        </is>
      </c>
    </row>
    <row r="19">
      <c r="B19" s="16" t="n">
        <v>6</v>
      </c>
      <c r="C19" s="19">
        <f>(INDEX(IS!$F$11:$O$11,3)*$B19-INDEX(Debt!$F$32:$O$32,3)+INDEX(CF!$F$14:$O$14,3)-inp_minority_interest+inp_equity_investments)/INDEX(IS!$F$22:$O$22,3)</f>
        <v/>
      </c>
      <c r="D19" s="19">
        <f>(INDEX(IS!$F$11:$O$11,5)*$B19-INDEX(Debt!$F$32:$O$32,5)+INDEX(CF!$F$14:$O$14,5)-inp_minority_interest+inp_equity_investments)/INDEX(IS!$F$22:$O$22,5)</f>
        <v/>
      </c>
      <c r="E19" s="19">
        <f>(INDEX(IS!$F$11:$O$11,7)*$B19-INDEX(Debt!$F$32:$O$32,7)+INDEX(CF!$F$14:$O$14,7)-inp_minority_interest+inp_equity_investments)/INDEX(IS!$F$22:$O$22,7)</f>
        <v/>
      </c>
      <c r="F19" s="19">
        <f>(INDEX(IS!$F$11:$O$11,10)*$B19-INDEX(Debt!$F$32:$O$32,10)+INDEX(CF!$F$14:$O$14,10)-inp_minority_interest+inp_equity_investments)/INDEX(IS!$F$22:$O$22,10)</f>
        <v/>
      </c>
    </row>
    <row r="20">
      <c r="B20" s="16" t="n">
        <v>7</v>
      </c>
      <c r="C20" s="19">
        <f>(INDEX(IS!$F$11:$O$11,3)*$B20-INDEX(Debt!$F$32:$O$32,3)+INDEX(CF!$F$14:$O$14,3)-inp_minority_interest+inp_equity_investments)/INDEX(IS!$F$22:$O$22,3)</f>
        <v/>
      </c>
      <c r="D20" s="19">
        <f>(INDEX(IS!$F$11:$O$11,5)*$B20-INDEX(Debt!$F$32:$O$32,5)+INDEX(CF!$F$14:$O$14,5)-inp_minority_interest+inp_equity_investments)/INDEX(IS!$F$22:$O$22,5)</f>
        <v/>
      </c>
      <c r="E20" s="19">
        <f>(INDEX(IS!$F$11:$O$11,7)*$B20-INDEX(Debt!$F$32:$O$32,7)+INDEX(CF!$F$14:$O$14,7)-inp_minority_interest+inp_equity_investments)/INDEX(IS!$F$22:$O$22,7)</f>
        <v/>
      </c>
      <c r="F20" s="19">
        <f>(INDEX(IS!$F$11:$O$11,10)*$B20-INDEX(Debt!$F$32:$O$32,10)+INDEX(CF!$F$14:$O$14,10)-inp_minority_interest+inp_equity_investments)/INDEX(IS!$F$22:$O$22,10)</f>
        <v/>
      </c>
    </row>
    <row r="21">
      <c r="B21" s="16" t="n">
        <v>8</v>
      </c>
      <c r="C21" s="19">
        <f>(INDEX(IS!$F$11:$O$11,3)*$B21-INDEX(Debt!$F$32:$O$32,3)+INDEX(CF!$F$14:$O$14,3)-inp_minority_interest+inp_equity_investments)/INDEX(IS!$F$22:$O$22,3)</f>
        <v/>
      </c>
      <c r="D21" s="19">
        <f>(INDEX(IS!$F$11:$O$11,5)*$B21-INDEX(Debt!$F$32:$O$32,5)+INDEX(CF!$F$14:$O$14,5)-inp_minority_interest+inp_equity_investments)/INDEX(IS!$F$22:$O$22,5)</f>
        <v/>
      </c>
      <c r="E21" s="19">
        <f>(INDEX(IS!$F$11:$O$11,7)*$B21-INDEX(Debt!$F$32:$O$32,7)+INDEX(CF!$F$14:$O$14,7)-inp_minority_interest+inp_equity_investments)/INDEX(IS!$F$22:$O$22,7)</f>
        <v/>
      </c>
      <c r="F21" s="19">
        <f>(INDEX(IS!$F$11:$O$11,10)*$B21-INDEX(Debt!$F$32:$O$32,10)+INDEX(CF!$F$14:$O$14,10)-inp_minority_interest+inp_equity_investments)/INDEX(IS!$F$22:$O$22,10)</f>
        <v/>
      </c>
    </row>
    <row r="22">
      <c r="B22" s="16" t="n">
        <v>9</v>
      </c>
      <c r="C22" s="19">
        <f>(INDEX(IS!$F$11:$O$11,3)*$B22-INDEX(Debt!$F$32:$O$32,3)+INDEX(CF!$F$14:$O$14,3)-inp_minority_interest+inp_equity_investments)/INDEX(IS!$F$22:$O$22,3)</f>
        <v/>
      </c>
      <c r="D22" s="19">
        <f>(INDEX(IS!$F$11:$O$11,5)*$B22-INDEX(Debt!$F$32:$O$32,5)+INDEX(CF!$F$14:$O$14,5)-inp_minority_interest+inp_equity_investments)/INDEX(IS!$F$22:$O$22,5)</f>
        <v/>
      </c>
      <c r="E22" s="19">
        <f>(INDEX(IS!$F$11:$O$11,7)*$B22-INDEX(Debt!$F$32:$O$32,7)+INDEX(CF!$F$14:$O$14,7)-inp_minority_interest+inp_equity_investments)/INDEX(IS!$F$22:$O$22,7)</f>
        <v/>
      </c>
      <c r="F22" s="19">
        <f>(INDEX(IS!$F$11:$O$11,10)*$B22-INDEX(Debt!$F$32:$O$32,10)+INDEX(CF!$F$14:$O$14,10)-inp_minority_interest+inp_equity_investments)/INDEX(IS!$F$22:$O$22,10)</f>
        <v/>
      </c>
    </row>
    <row r="23">
      <c r="B23" s="16" t="n">
        <v>10</v>
      </c>
      <c r="C23" s="19">
        <f>(INDEX(IS!$F$11:$O$11,3)*$B23-INDEX(Debt!$F$32:$O$32,3)+INDEX(CF!$F$14:$O$14,3)-inp_minority_interest+inp_equity_investments)/INDEX(IS!$F$22:$O$22,3)</f>
        <v/>
      </c>
      <c r="D23" s="19">
        <f>(INDEX(IS!$F$11:$O$11,5)*$B23-INDEX(Debt!$F$32:$O$32,5)+INDEX(CF!$F$14:$O$14,5)-inp_minority_interest+inp_equity_investments)/INDEX(IS!$F$22:$O$22,5)</f>
        <v/>
      </c>
      <c r="E23" s="19">
        <f>(INDEX(IS!$F$11:$O$11,7)*$B23-INDEX(Debt!$F$32:$O$32,7)+INDEX(CF!$F$14:$O$14,7)-inp_minority_interest+inp_equity_investments)/INDEX(IS!$F$22:$O$22,7)</f>
        <v/>
      </c>
      <c r="F23" s="19">
        <f>(INDEX(IS!$F$11:$O$11,10)*$B23-INDEX(Debt!$F$32:$O$32,10)+INDEX(CF!$F$14:$O$14,10)-inp_minority_interest+inp_equity_investments)/INDEX(IS!$F$22:$O$22,10)</f>
        <v/>
      </c>
    </row>
    <row r="24">
      <c r="B24" s="16" t="n">
        <v>11</v>
      </c>
      <c r="C24" s="19">
        <f>(INDEX(IS!$F$11:$O$11,3)*$B24-INDEX(Debt!$F$32:$O$32,3)+INDEX(CF!$F$14:$O$14,3)-inp_minority_interest+inp_equity_investments)/INDEX(IS!$F$22:$O$22,3)</f>
        <v/>
      </c>
      <c r="D24" s="19">
        <f>(INDEX(IS!$F$11:$O$11,5)*$B24-INDEX(Debt!$F$32:$O$32,5)+INDEX(CF!$F$14:$O$14,5)-inp_minority_interest+inp_equity_investments)/INDEX(IS!$F$22:$O$22,5)</f>
        <v/>
      </c>
      <c r="E24" s="19">
        <f>(INDEX(IS!$F$11:$O$11,7)*$B24-INDEX(Debt!$F$32:$O$32,7)+INDEX(CF!$F$14:$O$14,7)-inp_minority_interest+inp_equity_investments)/INDEX(IS!$F$22:$O$22,7)</f>
        <v/>
      </c>
      <c r="F24" s="19">
        <f>(INDEX(IS!$F$11:$O$11,10)*$B24-INDEX(Debt!$F$32:$O$32,10)+INDEX(CF!$F$14:$O$14,10)-inp_minority_interest+inp_equity_investments)/INDEX(IS!$F$22:$O$22,10)</f>
        <v/>
      </c>
    </row>
    <row r="25">
      <c r="B25" s="16" t="n">
        <v>12</v>
      </c>
      <c r="C25" s="19">
        <f>(INDEX(IS!$F$11:$O$11,3)*$B25-INDEX(Debt!$F$32:$O$32,3)+INDEX(CF!$F$14:$O$14,3)-inp_minority_interest+inp_equity_investments)/INDEX(IS!$F$22:$O$22,3)</f>
        <v/>
      </c>
      <c r="D25" s="19">
        <f>(INDEX(IS!$F$11:$O$11,5)*$B25-INDEX(Debt!$F$32:$O$32,5)+INDEX(CF!$F$14:$O$14,5)-inp_minority_interest+inp_equity_investments)/INDEX(IS!$F$22:$O$22,5)</f>
        <v/>
      </c>
      <c r="E25" s="19">
        <f>(INDEX(IS!$F$11:$O$11,7)*$B25-INDEX(Debt!$F$32:$O$32,7)+INDEX(CF!$F$14:$O$14,7)-inp_minority_interest+inp_equity_investments)/INDEX(IS!$F$22:$O$22,7)</f>
        <v/>
      </c>
      <c r="F25" s="19">
        <f>(INDEX(IS!$F$11:$O$11,10)*$B25-INDEX(Debt!$F$32:$O$32,10)+INDEX(CF!$F$14:$O$14,10)-inp_minority_interest+inp_equity_investments)/INDEX(IS!$F$22:$O$22,10)</f>
        <v/>
      </c>
    </row>
    <row r="26">
      <c r="B26" s="16" t="n">
        <v>13</v>
      </c>
      <c r="C26" s="19">
        <f>(INDEX(IS!$F$11:$O$11,3)*$B26-INDEX(Debt!$F$32:$O$32,3)+INDEX(CF!$F$14:$O$14,3)-inp_minority_interest+inp_equity_investments)/INDEX(IS!$F$22:$O$22,3)</f>
        <v/>
      </c>
      <c r="D26" s="19">
        <f>(INDEX(IS!$F$11:$O$11,5)*$B26-INDEX(Debt!$F$32:$O$32,5)+INDEX(CF!$F$14:$O$14,5)-inp_minority_interest+inp_equity_investments)/INDEX(IS!$F$22:$O$22,5)</f>
        <v/>
      </c>
      <c r="E26" s="19">
        <f>(INDEX(IS!$F$11:$O$11,7)*$B26-INDEX(Debt!$F$32:$O$32,7)+INDEX(CF!$F$14:$O$14,7)-inp_minority_interest+inp_equity_investments)/INDEX(IS!$F$22:$O$22,7)</f>
        <v/>
      </c>
      <c r="F26" s="19">
        <f>(INDEX(IS!$F$11:$O$11,10)*$B26-INDEX(Debt!$F$32:$O$32,10)+INDEX(CF!$F$14:$O$14,10)-inp_minority_interest+inp_equity_investments)/INDEX(IS!$F$22:$O$22,10)</f>
        <v/>
      </c>
    </row>
    <row r="27">
      <c r="B27" s="16" t="n">
        <v>14</v>
      </c>
      <c r="C27" s="19">
        <f>(INDEX(IS!$F$11:$O$11,3)*$B27-INDEX(Debt!$F$32:$O$32,3)+INDEX(CF!$F$14:$O$14,3)-inp_minority_interest+inp_equity_investments)/INDEX(IS!$F$22:$O$22,3)</f>
        <v/>
      </c>
      <c r="D27" s="19">
        <f>(INDEX(IS!$F$11:$O$11,5)*$B27-INDEX(Debt!$F$32:$O$32,5)+INDEX(CF!$F$14:$O$14,5)-inp_minority_interest+inp_equity_investments)/INDEX(IS!$F$22:$O$22,5)</f>
        <v/>
      </c>
      <c r="E27" s="19">
        <f>(INDEX(IS!$F$11:$O$11,7)*$B27-INDEX(Debt!$F$32:$O$32,7)+INDEX(CF!$F$14:$O$14,7)-inp_minority_interest+inp_equity_investments)/INDEX(IS!$F$22:$O$22,7)</f>
        <v/>
      </c>
      <c r="F27" s="19">
        <f>(INDEX(IS!$F$11:$O$11,10)*$B27-INDEX(Debt!$F$32:$O$32,10)+INDEX(CF!$F$14:$O$14,10)-inp_minority_interest+inp_equity_investments)/INDEX(IS!$F$22:$O$22,10)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B2:F40"/>
  <sheetViews>
    <sheetView showGridLines="0" workbookViewId="0">
      <selection activeCell="A1" sqref="A1"/>
    </sheetView>
  </sheetViews>
  <sheetFormatPr baseColWidth="8" defaultRowHeight="15"/>
  <cols>
    <col width="2.71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2">
      <c r="B2" s="1">
        <f>inp_ticker &amp; " | CapIQ Data"</f>
        <v/>
      </c>
    </row>
    <row r="4">
      <c r="B4" s="26" t="inlineStr">
        <is>
          <t>_CapIQ_Data — DO NOT EDIT MANUALLY. Populated by shared/fetch_capiq.py.</t>
        </is>
      </c>
    </row>
    <row r="5">
      <c r="B5" s="1" t="inlineStr">
        <is>
          <t>Run via:</t>
        </is>
      </c>
      <c r="C5" s="6" t="inlineStr">
        <is>
          <t>python -m shared.fetch_capiq &lt;TICKER&gt;</t>
        </is>
      </c>
    </row>
    <row r="6">
      <c r="B6" s="1" t="inlineStr">
        <is>
          <t>Ticker:</t>
        </is>
      </c>
    </row>
    <row r="7">
      <c r="B7" s="1" t="inlineStr">
        <is>
          <t>Date</t>
        </is>
      </c>
    </row>
    <row r="8">
      <c r="B8" s="1" t="inlineStr">
        <is>
          <t>Fetcher Run-Date</t>
        </is>
      </c>
    </row>
    <row r="10">
      <c r="B10" s="14" t="inlineStr">
        <is>
          <t>Field</t>
        </is>
      </c>
      <c r="C10" s="14" t="inlineStr">
        <is>
          <t>IQ_FY-2</t>
        </is>
      </c>
      <c r="D10" s="14" t="inlineStr">
        <is>
          <t>IQ_FY-1</t>
        </is>
      </c>
      <c r="E10" s="14" t="inlineStr">
        <is>
          <t>IQ_FY</t>
        </is>
      </c>
      <c r="F10" s="14" t="inlineStr">
        <is>
          <t>Current</t>
        </is>
      </c>
    </row>
    <row r="12">
      <c r="B12" s="6" t="inlineStr">
        <is>
          <t>Company Name</t>
        </is>
      </c>
    </row>
    <row r="13">
      <c r="B13" s="6" t="inlineStr">
        <is>
          <t>Sector</t>
        </is>
      </c>
    </row>
    <row r="14">
      <c r="B14" s="6" t="inlineStr">
        <is>
          <t>Currency</t>
        </is>
      </c>
    </row>
    <row r="15">
      <c r="B15" s="6" t="inlineStr">
        <is>
          <t>Filing Status</t>
        </is>
      </c>
    </row>
    <row r="18">
      <c r="B18" s="6" t="inlineStr">
        <is>
          <t>Current Price</t>
        </is>
      </c>
    </row>
    <row r="19">
      <c r="B19" s="6" t="inlineStr">
        <is>
          <t>Diluted Shares Out</t>
        </is>
      </c>
    </row>
    <row r="20">
      <c r="B20" s="1" t="inlineStr">
        <is>
          <t>Market Cap</t>
        </is>
      </c>
      <c r="F20" s="18">
        <f>F18*F19</f>
        <v/>
      </c>
    </row>
    <row r="21">
      <c r="B21" s="6" t="inlineStr">
        <is>
          <t>Cash &amp; Equivalents</t>
        </is>
      </c>
    </row>
    <row r="22">
      <c r="B22" s="6" t="inlineStr">
        <is>
          <t>ST Investments</t>
        </is>
      </c>
    </row>
    <row r="23">
      <c r="B23" s="6" t="inlineStr">
        <is>
          <t>Total Debt</t>
        </is>
      </c>
    </row>
    <row r="24">
      <c r="B24" s="6" t="inlineStr">
        <is>
          <t>Preferred Equity</t>
        </is>
      </c>
    </row>
    <row r="25">
      <c r="B25" s="6" t="inlineStr">
        <is>
          <t>Minority Interest</t>
        </is>
      </c>
    </row>
    <row r="26">
      <c r="B26" s="6" t="inlineStr">
        <is>
          <t>Equity Investments</t>
        </is>
      </c>
    </row>
    <row r="27">
      <c r="B27" s="6" t="inlineStr">
        <is>
          <t>Marketable Securities</t>
        </is>
      </c>
    </row>
    <row r="28">
      <c r="B28" s="1" t="inlineStr">
        <is>
          <t>Enterprise Value</t>
        </is>
      </c>
      <c r="F28" s="18">
        <f>F20-F21-F22+F23+F24+F25-F26-F27</f>
        <v/>
      </c>
    </row>
    <row r="31">
      <c r="B31" s="6" t="inlineStr">
        <is>
          <t>Revenue</t>
        </is>
      </c>
    </row>
    <row r="32">
      <c r="B32" s="6" t="inlineStr">
        <is>
          <t>COGS</t>
        </is>
      </c>
    </row>
    <row r="33">
      <c r="B33" s="6" t="inlineStr">
        <is>
          <t>Gross Profit</t>
        </is>
      </c>
    </row>
    <row r="34">
      <c r="B34" s="6" t="inlineStr">
        <is>
          <t>Total Opex</t>
        </is>
      </c>
    </row>
    <row r="35">
      <c r="B35" s="6" t="inlineStr">
        <is>
          <t>D&amp;A</t>
        </is>
      </c>
    </row>
    <row r="36">
      <c r="B36" s="6" t="inlineStr">
        <is>
          <t>EBITDA</t>
        </is>
      </c>
    </row>
    <row r="37">
      <c r="B37" s="6" t="inlineStr">
        <is>
          <t>EBIT</t>
        </is>
      </c>
    </row>
    <row r="38">
      <c r="B38" s="6" t="inlineStr">
        <is>
          <t>Capex</t>
        </is>
      </c>
    </row>
    <row r="39">
      <c r="B39" s="6" t="inlineStr">
        <is>
          <t>SBC</t>
        </is>
      </c>
    </row>
    <row r="40">
      <c r="B40" s="6" t="inlineStr">
        <is>
          <t>DPS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B2:H35"/>
  <sheetViews>
    <sheetView showGridLines="0" workbookViewId="0">
      <selection activeCell="A1" sqref="A1"/>
    </sheetView>
  </sheetViews>
  <sheetFormatPr baseColWidth="8" defaultRowHeight="15"/>
  <cols>
    <col width="2.71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>
        <f>inp_ticker &amp; " | Broker Data"</f>
        <v/>
      </c>
    </row>
    <row r="4">
      <c r="B4" s="26" t="inlineStr">
        <is>
          <t>_Broker_Data — DO NOT EDIT MANUALLY. Populated by shared/fetch_broker_estimates.py.</t>
        </is>
      </c>
    </row>
    <row r="5">
      <c r="B5" s="1" t="inlineStr">
        <is>
          <t>Last fetch:</t>
        </is>
      </c>
    </row>
    <row r="6">
      <c r="B6" s="1" t="inlineStr">
        <is>
          <t>Ticker:</t>
        </is>
      </c>
    </row>
    <row r="7">
      <c r="B7" s="1" t="inlineStr">
        <is>
          <t>FY1 fiscal year:</t>
        </is>
      </c>
    </row>
    <row r="8">
      <c r="B8" s="1" t="inlineStr">
        <is>
          <t>FY2 fiscal year:</t>
        </is>
      </c>
    </row>
    <row r="9">
      <c r="B9" s="1" t="inlineStr">
        <is>
          <t>FY3 fiscal year:</t>
        </is>
      </c>
    </row>
    <row r="11">
      <c r="B11" s="14" t="inlineStr">
        <is>
          <t>Field</t>
        </is>
      </c>
      <c r="C11" s="14" t="inlineStr">
        <is>
          <t>FY1 Mean</t>
        </is>
      </c>
      <c r="D11" s="14" t="inlineStr">
        <is>
          <t>FY2 Mean</t>
        </is>
      </c>
      <c r="E11" s="14" t="inlineStr">
        <is>
          <t>FY3 Mean</t>
        </is>
      </c>
      <c r="F11" s="14" t="inlineStr">
        <is>
          <t>FY1 High</t>
        </is>
      </c>
      <c r="G11" s="14" t="inlineStr">
        <is>
          <t>FY1 Low</t>
        </is>
      </c>
      <c r="H11" s="14" t="inlineStr">
        <is>
          <t>FY1 # Est</t>
        </is>
      </c>
    </row>
    <row r="13">
      <c r="B13" s="6" t="inlineStr">
        <is>
          <t>Revenue</t>
        </is>
      </c>
    </row>
    <row r="14">
      <c r="B14" s="6" t="inlineStr">
        <is>
          <t>Gross Profit</t>
        </is>
      </c>
    </row>
    <row r="15">
      <c r="B15" s="6" t="inlineStr">
        <is>
          <t>EBITDA</t>
        </is>
      </c>
    </row>
    <row r="16">
      <c r="B16" s="6" t="inlineStr">
        <is>
          <t>EBIT</t>
        </is>
      </c>
    </row>
    <row r="17">
      <c r="B17" s="6" t="inlineStr">
        <is>
          <t>Net Income</t>
        </is>
      </c>
    </row>
    <row r="18">
      <c r="B18" s="6" t="inlineStr">
        <is>
          <t>EPS (Diluted)</t>
        </is>
      </c>
    </row>
    <row r="19">
      <c r="B19" s="6" t="inlineStr">
        <is>
          <t>CFO</t>
        </is>
      </c>
    </row>
    <row r="20">
      <c r="B20" s="6" t="inlineStr">
        <is>
          <t>CapEx</t>
        </is>
      </c>
    </row>
    <row r="23">
      <c r="B23" s="6" t="inlineStr">
        <is>
          <t>Revenue Growth FY1 %</t>
        </is>
      </c>
      <c r="C23" s="17">
        <f>IFERROR(C13/_CapIQ_Data!E31-1,"")</f>
        <v/>
      </c>
    </row>
    <row r="24">
      <c r="B24" s="6" t="inlineStr">
        <is>
          <t>Revenue Growth FY2 %</t>
        </is>
      </c>
      <c r="C24" s="17">
        <f>IFERROR(D13/C13-1,"")</f>
        <v/>
      </c>
    </row>
    <row r="25">
      <c r="B25" s="6" t="inlineStr">
        <is>
          <t>Revenue Growth FY3 %</t>
        </is>
      </c>
      <c r="C25" s="17">
        <f>IFERROR(E13/D13-1,"")</f>
        <v/>
      </c>
    </row>
    <row r="26">
      <c r="B26" s="6" t="inlineStr">
        <is>
          <t>Gross Margin FY1 %</t>
        </is>
      </c>
      <c r="C26" s="17">
        <f>IFERROR(C14/C13,"")</f>
        <v/>
      </c>
    </row>
    <row r="27">
      <c r="B27" s="6" t="inlineStr">
        <is>
          <t>EBITDA Margin FY1 %</t>
        </is>
      </c>
      <c r="C27" s="17">
        <f>IFERROR(C15/C13,"")</f>
        <v/>
      </c>
    </row>
    <row r="28">
      <c r="B28" s="6" t="inlineStr">
        <is>
          <t>EBIT Margin FY1 %</t>
        </is>
      </c>
      <c r="C28" s="17">
        <f>IFERROR(C16/C13,"")</f>
        <v/>
      </c>
    </row>
    <row r="31">
      <c r="B31" s="6" t="inlineStr">
        <is>
          <t>Number of Analysts Covering</t>
        </is>
      </c>
    </row>
    <row r="32">
      <c r="B32" s="6" t="inlineStr">
        <is>
          <t>Average Price Target</t>
        </is>
      </c>
    </row>
    <row r="33">
      <c r="B33" s="6" t="inlineStr">
        <is>
          <t>Implied Upside %</t>
        </is>
      </c>
      <c r="C33" s="17">
        <f>IFERROR(C32/inp_current_price-1,"")</f>
        <v/>
      </c>
    </row>
    <row r="34">
      <c r="B34" s="6" t="inlineStr">
        <is>
          <t>Average Recommendation (1=Buy,5=Sell)</t>
        </is>
      </c>
    </row>
    <row r="35">
      <c r="B35" s="6" t="inlineStr">
        <is>
          <t>Recommendation Distribution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2026-04-29T02:14:55Z</dcterms:created>
  <dcterms:modified xsi:type="dcterms:W3CDTF">2026-04-29T02:14:55Z</dcterms:modified>
</cp:coreProperties>
</file>