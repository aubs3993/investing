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ubre\Documents\python_projects\investing\templates\"/>
    </mc:Choice>
  </mc:AlternateContent>
  <xr:revisionPtr revIDLastSave="0" documentId="13_ncr:1_{EC0BCD2B-B9E2-46AD-B2BF-724E4051760E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ver" sheetId="1" r:id="rId1"/>
    <sheet name="Inputs" sheetId="2" r:id="rId2"/>
    <sheet name="IS" sheetId="3" r:id="rId3"/>
    <sheet name="CF" sheetId="4" r:id="rId4"/>
    <sheet name="Debt" sheetId="5" r:id="rId5"/>
    <sheet name="Valuation" sheetId="6" r:id="rId6"/>
    <sheet name="Summary" sheetId="7" r:id="rId7"/>
    <sheet name="Sensitivity" sheetId="8" r:id="rId8"/>
    <sheet name="_CapIQ_Data" sheetId="9" r:id="rId9"/>
    <sheet name="_Broker_Data" sheetId="10" r:id="rId10"/>
  </sheets>
  <definedNames>
    <definedName name="calc_annual_div">Inputs!$D$24</definedName>
    <definedName name="drv_capex_pct_rev">Inputs!$I$35:$R$35</definedName>
    <definedName name="drv_da_pct_capex">Inputs!$I$36:$R$36</definedName>
    <definedName name="drv_exit_multiple">Inputs!$I$37:$R$37</definedName>
    <definedName name="drv_gross_margin">Inputs!$I$32:$R$32</definedName>
    <definedName name="drv_opex_pct_rev">Inputs!$I$33:$R$33</definedName>
    <definedName name="drv_revenue_growth">Inputs!$I$31:$R$31</definedName>
    <definedName name="inp_annual_dps">Inputs!$D$13</definedName>
    <definedName name="inp_cash">Inputs!$D$16</definedName>
    <definedName name="inp_cash_sweep_pct">Inputs!$D$20</definedName>
    <definedName name="inp_company_name">Inputs!$D$8</definedName>
    <definedName name="inp_currency">Inputs!$D$10</definedName>
    <definedName name="inp_current_price">Inputs!$D$11</definedName>
    <definedName name="inp_debt">Inputs!$D$17</definedName>
    <definedName name="inp_diluted_shares">Inputs!$D$12</definedName>
    <definedName name="inp_dps_growth">Inputs!$D$14</definedName>
    <definedName name="inp_equity_investments">Inputs!$D$19</definedName>
    <definedName name="inp_fye_month">Inputs!$D$7</definedName>
    <definedName name="inp_min_cash">Inputs!$D$21</definedName>
    <definedName name="inp_minority_interest">Inputs!$D$18</definedName>
    <definedName name="inp_run_date">Inputs!$D$6</definedName>
    <definedName name="inp_sector">Inputs!$D$9</definedName>
    <definedName name="inp_tax_rate">Inputs!$D$15</definedName>
    <definedName name="inp_ticker">Inputs!$D$5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45930.7803240741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kt_cap">Inputs!$D$25</definedName>
    <definedName name="sens_target_year_offset">Sensitivity!$C$4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H10" i="4"/>
  <c r="I10" i="4"/>
  <c r="J10" i="4"/>
  <c r="K10" i="4"/>
  <c r="L10" i="4"/>
  <c r="M10" i="4"/>
  <c r="N10" i="4"/>
  <c r="O10" i="4"/>
  <c r="F10" i="4"/>
  <c r="E18" i="4"/>
  <c r="B2" i="4"/>
  <c r="G37" i="3"/>
  <c r="H37" i="3"/>
  <c r="I37" i="3"/>
  <c r="J37" i="3"/>
  <c r="K37" i="3"/>
  <c r="L37" i="3"/>
  <c r="M37" i="3"/>
  <c r="N37" i="3"/>
  <c r="O37" i="3"/>
  <c r="F37" i="3"/>
  <c r="G27" i="3"/>
  <c r="H27" i="3"/>
  <c r="I27" i="3"/>
  <c r="J27" i="3"/>
  <c r="K27" i="3"/>
  <c r="L27" i="3"/>
  <c r="M27" i="3"/>
  <c r="N27" i="3"/>
  <c r="O27" i="3"/>
  <c r="F27" i="3"/>
  <c r="D26" i="3"/>
  <c r="E26" i="3"/>
  <c r="C26" i="3"/>
  <c r="G25" i="3"/>
  <c r="H25" i="3"/>
  <c r="I25" i="3"/>
  <c r="J25" i="3"/>
  <c r="K25" i="3"/>
  <c r="L25" i="3"/>
  <c r="M25" i="3"/>
  <c r="N25" i="3"/>
  <c r="O25" i="3"/>
  <c r="F25" i="3"/>
  <c r="D24" i="3"/>
  <c r="D15" i="3" s="1"/>
  <c r="E24" i="3"/>
  <c r="E15" i="3" s="1"/>
  <c r="C24" i="3"/>
  <c r="C15" i="3" s="1"/>
  <c r="G47" i="3"/>
  <c r="H47" i="3"/>
  <c r="I47" i="3"/>
  <c r="J47" i="3"/>
  <c r="K47" i="3"/>
  <c r="L47" i="3"/>
  <c r="M47" i="3"/>
  <c r="N47" i="3"/>
  <c r="O47" i="3"/>
  <c r="F47" i="3"/>
  <c r="D46" i="3"/>
  <c r="E46" i="3"/>
  <c r="C46" i="3"/>
  <c r="G18" i="3"/>
  <c r="H18" i="3"/>
  <c r="I18" i="3"/>
  <c r="J18" i="3"/>
  <c r="K18" i="3"/>
  <c r="L18" i="3"/>
  <c r="M18" i="3"/>
  <c r="N18" i="3"/>
  <c r="O18" i="3"/>
  <c r="F18" i="3"/>
  <c r="D14" i="3"/>
  <c r="E14" i="3"/>
  <c r="C14" i="3"/>
  <c r="G12" i="3"/>
  <c r="H12" i="3"/>
  <c r="I12" i="3"/>
  <c r="J12" i="3"/>
  <c r="K12" i="3"/>
  <c r="L12" i="3"/>
  <c r="M12" i="3"/>
  <c r="N12" i="3"/>
  <c r="O12" i="3"/>
  <c r="F12" i="3"/>
  <c r="D10" i="3"/>
  <c r="E10" i="3"/>
  <c r="C10" i="3"/>
  <c r="G8" i="3"/>
  <c r="H8" i="3"/>
  <c r="I8" i="3"/>
  <c r="J8" i="3"/>
  <c r="K8" i="3"/>
  <c r="L8" i="3"/>
  <c r="M8" i="3"/>
  <c r="N8" i="3"/>
  <c r="O8" i="3"/>
  <c r="F8" i="3"/>
  <c r="E25" i="3" l="1"/>
  <c r="H36" i="2" s="1"/>
  <c r="D25" i="3"/>
  <c r="G36" i="2" s="1"/>
  <c r="C25" i="3"/>
  <c r="F36" i="2" s="1"/>
  <c r="C28" i="10"/>
  <c r="C27" i="10"/>
  <c r="C26" i="10"/>
  <c r="C25" i="10"/>
  <c r="C24" i="10"/>
  <c r="C23" i="10"/>
  <c r="B2" i="10"/>
  <c r="F20" i="9"/>
  <c r="F28" i="9" s="1"/>
  <c r="B2" i="9"/>
  <c r="C6" i="8"/>
  <c r="B2" i="8"/>
  <c r="C11" i="7"/>
  <c r="C5" i="7"/>
  <c r="B2" i="7"/>
  <c r="O6" i="6"/>
  <c r="N6" i="6"/>
  <c r="M6" i="6"/>
  <c r="L6" i="6"/>
  <c r="K6" i="6"/>
  <c r="J6" i="6"/>
  <c r="I6" i="6"/>
  <c r="H6" i="6"/>
  <c r="G6" i="6"/>
  <c r="F6" i="6"/>
  <c r="B2" i="6"/>
  <c r="E35" i="5"/>
  <c r="D35" i="5"/>
  <c r="C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C31" i="5"/>
  <c r="D28" i="5"/>
  <c r="C28" i="5"/>
  <c r="C26" i="5"/>
  <c r="D24" i="5"/>
  <c r="D26" i="5" s="1"/>
  <c r="E24" i="5" s="1"/>
  <c r="C19" i="5"/>
  <c r="C21" i="5" s="1"/>
  <c r="D18" i="5"/>
  <c r="E15" i="5" s="1"/>
  <c r="C18" i="5"/>
  <c r="D15" i="5"/>
  <c r="D19" i="5" s="1"/>
  <c r="D21" i="5" s="1"/>
  <c r="C9" i="5"/>
  <c r="C32" i="5" s="1"/>
  <c r="D6" i="5"/>
  <c r="D31" i="5" s="1"/>
  <c r="B2" i="5"/>
  <c r="E16" i="3"/>
  <c r="E27" i="3" s="1"/>
  <c r="H34" i="2" s="1"/>
  <c r="D16" i="3"/>
  <c r="D27" i="3" s="1"/>
  <c r="G34" i="2" s="1"/>
  <c r="C16" i="3"/>
  <c r="C27" i="3" s="1"/>
  <c r="F34" i="2" s="1"/>
  <c r="E7" i="3"/>
  <c r="E47" i="3" s="1"/>
  <c r="H35" i="2" s="1"/>
  <c r="D7" i="3"/>
  <c r="D47" i="3" s="1"/>
  <c r="G35" i="2" s="1"/>
  <c r="C7" i="3"/>
  <c r="C10" i="7" s="1"/>
  <c r="B2" i="3"/>
  <c r="D19" i="2"/>
  <c r="D18" i="2"/>
  <c r="D17" i="2"/>
  <c r="D16" i="2"/>
  <c r="D13" i="2"/>
  <c r="D12" i="2"/>
  <c r="O41" i="3" s="1"/>
  <c r="O13" i="6" s="1"/>
  <c r="D11" i="2"/>
  <c r="C33" i="10" s="1"/>
  <c r="D10" i="2"/>
  <c r="C7" i="1" s="1"/>
  <c r="D9" i="2"/>
  <c r="C6" i="7" s="1"/>
  <c r="D8" i="2"/>
  <c r="C4" i="7" s="1"/>
  <c r="B2" i="2"/>
  <c r="C8" i="1"/>
  <c r="C6" i="1"/>
  <c r="C5" i="1"/>
  <c r="B2" i="1"/>
  <c r="F16" i="3" l="1"/>
  <c r="F26" i="3" s="1"/>
  <c r="C47" i="3"/>
  <c r="F35" i="2" s="1"/>
  <c r="C17" i="3"/>
  <c r="E18" i="3"/>
  <c r="H33" i="2" s="1"/>
  <c r="E17" i="3"/>
  <c r="D17" i="3"/>
  <c r="D18" i="3"/>
  <c r="G33" i="2" s="1"/>
  <c r="E10" i="7"/>
  <c r="E11" i="3"/>
  <c r="F7" i="3"/>
  <c r="D10" i="7"/>
  <c r="D11" i="3"/>
  <c r="C11" i="3"/>
  <c r="D26" i="2"/>
  <c r="D24" i="2"/>
  <c r="C9" i="1"/>
  <c r="C4" i="1"/>
  <c r="O13" i="4"/>
  <c r="O11" i="6"/>
  <c r="K11" i="6"/>
  <c r="G11" i="6"/>
  <c r="M11" i="6"/>
  <c r="I11" i="6"/>
  <c r="L11" i="6"/>
  <c r="H11" i="6"/>
  <c r="F11" i="6"/>
  <c r="N11" i="6"/>
  <c r="J11" i="6"/>
  <c r="E8" i="3"/>
  <c r="H41" i="3"/>
  <c r="H13" i="6" s="1"/>
  <c r="L41" i="3"/>
  <c r="L13" i="6" s="1"/>
  <c r="E18" i="5"/>
  <c r="F15" i="5" s="1"/>
  <c r="F11" i="7"/>
  <c r="I41" i="3"/>
  <c r="I13" i="6" s="1"/>
  <c r="M41" i="3"/>
  <c r="M13" i="6" s="1"/>
  <c r="D25" i="2"/>
  <c r="F41" i="3"/>
  <c r="F13" i="6" s="1"/>
  <c r="J41" i="3"/>
  <c r="J13" i="6" s="1"/>
  <c r="N41" i="3"/>
  <c r="N13" i="6" s="1"/>
  <c r="E28" i="5"/>
  <c r="E26" i="5"/>
  <c r="F24" i="5" s="1"/>
  <c r="M10" i="6"/>
  <c r="I10" i="6"/>
  <c r="O10" i="6"/>
  <c r="K10" i="6"/>
  <c r="G10" i="6"/>
  <c r="N10" i="6"/>
  <c r="J10" i="6"/>
  <c r="F10" i="6"/>
  <c r="L10" i="6"/>
  <c r="H10" i="6"/>
  <c r="D8" i="3"/>
  <c r="G41" i="3"/>
  <c r="G13" i="6" s="1"/>
  <c r="K41" i="3"/>
  <c r="K13" i="6" s="1"/>
  <c r="D9" i="5"/>
  <c r="C10" i="5"/>
  <c r="C12" i="5" s="1"/>
  <c r="C33" i="5" s="1"/>
  <c r="G16" i="3" l="1"/>
  <c r="G26" i="3" s="1"/>
  <c r="C20" i="3"/>
  <c r="C29" i="3" s="1"/>
  <c r="E20" i="3"/>
  <c r="E29" i="3" s="1"/>
  <c r="D20" i="3"/>
  <c r="F10" i="7"/>
  <c r="F46" i="3"/>
  <c r="F24" i="3" s="1"/>
  <c r="D11" i="7"/>
  <c r="G31" i="2"/>
  <c r="H16" i="3"/>
  <c r="H26" i="3" s="1"/>
  <c r="E11" i="7"/>
  <c r="H31" i="2"/>
  <c r="D12" i="3"/>
  <c r="G32" i="2" s="1"/>
  <c r="G7" i="3"/>
  <c r="G46" i="3" s="1"/>
  <c r="G24" i="3" s="1"/>
  <c r="F11" i="3"/>
  <c r="F10" i="3" s="1"/>
  <c r="M13" i="4"/>
  <c r="E12" i="3"/>
  <c r="H32" i="2" s="1"/>
  <c r="H13" i="4"/>
  <c r="F13" i="4"/>
  <c r="D32" i="5"/>
  <c r="D10" i="5"/>
  <c r="D12" i="5" s="1"/>
  <c r="D33" i="5" s="1"/>
  <c r="E6" i="5"/>
  <c r="F26" i="5"/>
  <c r="G24" i="5" s="1"/>
  <c r="F28" i="5"/>
  <c r="C10" i="1"/>
  <c r="D27" i="2"/>
  <c r="C12" i="3"/>
  <c r="F32" i="2" s="1"/>
  <c r="G13" i="4"/>
  <c r="L13" i="4"/>
  <c r="J13" i="4"/>
  <c r="E19" i="5"/>
  <c r="E21" i="5" s="1"/>
  <c r="K13" i="4"/>
  <c r="I13" i="4"/>
  <c r="N13" i="4"/>
  <c r="F20" i="3" l="1"/>
  <c r="F22" i="3" s="1"/>
  <c r="D29" i="3"/>
  <c r="D30" i="3" s="1"/>
  <c r="G15" i="3"/>
  <c r="F15" i="3"/>
  <c r="F14" i="3" s="1"/>
  <c r="F29" i="3"/>
  <c r="D21" i="3"/>
  <c r="D13" i="7" s="1"/>
  <c r="D22" i="3"/>
  <c r="D7" i="4"/>
  <c r="D14" i="7" s="1"/>
  <c r="D15" i="7" s="1"/>
  <c r="E22" i="3"/>
  <c r="D12" i="7"/>
  <c r="I16" i="3"/>
  <c r="I26" i="3" s="1"/>
  <c r="H7" i="3"/>
  <c r="G11" i="3"/>
  <c r="G11" i="7"/>
  <c r="G10" i="7"/>
  <c r="C12" i="7"/>
  <c r="C7" i="4"/>
  <c r="C30" i="3"/>
  <c r="C21" i="3"/>
  <c r="C13" i="7" s="1"/>
  <c r="E12" i="7"/>
  <c r="E21" i="3"/>
  <c r="E13" i="7" s="1"/>
  <c r="E7" i="4"/>
  <c r="E30" i="3"/>
  <c r="E10" i="5"/>
  <c r="E12" i="5" s="1"/>
  <c r="E33" i="5" s="1"/>
  <c r="E9" i="5"/>
  <c r="E31" i="5"/>
  <c r="H11" i="7"/>
  <c r="G28" i="5"/>
  <c r="G26" i="5"/>
  <c r="H24" i="5" s="1"/>
  <c r="E31" i="3" l="1"/>
  <c r="G14" i="3"/>
  <c r="D31" i="3"/>
  <c r="F31" i="3"/>
  <c r="G10" i="3"/>
  <c r="G20" i="3"/>
  <c r="G29" i="3" s="1"/>
  <c r="H46" i="3"/>
  <c r="H24" i="3" s="1"/>
  <c r="J16" i="3"/>
  <c r="J26" i="3" s="1"/>
  <c r="G17" i="3"/>
  <c r="F17" i="3"/>
  <c r="H10" i="7"/>
  <c r="I7" i="3"/>
  <c r="H11" i="3"/>
  <c r="E14" i="7"/>
  <c r="E15" i="7" s="1"/>
  <c r="H28" i="5"/>
  <c r="H26" i="5"/>
  <c r="I24" i="5" s="1"/>
  <c r="C14" i="7"/>
  <c r="C15" i="7" s="1"/>
  <c r="I11" i="7"/>
  <c r="F6" i="5"/>
  <c r="E32" i="5"/>
  <c r="H15" i="3" l="1"/>
  <c r="H14" i="3"/>
  <c r="G22" i="3"/>
  <c r="G31" i="3"/>
  <c r="H10" i="3"/>
  <c r="H20" i="3"/>
  <c r="H29" i="3" s="1"/>
  <c r="I10" i="7"/>
  <c r="I46" i="3"/>
  <c r="I24" i="3" s="1"/>
  <c r="K16" i="3"/>
  <c r="K26" i="3" s="1"/>
  <c r="H17" i="3"/>
  <c r="J7" i="3"/>
  <c r="I11" i="3"/>
  <c r="C16" i="7"/>
  <c r="C17" i="7" s="1"/>
  <c r="I28" i="5"/>
  <c r="I26" i="5"/>
  <c r="J24" i="5" s="1"/>
  <c r="F9" i="5"/>
  <c r="F31" i="5"/>
  <c r="F10" i="5"/>
  <c r="F12" i="5" s="1"/>
  <c r="J11" i="7"/>
  <c r="I15" i="3" l="1"/>
  <c r="I14" i="3" s="1"/>
  <c r="H22" i="3"/>
  <c r="H31" i="3"/>
  <c r="I10" i="3"/>
  <c r="I20" i="3"/>
  <c r="I29" i="3" s="1"/>
  <c r="J10" i="7"/>
  <c r="J46" i="3"/>
  <c r="J24" i="3" s="1"/>
  <c r="L16" i="3"/>
  <c r="L26" i="3" s="1"/>
  <c r="I17" i="3"/>
  <c r="K7" i="3"/>
  <c r="J11" i="3"/>
  <c r="G6" i="5"/>
  <c r="D16" i="7"/>
  <c r="D17" i="7" s="1"/>
  <c r="K11" i="7"/>
  <c r="J26" i="5"/>
  <c r="K24" i="5" s="1"/>
  <c r="J28" i="5"/>
  <c r="J15" i="3" l="1"/>
  <c r="J14" i="3" s="1"/>
  <c r="I22" i="3"/>
  <c r="I31" i="3"/>
  <c r="J10" i="3"/>
  <c r="J20" i="3"/>
  <c r="J29" i="3" s="1"/>
  <c r="K10" i="7"/>
  <c r="K46" i="3"/>
  <c r="K24" i="3" s="1"/>
  <c r="M16" i="3"/>
  <c r="M26" i="3" s="1"/>
  <c r="L7" i="3"/>
  <c r="K11" i="3"/>
  <c r="K28" i="5"/>
  <c r="K26" i="5"/>
  <c r="L24" i="5" s="1"/>
  <c r="F16" i="4"/>
  <c r="E16" i="7"/>
  <c r="E17" i="7" s="1"/>
  <c r="L11" i="7"/>
  <c r="G9" i="5"/>
  <c r="G10" i="5" s="1"/>
  <c r="G12" i="5" s="1"/>
  <c r="K15" i="3" l="1"/>
  <c r="K14" i="3" s="1"/>
  <c r="J22" i="3"/>
  <c r="J31" i="3"/>
  <c r="K10" i="3"/>
  <c r="K20" i="3"/>
  <c r="K29" i="3" s="1"/>
  <c r="L10" i="7"/>
  <c r="L46" i="3"/>
  <c r="L24" i="3" s="1"/>
  <c r="N16" i="3"/>
  <c r="N26" i="3" s="1"/>
  <c r="K17" i="3"/>
  <c r="J17" i="3"/>
  <c r="M7" i="3"/>
  <c r="M46" i="3" s="1"/>
  <c r="M24" i="3" s="1"/>
  <c r="L11" i="3"/>
  <c r="H6" i="5"/>
  <c r="M11" i="7"/>
  <c r="L28" i="5"/>
  <c r="L26" i="5"/>
  <c r="M24" i="5" s="1"/>
  <c r="L15" i="3" l="1"/>
  <c r="L14" i="3" s="1"/>
  <c r="M15" i="3"/>
  <c r="K22" i="3"/>
  <c r="K31" i="3"/>
  <c r="L10" i="3"/>
  <c r="L20" i="3"/>
  <c r="L29" i="3" s="1"/>
  <c r="O16" i="3"/>
  <c r="O26" i="3" s="1"/>
  <c r="L17" i="3"/>
  <c r="M10" i="7"/>
  <c r="N7" i="3"/>
  <c r="M11" i="3"/>
  <c r="H9" i="5"/>
  <c r="M28" i="5"/>
  <c r="M26" i="5"/>
  <c r="N24" i="5" s="1"/>
  <c r="N11" i="7"/>
  <c r="M14" i="3" l="1"/>
  <c r="L22" i="3"/>
  <c r="L31" i="3"/>
  <c r="M10" i="3"/>
  <c r="M20" i="3"/>
  <c r="M29" i="3" s="1"/>
  <c r="N10" i="7"/>
  <c r="N46" i="3"/>
  <c r="N24" i="3" s="1"/>
  <c r="M17" i="3"/>
  <c r="O7" i="3"/>
  <c r="N11" i="3"/>
  <c r="N26" i="5"/>
  <c r="O24" i="5" s="1"/>
  <c r="N28" i="5"/>
  <c r="I6" i="5"/>
  <c r="H10" i="5"/>
  <c r="H12" i="5" s="1"/>
  <c r="O11" i="7"/>
  <c r="N15" i="3" l="1"/>
  <c r="N14" i="3" s="1"/>
  <c r="M22" i="3"/>
  <c r="M31" i="3"/>
  <c r="N10" i="3"/>
  <c r="N20" i="3"/>
  <c r="N29" i="3" s="1"/>
  <c r="O11" i="3"/>
  <c r="O46" i="3"/>
  <c r="O24" i="3" s="1"/>
  <c r="O10" i="7"/>
  <c r="I10" i="5"/>
  <c r="I12" i="5" s="1"/>
  <c r="I9" i="5"/>
  <c r="O28" i="5"/>
  <c r="O26" i="5"/>
  <c r="O15" i="3" l="1"/>
  <c r="O14" i="3" s="1"/>
  <c r="N22" i="3"/>
  <c r="N31" i="3"/>
  <c r="O10" i="3"/>
  <c r="O20" i="3"/>
  <c r="O29" i="3" s="1"/>
  <c r="N17" i="3"/>
  <c r="J6" i="5"/>
  <c r="O22" i="3" l="1"/>
  <c r="O31" i="3"/>
  <c r="O17" i="3"/>
  <c r="J9" i="5"/>
  <c r="J10" i="5"/>
  <c r="J12" i="5" s="1"/>
  <c r="K6" i="5" l="1"/>
  <c r="K9" i="5" l="1"/>
  <c r="L6" i="5" l="1"/>
  <c r="K10" i="5"/>
  <c r="K12" i="5" s="1"/>
  <c r="L9" i="5" l="1"/>
  <c r="M6" i="5" l="1"/>
  <c r="L10" i="5"/>
  <c r="L12" i="5" s="1"/>
  <c r="M10" i="5" l="1"/>
  <c r="M12" i="5" s="1"/>
  <c r="M9" i="5"/>
  <c r="N6" i="5" l="1"/>
  <c r="N9" i="5" l="1"/>
  <c r="N10" i="5" s="1"/>
  <c r="N12" i="5" s="1"/>
  <c r="O6" i="5" l="1"/>
  <c r="O9" i="5" l="1"/>
  <c r="O10" i="5" l="1"/>
  <c r="O12" i="5" s="1"/>
  <c r="F7" i="4"/>
  <c r="G7" i="4"/>
  <c r="H7" i="4"/>
  <c r="I7" i="4"/>
  <c r="J7" i="4"/>
  <c r="K7" i="4"/>
  <c r="L7" i="4"/>
  <c r="M7" i="4"/>
  <c r="N7" i="4"/>
  <c r="O7" i="4"/>
  <c r="F21" i="3"/>
  <c r="F13" i="7" s="1"/>
  <c r="G21" i="3"/>
  <c r="G13" i="7" s="1"/>
  <c r="H21" i="3"/>
  <c r="I21" i="3"/>
  <c r="I13" i="7" s="1"/>
  <c r="J21" i="3"/>
  <c r="J13" i="7" s="1"/>
  <c r="K21" i="3"/>
  <c r="K13" i="7" s="1"/>
  <c r="L21" i="3"/>
  <c r="L13" i="7" s="1"/>
  <c r="M21" i="3"/>
  <c r="M13" i="7" s="1"/>
  <c r="N21" i="3"/>
  <c r="N13" i="7" s="1"/>
  <c r="O21" i="3"/>
  <c r="O13" i="7" s="1"/>
  <c r="G30" i="3"/>
  <c r="H30" i="3"/>
  <c r="K30" i="3"/>
  <c r="L30" i="3"/>
  <c r="O30" i="3"/>
  <c r="F30" i="3"/>
  <c r="J30" i="3"/>
  <c r="N30" i="3"/>
  <c r="F12" i="7"/>
  <c r="G12" i="7"/>
  <c r="H12" i="7"/>
  <c r="I12" i="7"/>
  <c r="J12" i="7"/>
  <c r="K12" i="7"/>
  <c r="L12" i="7"/>
  <c r="M12" i="7"/>
  <c r="N12" i="7"/>
  <c r="O12" i="7"/>
  <c r="H13" i="7"/>
  <c r="F5" i="6"/>
  <c r="F7" i="6" s="1"/>
  <c r="G5" i="6"/>
  <c r="G7" i="6" s="1"/>
  <c r="H5" i="6"/>
  <c r="H7" i="6" s="1"/>
  <c r="I5" i="6"/>
  <c r="I7" i="6" s="1"/>
  <c r="J5" i="6"/>
  <c r="J7" i="6" s="1"/>
  <c r="K5" i="6"/>
  <c r="K7" i="6" s="1"/>
  <c r="L5" i="6"/>
  <c r="L7" i="6" s="1"/>
  <c r="M5" i="6"/>
  <c r="M7" i="6" s="1"/>
  <c r="N5" i="6"/>
  <c r="N7" i="6" s="1"/>
  <c r="O5" i="6"/>
  <c r="O7" i="6" s="1"/>
  <c r="M30" i="3" l="1"/>
  <c r="I30" i="3"/>
  <c r="F8" i="4"/>
  <c r="G8" i="4"/>
  <c r="H8" i="4"/>
  <c r="I8" i="4"/>
  <c r="J8" i="4"/>
  <c r="K8" i="4"/>
  <c r="L8" i="4"/>
  <c r="M8" i="4"/>
  <c r="N8" i="4"/>
  <c r="O8" i="4"/>
  <c r="F9" i="4"/>
  <c r="G9" i="4"/>
  <c r="H9" i="4"/>
  <c r="I9" i="4"/>
  <c r="J9" i="4"/>
  <c r="K9" i="4"/>
  <c r="L9" i="4"/>
  <c r="M9" i="4"/>
  <c r="N9" i="4"/>
  <c r="O9" i="4"/>
  <c r="F11" i="4"/>
  <c r="G11" i="4"/>
  <c r="H11" i="4"/>
  <c r="I11" i="4"/>
  <c r="J11" i="4"/>
  <c r="K11" i="4"/>
  <c r="L11" i="4"/>
  <c r="M11" i="4"/>
  <c r="N11" i="4"/>
  <c r="O11" i="4"/>
  <c r="F12" i="4"/>
  <c r="G12" i="4"/>
  <c r="H12" i="4"/>
  <c r="I12" i="4"/>
  <c r="J12" i="4"/>
  <c r="K12" i="4"/>
  <c r="L12" i="4"/>
  <c r="M12" i="4"/>
  <c r="N12" i="4"/>
  <c r="O12" i="4"/>
  <c r="F14" i="4"/>
  <c r="G14" i="4"/>
  <c r="H14" i="4"/>
  <c r="I14" i="4"/>
  <c r="J14" i="4"/>
  <c r="K14" i="4"/>
  <c r="L14" i="4"/>
  <c r="M14" i="4"/>
  <c r="N14" i="4"/>
  <c r="O14" i="4"/>
  <c r="G16" i="4"/>
  <c r="H16" i="4"/>
  <c r="I16" i="4"/>
  <c r="J16" i="4"/>
  <c r="K16" i="4"/>
  <c r="L16" i="4"/>
  <c r="M16" i="4"/>
  <c r="N16" i="4"/>
  <c r="O16" i="4"/>
  <c r="F17" i="4"/>
  <c r="G17" i="4"/>
  <c r="H17" i="4"/>
  <c r="I17" i="4"/>
  <c r="J17" i="4"/>
  <c r="K17" i="4"/>
  <c r="L17" i="4"/>
  <c r="M17" i="4"/>
  <c r="N17" i="4"/>
  <c r="O17" i="4"/>
  <c r="F18" i="4"/>
  <c r="G18" i="4"/>
  <c r="H18" i="4"/>
  <c r="I18" i="4"/>
  <c r="J18" i="4"/>
  <c r="K18" i="4"/>
  <c r="L18" i="4"/>
  <c r="M18" i="4"/>
  <c r="N18" i="4"/>
  <c r="O18" i="4"/>
  <c r="G15" i="5"/>
  <c r="H15" i="5"/>
  <c r="I15" i="5"/>
  <c r="J15" i="5"/>
  <c r="K15" i="5"/>
  <c r="L15" i="5"/>
  <c r="M15" i="5"/>
  <c r="N15" i="5"/>
  <c r="O15" i="5"/>
  <c r="F17" i="5"/>
  <c r="G17" i="5"/>
  <c r="H17" i="5"/>
  <c r="I17" i="5"/>
  <c r="J17" i="5"/>
  <c r="K17" i="5"/>
  <c r="L17" i="5"/>
  <c r="M17" i="5"/>
  <c r="N17" i="5"/>
  <c r="O17" i="5"/>
  <c r="F18" i="5"/>
  <c r="G18" i="5"/>
  <c r="H18" i="5"/>
  <c r="I18" i="5"/>
  <c r="J18" i="5"/>
  <c r="K18" i="5"/>
  <c r="L18" i="5"/>
  <c r="M18" i="5"/>
  <c r="N18" i="5"/>
  <c r="O18" i="5"/>
  <c r="F19" i="5"/>
  <c r="G19" i="5"/>
  <c r="H19" i="5"/>
  <c r="I19" i="5"/>
  <c r="J19" i="5"/>
  <c r="K19" i="5"/>
  <c r="L19" i="5"/>
  <c r="M19" i="5"/>
  <c r="N19" i="5"/>
  <c r="O19" i="5"/>
  <c r="F21" i="5"/>
  <c r="G21" i="5"/>
  <c r="H21" i="5"/>
  <c r="I21" i="5"/>
  <c r="J21" i="5"/>
  <c r="K21" i="5"/>
  <c r="L21" i="5"/>
  <c r="M21" i="5"/>
  <c r="N21" i="5"/>
  <c r="O21" i="5"/>
  <c r="G31" i="5"/>
  <c r="H31" i="5"/>
  <c r="I31" i="5"/>
  <c r="J31" i="5"/>
  <c r="K31" i="5"/>
  <c r="L31" i="5"/>
  <c r="M31" i="5"/>
  <c r="N31" i="5"/>
  <c r="O31" i="5"/>
  <c r="F32" i="5"/>
  <c r="G32" i="5"/>
  <c r="H32" i="5"/>
  <c r="I32" i="5"/>
  <c r="J32" i="5"/>
  <c r="K32" i="5"/>
  <c r="L32" i="5"/>
  <c r="M32" i="5"/>
  <c r="N32" i="5"/>
  <c r="O32" i="5"/>
  <c r="F33" i="5"/>
  <c r="G33" i="5"/>
  <c r="H33" i="5"/>
  <c r="I33" i="5"/>
  <c r="J33" i="5"/>
  <c r="K33" i="5"/>
  <c r="L33" i="5"/>
  <c r="M33" i="5"/>
  <c r="N33" i="5"/>
  <c r="O33" i="5"/>
  <c r="F35" i="5"/>
  <c r="G35" i="5"/>
  <c r="H35" i="5"/>
  <c r="I35" i="5"/>
  <c r="J35" i="5"/>
  <c r="K35" i="5"/>
  <c r="L35" i="5"/>
  <c r="M35" i="5"/>
  <c r="N35" i="5"/>
  <c r="O35" i="5"/>
  <c r="F38" i="5"/>
  <c r="G38" i="5"/>
  <c r="H38" i="5"/>
  <c r="I38" i="5"/>
  <c r="J38" i="5"/>
  <c r="K38" i="5"/>
  <c r="L38" i="5"/>
  <c r="M38" i="5"/>
  <c r="N38" i="5"/>
  <c r="O38" i="5"/>
  <c r="F39" i="5"/>
  <c r="G39" i="5"/>
  <c r="H39" i="5"/>
  <c r="I39" i="5"/>
  <c r="J39" i="5"/>
  <c r="K39" i="5"/>
  <c r="L39" i="5"/>
  <c r="M39" i="5"/>
  <c r="N39" i="5"/>
  <c r="O39" i="5"/>
  <c r="F40" i="5"/>
  <c r="G40" i="5"/>
  <c r="H40" i="5"/>
  <c r="I40" i="5"/>
  <c r="J40" i="5"/>
  <c r="K40" i="5"/>
  <c r="L40" i="5"/>
  <c r="M40" i="5"/>
  <c r="N40" i="5"/>
  <c r="O40" i="5"/>
  <c r="F33" i="3"/>
  <c r="G33" i="3"/>
  <c r="H33" i="3"/>
  <c r="I33" i="3"/>
  <c r="J33" i="3"/>
  <c r="K33" i="3"/>
  <c r="L33" i="3"/>
  <c r="M33" i="3"/>
  <c r="N33" i="3"/>
  <c r="O33" i="3"/>
  <c r="F34" i="3"/>
  <c r="G34" i="3"/>
  <c r="H34" i="3"/>
  <c r="I34" i="3"/>
  <c r="J34" i="3"/>
  <c r="K34" i="3"/>
  <c r="L34" i="3"/>
  <c r="M34" i="3"/>
  <c r="N34" i="3"/>
  <c r="O34" i="3"/>
  <c r="F36" i="3"/>
  <c r="G36" i="3"/>
  <c r="H36" i="3"/>
  <c r="I36" i="3"/>
  <c r="J36" i="3"/>
  <c r="K36" i="3"/>
  <c r="L36" i="3"/>
  <c r="M36" i="3"/>
  <c r="N36" i="3"/>
  <c r="O36" i="3"/>
  <c r="F39" i="3"/>
  <c r="G39" i="3"/>
  <c r="H39" i="3"/>
  <c r="I39" i="3"/>
  <c r="J39" i="3"/>
  <c r="K39" i="3"/>
  <c r="L39" i="3"/>
  <c r="M39" i="3"/>
  <c r="N39" i="3"/>
  <c r="O39" i="3"/>
  <c r="F42" i="3"/>
  <c r="G42" i="3"/>
  <c r="H42" i="3"/>
  <c r="I42" i="3"/>
  <c r="J42" i="3"/>
  <c r="K42" i="3"/>
  <c r="L42" i="3"/>
  <c r="M42" i="3"/>
  <c r="N42" i="3"/>
  <c r="O42" i="3"/>
  <c r="G43" i="3"/>
  <c r="H43" i="3"/>
  <c r="I43" i="3"/>
  <c r="J43" i="3"/>
  <c r="K43" i="3"/>
  <c r="L43" i="3"/>
  <c r="M43" i="3"/>
  <c r="N43" i="3"/>
  <c r="O43" i="3"/>
  <c r="C7" i="8"/>
  <c r="C8" i="8"/>
  <c r="C9" i="8"/>
  <c r="C10" i="8"/>
  <c r="C11" i="8"/>
  <c r="C12" i="8"/>
  <c r="C13" i="8"/>
  <c r="C14" i="8"/>
  <c r="C15" i="8"/>
  <c r="C19" i="8"/>
  <c r="D19" i="8"/>
  <c r="E19" i="8"/>
  <c r="F19" i="8"/>
  <c r="C20" i="8"/>
  <c r="D20" i="8"/>
  <c r="E20" i="8"/>
  <c r="F20" i="8"/>
  <c r="C21" i="8"/>
  <c r="D21" i="8"/>
  <c r="E21" i="8"/>
  <c r="F21" i="8"/>
  <c r="C22" i="8"/>
  <c r="D22" i="8"/>
  <c r="E22" i="8"/>
  <c r="F22" i="8"/>
  <c r="C23" i="8"/>
  <c r="D23" i="8"/>
  <c r="E23" i="8"/>
  <c r="F23" i="8"/>
  <c r="C24" i="8"/>
  <c r="D24" i="8"/>
  <c r="E24" i="8"/>
  <c r="F24" i="8"/>
  <c r="C25" i="8"/>
  <c r="D25" i="8"/>
  <c r="E25" i="8"/>
  <c r="F25" i="8"/>
  <c r="C26" i="8"/>
  <c r="D26" i="8"/>
  <c r="E26" i="8"/>
  <c r="F26" i="8"/>
  <c r="C27" i="8"/>
  <c r="D27" i="8"/>
  <c r="E27" i="8"/>
  <c r="F27" i="8"/>
  <c r="F14" i="7"/>
  <c r="G14" i="7"/>
  <c r="H14" i="7"/>
  <c r="I14" i="7"/>
  <c r="J14" i="7"/>
  <c r="K14" i="7"/>
  <c r="L14" i="7"/>
  <c r="M14" i="7"/>
  <c r="N14" i="7"/>
  <c r="O14" i="7"/>
  <c r="F15" i="7"/>
  <c r="G15" i="7"/>
  <c r="H15" i="7"/>
  <c r="I15" i="7"/>
  <c r="J15" i="7"/>
  <c r="K15" i="7"/>
  <c r="L15" i="7"/>
  <c r="M15" i="7"/>
  <c r="N15" i="7"/>
  <c r="O15" i="7"/>
  <c r="F16" i="7"/>
  <c r="G16" i="7"/>
  <c r="H16" i="7"/>
  <c r="I16" i="7"/>
  <c r="J16" i="7"/>
  <c r="K16" i="7"/>
  <c r="L16" i="7"/>
  <c r="M16" i="7"/>
  <c r="N16" i="7"/>
  <c r="O16" i="7"/>
  <c r="F17" i="7"/>
  <c r="G17" i="7"/>
  <c r="H17" i="7"/>
  <c r="I17" i="7"/>
  <c r="J17" i="7"/>
  <c r="K17" i="7"/>
  <c r="L17" i="7"/>
  <c r="M17" i="7"/>
  <c r="N17" i="7"/>
  <c r="O17" i="7"/>
  <c r="C21" i="7"/>
  <c r="D21" i="7"/>
  <c r="E21" i="7"/>
  <c r="C22" i="7"/>
  <c r="D22" i="7"/>
  <c r="E22" i="7"/>
  <c r="C23" i="7"/>
  <c r="D23" i="7"/>
  <c r="E23" i="7"/>
  <c r="C24" i="7"/>
  <c r="D24" i="7"/>
  <c r="E24" i="7"/>
  <c r="F8" i="6"/>
  <c r="G8" i="6"/>
  <c r="H8" i="6"/>
  <c r="I8" i="6"/>
  <c r="J8" i="6"/>
  <c r="K8" i="6"/>
  <c r="L8" i="6"/>
  <c r="M8" i="6"/>
  <c r="N8" i="6"/>
  <c r="O8" i="6"/>
  <c r="F9" i="6"/>
  <c r="G9" i="6"/>
  <c r="H9" i="6"/>
  <c r="I9" i="6"/>
  <c r="J9" i="6"/>
  <c r="K9" i="6"/>
  <c r="L9" i="6"/>
  <c r="M9" i="6"/>
  <c r="N9" i="6"/>
  <c r="O9" i="6"/>
  <c r="F12" i="6"/>
  <c r="G12" i="6"/>
  <c r="H12" i="6"/>
  <c r="I12" i="6"/>
  <c r="J12" i="6"/>
  <c r="K12" i="6"/>
  <c r="L12" i="6"/>
  <c r="M12" i="6"/>
  <c r="N12" i="6"/>
  <c r="O12" i="6"/>
  <c r="F14" i="6"/>
  <c r="G14" i="6"/>
  <c r="H14" i="6"/>
  <c r="I14" i="6"/>
  <c r="J14" i="6"/>
  <c r="K14" i="6"/>
  <c r="L14" i="6"/>
  <c r="M14" i="6"/>
  <c r="N14" i="6"/>
  <c r="O14" i="6"/>
  <c r="F15" i="6"/>
  <c r="G15" i="6"/>
  <c r="H15" i="6"/>
  <c r="I15" i="6"/>
  <c r="J15" i="6"/>
  <c r="K15" i="6"/>
  <c r="L15" i="6"/>
  <c r="M15" i="6"/>
  <c r="N15" i="6"/>
  <c r="O15" i="6"/>
  <c r="F16" i="6"/>
  <c r="G16" i="6"/>
  <c r="H16" i="6"/>
  <c r="I16" i="6"/>
  <c r="J16" i="6"/>
  <c r="K16" i="6"/>
  <c r="L16" i="6"/>
  <c r="M16" i="6"/>
  <c r="N16" i="6"/>
  <c r="O16" i="6"/>
</calcChain>
</file>

<file path=xl/sharedStrings.xml><?xml version="1.0" encoding="utf-8"?>
<sst xmlns="http://schemas.openxmlformats.org/spreadsheetml/2006/main" count="306" uniqueCount="186">
  <si>
    <t>Company Name</t>
  </si>
  <si>
    <t>Ticker</t>
  </si>
  <si>
    <t>Sector</t>
  </si>
  <si>
    <t>Currency</t>
  </si>
  <si>
    <t>Run Date</t>
  </si>
  <si>
    <t>Current Price</t>
  </si>
  <si>
    <t>Market Cap</t>
  </si>
  <si>
    <t>Fiscal Year End Month</t>
  </si>
  <si>
    <t>Diluted Shares Outstanding</t>
  </si>
  <si>
    <t>Annual DPS</t>
  </si>
  <si>
    <t>DPS Annual Growth %</t>
  </si>
  <si>
    <t>Tax Rate</t>
  </si>
  <si>
    <t>Cash &amp; Equivalents</t>
  </si>
  <si>
    <t>Total Debt</t>
  </si>
  <si>
    <t>Minority Interest</t>
  </si>
  <si>
    <t>Equity Investments</t>
  </si>
  <si>
    <t>Cash Sweep %</t>
  </si>
  <si>
    <t>Minimum Cash Balance</t>
  </si>
  <si>
    <t>Calculated</t>
  </si>
  <si>
    <t>Annual Dividends Paid (current)</t>
  </si>
  <si>
    <t>Current Market Cap</t>
  </si>
  <si>
    <t>Net Debt</t>
  </si>
  <si>
    <t>Current Enterprise Value</t>
  </si>
  <si>
    <t>Driver Assumptions (manual fill)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</si>
  <si>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</si>
  <si>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</si>
  <si>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</si>
  <si>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</si>
  <si>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</si>
  <si>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</si>
  <si>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</si>
  <si>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</si>
  <si>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</si>
  <si>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</si>
  <si>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Revenue Growth %</t>
  </si>
  <si>
    <t>Exit EBITDA Multiple</t>
  </si>
  <si>
    <t>2023A</t>
  </si>
  <si>
    <t>2024A</t>
  </si>
  <si>
    <t>2025A</t>
  </si>
  <si>
    <t>Revenue</t>
  </si>
  <si>
    <t>COGS</t>
  </si>
  <si>
    <t>Gross Profit</t>
  </si>
  <si>
    <t>EBITDA</t>
  </si>
  <si>
    <t>EBITDA Margin %</t>
  </si>
  <si>
    <t>D&amp;A</t>
  </si>
  <si>
    <t>EBIT</t>
  </si>
  <si>
    <t>Interest Expense</t>
  </si>
  <si>
    <t>Pre-tax Income</t>
  </si>
  <si>
    <t>Net Income</t>
  </si>
  <si>
    <t>Diluted EPS</t>
  </si>
  <si>
    <t>Levered Free Cash Flow</t>
  </si>
  <si>
    <t>Net Change in Cash</t>
  </si>
  <si>
    <t>Beginning Cash</t>
  </si>
  <si>
    <t>Ending Cash</t>
  </si>
  <si>
    <t>Revolver</t>
  </si>
  <si>
    <t>Beginning Balance</t>
  </si>
  <si>
    <t>Draws</t>
  </si>
  <si>
    <t>Repayments</t>
  </si>
  <si>
    <t>Ending Balance</t>
  </si>
  <si>
    <t>Average Balance</t>
  </si>
  <si>
    <t>Interest Rate %</t>
  </si>
  <si>
    <t>Term Loan</t>
  </si>
  <si>
    <t>Mandatory Amortization</t>
  </si>
  <si>
    <t>Optional Prepayment (Cash Sweep)</t>
  </si>
  <si>
    <t>Senior Notes</t>
  </si>
  <si>
    <t>Repayment at Maturity</t>
  </si>
  <si>
    <t>Totals</t>
  </si>
  <si>
    <t>Total Beginning Debt</t>
  </si>
  <si>
    <t>Total Ending Debt</t>
  </si>
  <si>
    <t>Total Interest Expense</t>
  </si>
  <si>
    <t>Total Mandatory Amortization</t>
  </si>
  <si>
    <t>Total Optional Prepayment</t>
  </si>
  <si>
    <t>Cash Sweep</t>
  </si>
  <si>
    <t>Available Cash for Sweep</t>
  </si>
  <si>
    <t>Cash Sweep Applied</t>
  </si>
  <si>
    <t>Allocated to Term Loan</t>
  </si>
  <si>
    <t>Year-end EBITDA</t>
  </si>
  <si>
    <t>Implied Enterprise Value</t>
  </si>
  <si>
    <t>(Less) Year-end Total Debt</t>
  </si>
  <si>
    <t>Plus: Year-end Cash</t>
  </si>
  <si>
    <t>(Less) Minority Interest</t>
  </si>
  <si>
    <t>Plus: Equity Investments</t>
  </si>
  <si>
    <t>Implied Equity Value</t>
  </si>
  <si>
    <t>/ Diluted Shares Outstanding</t>
  </si>
  <si>
    <t>Implied Price per Share</t>
  </si>
  <si>
    <t>Implied IRR from Today</t>
  </si>
  <si>
    <t>Implied MOIC</t>
  </si>
  <si>
    <t>Financial Summary</t>
  </si>
  <si>
    <t>LFCF Margin %</t>
  </si>
  <si>
    <t>Net Leverage (Net Debt / EBITDA)</t>
  </si>
  <si>
    <t>Returns Table</t>
  </si>
  <si>
    <t>Year</t>
  </si>
  <si>
    <t>Implied IRR</t>
  </si>
  <si>
    <t>Y1 (2026E)</t>
  </si>
  <si>
    <t>Y3 (2028E)</t>
  </si>
  <si>
    <t>Y5 (2030E)</t>
  </si>
  <si>
    <t>Y10 (2035E)</t>
  </si>
  <si>
    <t>Target Year Offset (1 = first projection year)</t>
  </si>
  <si>
    <t>Exit Multiple</t>
  </si>
  <si>
    <t>2D Sensitivity (Exit Multiple x Year)</t>
  </si>
  <si>
    <t>Multiple</t>
  </si>
  <si>
    <t>Y3</t>
  </si>
  <si>
    <t>Y5</t>
  </si>
  <si>
    <t>Y7</t>
  </si>
  <si>
    <t>Y10</t>
  </si>
  <si>
    <t>_CapIQ_Data — DO NOT EDIT MANUALLY. Populated by shared/fetch_capiq.py.</t>
  </si>
  <si>
    <t>Run via:</t>
  </si>
  <si>
    <t>python -m shared.fetch_capiq &lt;TICKER&gt;</t>
  </si>
  <si>
    <t>Ticker:</t>
  </si>
  <si>
    <t>Date</t>
  </si>
  <si>
    <t>Fetcher Run-Date</t>
  </si>
  <si>
    <t>Field</t>
  </si>
  <si>
    <t>IQ_FY-2</t>
  </si>
  <si>
    <t>IQ_FY-1</t>
  </si>
  <si>
    <t>IQ_FY</t>
  </si>
  <si>
    <t>Current</t>
  </si>
  <si>
    <t>Filing Status</t>
  </si>
  <si>
    <t>Diluted Shares Out</t>
  </si>
  <si>
    <t>ST Investments</t>
  </si>
  <si>
    <t>Preferred Equity</t>
  </si>
  <si>
    <t>Marketable Securities</t>
  </si>
  <si>
    <t>Enterprise Value</t>
  </si>
  <si>
    <t>Total Opex</t>
  </si>
  <si>
    <t>Capex</t>
  </si>
  <si>
    <t>SBC</t>
  </si>
  <si>
    <t>DPS</t>
  </si>
  <si>
    <t>_Broker_Data — DO NOT EDIT MANUALLY. Populated by shared/fetch_broker_estimates.py.</t>
  </si>
  <si>
    <t>Last fetch:</t>
  </si>
  <si>
    <t>FY1 fiscal year:</t>
  </si>
  <si>
    <t>FY2 fiscal year:</t>
  </si>
  <si>
    <t>FY3 fiscal year:</t>
  </si>
  <si>
    <t>FY1 Mean</t>
  </si>
  <si>
    <t>FY2 Mean</t>
  </si>
  <si>
    <t>FY3 Mean</t>
  </si>
  <si>
    <t>FY1 High</t>
  </si>
  <si>
    <t>FY1 Low</t>
  </si>
  <si>
    <t>FY1 # Est</t>
  </si>
  <si>
    <t>EPS (Diluted)</t>
  </si>
  <si>
    <t>CFO</t>
  </si>
  <si>
    <t>CapEx</t>
  </si>
  <si>
    <t>Revenue Growth FY1 %</t>
  </si>
  <si>
    <t>Revenue Growth FY2 %</t>
  </si>
  <si>
    <t>Revenue Growth FY3 %</t>
  </si>
  <si>
    <t>Gross Margin FY1 %</t>
  </si>
  <si>
    <t>EBITDA Margin FY1 %</t>
  </si>
  <si>
    <t>EBIT Margin FY1 %</t>
  </si>
  <si>
    <t>Number of Analysts Covering</t>
  </si>
  <si>
    <t>Average Price Target</t>
  </si>
  <si>
    <t>Implied Upside %</t>
  </si>
  <si>
    <t>Average Recommendation (1=Buy,5=Sell)</t>
  </si>
  <si>
    <t>Recommendation Distribution</t>
  </si>
  <si>
    <t>AAPL</t>
  </si>
  <si>
    <t>% Growth</t>
  </si>
  <si>
    <t>Apple Inc.</t>
  </si>
  <si>
    <t>Information Technology</t>
  </si>
  <si>
    <t>USD</t>
  </si>
  <si>
    <t>Operating</t>
  </si>
  <si>
    <t>Forecast</t>
  </si>
  <si>
    <t>Actual</t>
  </si>
  <si>
    <t>(–) COGS</t>
  </si>
  <si>
    <t>% Gross Margin</t>
  </si>
  <si>
    <t>(–) Cash Opex</t>
  </si>
  <si>
    <t>(–) Opex</t>
  </si>
  <si>
    <t>(+) D&amp;A</t>
  </si>
  <si>
    <t>% Margin</t>
  </si>
  <si>
    <t>% Revenue</t>
  </si>
  <si>
    <t>Revenue % Revenue</t>
  </si>
  <si>
    <t>Capex % Revenue</t>
  </si>
  <si>
    <t>D&amp;A % Capex</t>
  </si>
  <si>
    <t>Cash Opex % Growth</t>
  </si>
  <si>
    <t>Memo:</t>
  </si>
  <si>
    <t>APPL</t>
  </si>
  <si>
    <t>(–) D&amp;A</t>
  </si>
  <si>
    <t>(–) Net Interest Expense</t>
  </si>
  <si>
    <t>(–) SBC</t>
  </si>
  <si>
    <t>SBC % Cash Opex</t>
  </si>
  <si>
    <t>% Tax Rate</t>
  </si>
  <si>
    <t>Inputs</t>
  </si>
  <si>
    <t>(–) Taxes</t>
  </si>
  <si>
    <r>
      <t>(</t>
    </r>
    <r>
      <rPr>
        <sz val="10"/>
        <color rgb="FF000000"/>
        <rFont val="Aptos Narrow"/>
        <family val="2"/>
      </rPr>
      <t>÷</t>
    </r>
    <r>
      <rPr>
        <sz val="10"/>
        <color rgb="FF000000"/>
        <rFont val="Arial"/>
        <family val="2"/>
      </rPr>
      <t>) DSO</t>
    </r>
  </si>
  <si>
    <t>(–) Cash Taxes</t>
  </si>
  <si>
    <t>(–) Cash Interest</t>
  </si>
  <si>
    <t>(–) Debt Amortization</t>
  </si>
  <si>
    <t>(–) Dividends</t>
  </si>
  <si>
    <t>(+/–) Change in Cash</t>
  </si>
  <si>
    <t>(–)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</si>
</sst>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mm/dd/yyyy"/>
    <numFmt numFmtId="166" formatCode="\$#,##0.00;\(\$#,##0.00\)"/>
    <numFmt numFmtId="167" formatCode="#,##0;\(#,##0\)"/>
    <numFmt numFmtId="168" formatCode="\$0.00"/>
    <numFmt numFmtId="169" formatCode="0.0%"/>
    <numFmt numFmtId="171" formatCode="0.0&quot;x&quot;"/>
    <numFmt numFmtId="172" formatCode="#,##0.00;\(#,##0.00\)"/>
    <numFmt numFmtId="173" formatCode="mm/dd/yy"/>
    <numFmt numFmtId="176" formatCode="#,##0_);\(#,##0\);#,##0_);@_)"/>
    <numFmt numFmtId="177" formatCode="[$$-409]#,##0.00_);\([$$-409]#,##0.00\);[$$-409]#,##0.00_);@_)"/>
    <numFmt numFmtId="178" formatCode="[$$-409]#,##0_);\([$$-409]#,##0\);[$$-409]#,##0_);@_)"/>
    <numFmt numFmtId="180" formatCode="0%_);\(0%\);0%_);@_)"/>
    <numFmt numFmtId="181" formatCode="0.0%_);\(0.0%\);0.0%_);@_)"/>
  </numFmts>
  <fonts count="20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b/>
      <i/>
      <sz val="10"/>
      <color rgb="FF808080"/>
      <name val="Arial"/>
      <family val="2"/>
    </font>
    <font>
      <i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rgb="FF008000"/>
      <name val="Arial"/>
      <family val="2"/>
    </font>
    <font>
      <b/>
      <sz val="10"/>
      <color rgb="FF008000"/>
      <name val="Arial"/>
      <family val="2"/>
    </font>
    <font>
      <sz val="10"/>
      <color rgb="FF660066"/>
      <name val="Arial"/>
      <family val="2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70C0"/>
      </patternFill>
    </fill>
    <fill>
      <patternFill patternType="solid">
        <fgColor rgb="FFFFFF99"/>
        <bgColor indexed="64"/>
      </patternFill>
    </fill>
    <fill>
      <patternFill patternType="lightDown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49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2" fillId="0" borderId="0" xfId="0" applyFont="1"/>
    <xf numFmtId="165" fontId="3" fillId="2" borderId="1" xfId="0" applyNumberFormat="1" applyFont="1" applyFill="1" applyBorder="1"/>
    <xf numFmtId="1" fontId="3" fillId="2" borderId="1" xfId="0" applyNumberFormat="1" applyFont="1" applyFill="1" applyBorder="1"/>
    <xf numFmtId="168" fontId="4" fillId="0" borderId="0" xfId="0" applyNumberFormat="1" applyFont="1"/>
    <xf numFmtId="169" fontId="3" fillId="2" borderId="1" xfId="0" applyNumberFormat="1" applyFont="1" applyFill="1" applyBorder="1"/>
    <xf numFmtId="167" fontId="3" fillId="2" borderId="1" xfId="0" applyNumberFormat="1" applyFont="1" applyFill="1" applyBorder="1"/>
    <xf numFmtId="167" fontId="2" fillId="0" borderId="0" xfId="0" applyNumberFormat="1" applyFont="1"/>
    <xf numFmtId="0" fontId="5" fillId="3" borderId="0" xfId="0" applyFont="1" applyFill="1" applyAlignment="1">
      <alignment horizontal="center" vertical="center"/>
    </xf>
    <xf numFmtId="171" fontId="3" fillId="2" borderId="1" xfId="0" applyNumberFormat="1" applyFont="1" applyFill="1" applyBorder="1"/>
    <xf numFmtId="169" fontId="2" fillId="0" borderId="0" xfId="0" applyNumberFormat="1" applyFont="1"/>
    <xf numFmtId="167" fontId="1" fillId="0" borderId="2" xfId="0" applyNumberFormat="1" applyFont="1" applyBorder="1"/>
    <xf numFmtId="172" fontId="2" fillId="0" borderId="0" xfId="0" applyNumberFormat="1" applyFont="1"/>
    <xf numFmtId="171" fontId="4" fillId="0" borderId="0" xfId="0" applyNumberFormat="1" applyFont="1"/>
    <xf numFmtId="172" fontId="1" fillId="0" borderId="2" xfId="0" applyNumberFormat="1" applyFont="1" applyBorder="1"/>
    <xf numFmtId="171" fontId="2" fillId="0" borderId="0" xfId="0" applyNumberFormat="1" applyFont="1"/>
    <xf numFmtId="169" fontId="4" fillId="0" borderId="0" xfId="0" applyNumberFormat="1" applyFont="1"/>
    <xf numFmtId="171" fontId="1" fillId="0" borderId="2" xfId="0" applyNumberFormat="1" applyFont="1" applyBorder="1"/>
    <xf numFmtId="172" fontId="4" fillId="0" borderId="0" xfId="0" applyNumberFormat="1" applyFont="1"/>
    <xf numFmtId="0" fontId="6" fillId="0" borderId="0" xfId="0" applyFont="1"/>
    <xf numFmtId="0" fontId="1" fillId="0" borderId="3" xfId="0" applyFont="1" applyBorder="1"/>
    <xf numFmtId="0" fontId="0" fillId="0" borderId="3" xfId="0" applyBorder="1"/>
    <xf numFmtId="173" fontId="3" fillId="4" borderId="1" xfId="0" applyNumberFormat="1" applyFont="1" applyFill="1" applyBorder="1" applyAlignment="1">
      <alignment horizontal="right"/>
    </xf>
    <xf numFmtId="173" fontId="3" fillId="4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left" indent="1"/>
    </xf>
    <xf numFmtId="176" fontId="3" fillId="4" borderId="1" xfId="0" applyNumberFormat="1" applyFont="1" applyFill="1" applyBorder="1"/>
    <xf numFmtId="176" fontId="1" fillId="0" borderId="2" xfId="0" applyNumberFormat="1" applyFont="1" applyBorder="1"/>
    <xf numFmtId="177" fontId="3" fillId="4" borderId="1" xfId="0" applyNumberFormat="1" applyFont="1" applyFill="1" applyBorder="1"/>
    <xf numFmtId="176" fontId="3" fillId="4" borderId="4" xfId="0" applyNumberFormat="1" applyFont="1" applyFill="1" applyBorder="1"/>
    <xf numFmtId="0" fontId="1" fillId="0" borderId="2" xfId="0" applyFont="1" applyBorder="1"/>
    <xf numFmtId="0" fontId="0" fillId="0" borderId="2" xfId="0" applyBorder="1"/>
    <xf numFmtId="0" fontId="9" fillId="0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178" fontId="4" fillId="0" borderId="0" xfId="0" applyNumberFormat="1" applyFont="1"/>
    <xf numFmtId="178" fontId="2" fillId="0" borderId="0" xfId="0" applyNumberFormat="1" applyFont="1"/>
    <xf numFmtId="169" fontId="12" fillId="0" borderId="0" xfId="0" applyNumberFormat="1" applyFont="1"/>
    <xf numFmtId="169" fontId="8" fillId="0" borderId="0" xfId="0" applyNumberFormat="1" applyFont="1"/>
    <xf numFmtId="0" fontId="2" fillId="0" borderId="0" xfId="0" applyFont="1" applyAlignment="1">
      <alignment horizontal="left" indent="1"/>
    </xf>
    <xf numFmtId="178" fontId="1" fillId="0" borderId="2" xfId="0" applyNumberFormat="1" applyFont="1" applyBorder="1"/>
    <xf numFmtId="176" fontId="0" fillId="0" borderId="0" xfId="0" applyNumberFormat="1"/>
    <xf numFmtId="178" fontId="13" fillId="0" borderId="0" xfId="0" applyNumberFormat="1" applyFont="1"/>
    <xf numFmtId="178" fontId="1" fillId="0" borderId="0" xfId="0" applyNumberFormat="1" applyFont="1"/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Border="1"/>
    <xf numFmtId="178" fontId="1" fillId="0" borderId="0" xfId="0" applyNumberFormat="1" applyFont="1" applyBorder="1"/>
    <xf numFmtId="0" fontId="2" fillId="0" borderId="0" xfId="0" applyFont="1" applyAlignment="1">
      <alignment horizontal="left" indent="2"/>
    </xf>
    <xf numFmtId="0" fontId="8" fillId="0" borderId="0" xfId="0" applyFont="1" applyBorder="1" applyAlignment="1">
      <alignment horizontal="left" indent="2"/>
    </xf>
    <xf numFmtId="181" fontId="8" fillId="0" borderId="0" xfId="0" applyNumberFormat="1" applyFont="1" applyBorder="1"/>
    <xf numFmtId="169" fontId="3" fillId="5" borderId="1" xfId="0" applyNumberFormat="1" applyFont="1" applyFill="1" applyBorder="1"/>
    <xf numFmtId="169" fontId="4" fillId="0" borderId="1" xfId="0" applyNumberFormat="1" applyFont="1" applyFill="1" applyBorder="1"/>
    <xf numFmtId="181" fontId="12" fillId="0" borderId="0" xfId="0" applyNumberFormat="1" applyFont="1" applyBorder="1"/>
    <xf numFmtId="0" fontId="15" fillId="0" borderId="0" xfId="0" applyFont="1"/>
    <xf numFmtId="0" fontId="16" fillId="0" borderId="3" xfId="0" applyFont="1" applyBorder="1"/>
    <xf numFmtId="0" fontId="16" fillId="0" borderId="0" xfId="0" applyFont="1"/>
    <xf numFmtId="0" fontId="17" fillId="0" borderId="0" xfId="0" applyFont="1" applyAlignment="1">
      <alignment horizontal="centerContinuous"/>
    </xf>
    <xf numFmtId="0" fontId="9" fillId="0" borderId="3" xfId="0" applyFont="1" applyFill="1" applyBorder="1"/>
    <xf numFmtId="0" fontId="9" fillId="0" borderId="0" xfId="0" applyFont="1" applyFill="1" applyBorder="1"/>
    <xf numFmtId="0" fontId="16" fillId="5" borderId="0" xfId="0" applyFont="1" applyFill="1"/>
    <xf numFmtId="181" fontId="18" fillId="0" borderId="0" xfId="0" applyNumberFormat="1" applyFont="1"/>
    <xf numFmtId="181" fontId="12" fillId="0" borderId="0" xfId="0" applyNumberFormat="1" applyFont="1"/>
    <xf numFmtId="181" fontId="8" fillId="0" borderId="0" xfId="0" applyNumberFormat="1" applyFont="1"/>
    <xf numFmtId="167" fontId="14" fillId="0" borderId="0" xfId="0" applyNumberFormat="1" applyFont="1"/>
    <xf numFmtId="0" fontId="1" fillId="0" borderId="5" xfId="0" applyFont="1" applyBorder="1" applyAlignment="1">
      <alignment horizontal="left" indent="1"/>
    </xf>
    <xf numFmtId="178" fontId="1" fillId="0" borderId="5" xfId="0" applyNumberFormat="1" applyFont="1" applyBorder="1"/>
    <xf numFmtId="180" fontId="3" fillId="2" borderId="1" xfId="0" applyNumberFormat="1" applyFont="1" applyFill="1" applyBorder="1"/>
    <xf numFmtId="0" fontId="16" fillId="0" borderId="0" xfId="0" applyFont="1" applyBorder="1"/>
    <xf numFmtId="0" fontId="10" fillId="0" borderId="0" xfId="0" applyFont="1" applyBorder="1"/>
    <xf numFmtId="167" fontId="1" fillId="0" borderId="0" xfId="0" applyNumberFormat="1" applyFont="1" applyBorder="1"/>
    <xf numFmtId="0" fontId="16" fillId="5" borderId="2" xfId="0" applyFont="1" applyFill="1" applyBorder="1"/>
    <xf numFmtId="0" fontId="10" fillId="5" borderId="2" xfId="0" applyFont="1" applyFill="1" applyBorder="1"/>
    <xf numFmtId="49" fontId="3" fillId="2" borderId="1" xfId="0" applyNumberFormat="1" applyFont="1" applyFill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2"/>
    </xf>
    <xf numFmtId="177" fontId="1" fillId="0" borderId="2" xfId="0" applyNumberFormat="1" applyFont="1" applyBorder="1"/>
    <xf numFmtId="176" fontId="4" fillId="0" borderId="0" xfId="0" applyNumberFormat="1" applyFont="1"/>
    <xf numFmtId="178" fontId="13" fillId="2" borderId="6" xfId="0" applyNumberFormat="1" applyFont="1" applyFill="1" applyBorder="1"/>
    <xf numFmtId="178" fontId="1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"/>
  <sheetViews>
    <sheetView showGridLines="0" workbookViewId="0">
      <selection activeCell="C4" sqref="C4"/>
    </sheetView>
  </sheetViews>
  <sheetFormatPr defaultRowHeight="15" x14ac:dyDescent="0.25"/>
  <cols>
    <col min="1" max="1" width="2.7109375" customWidth="1"/>
    <col min="2" max="3" width="28" customWidth="1"/>
  </cols>
  <sheetData>
    <row r="2" spans="2:3" x14ac:dyDescent="0.25">
      <c r="B2" s="1" t="str">
        <f>inp_ticker &amp; " | Cover"</f>
        <v>APPL | Cover</v>
      </c>
    </row>
    <row r="4" spans="2:3" x14ac:dyDescent="0.25">
      <c r="B4" s="1" t="s">
        <v>0</v>
      </c>
      <c r="C4" s="2" t="str">
        <f>inp_company_name</f>
        <v>Apple Inc.</v>
      </c>
    </row>
    <row r="5" spans="2:3" x14ac:dyDescent="0.25">
      <c r="B5" s="1" t="s">
        <v>1</v>
      </c>
      <c r="C5" s="2" t="str">
        <f>inp_ticker</f>
        <v>APPL</v>
      </c>
    </row>
    <row r="6" spans="2:3" x14ac:dyDescent="0.25">
      <c r="B6" s="1" t="s">
        <v>2</v>
      </c>
      <c r="C6" s="2" t="str">
        <f>inp_sector</f>
        <v>Information Technology</v>
      </c>
    </row>
    <row r="7" spans="2:3" x14ac:dyDescent="0.25">
      <c r="B7" s="1" t="s">
        <v>3</v>
      </c>
      <c r="C7" s="2" t="str">
        <f>inp_currency</f>
        <v>USD</v>
      </c>
    </row>
    <row r="8" spans="2:3" x14ac:dyDescent="0.25">
      <c r="B8" s="1" t="s">
        <v>4</v>
      </c>
      <c r="C8" s="3">
        <f>inp_run_date</f>
        <v>46140</v>
      </c>
    </row>
    <row r="9" spans="2:3" x14ac:dyDescent="0.25">
      <c r="B9" s="1" t="s">
        <v>5</v>
      </c>
      <c r="C9" s="4">
        <f>inp_current_price</f>
        <v>267.61</v>
      </c>
    </row>
    <row r="10" spans="2:3" x14ac:dyDescent="0.25">
      <c r="B10" s="1" t="s">
        <v>6</v>
      </c>
      <c r="C10" s="5">
        <f>mkt_cap</f>
        <v>3928819.8754000003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37"/>
  <sheetViews>
    <sheetView showGridLines="0" workbookViewId="0"/>
  </sheetViews>
  <sheetFormatPr defaultRowHeight="12.75" customHeight="1" x14ac:dyDescent="0.25"/>
  <cols>
    <col min="1" max="1" width="2.7109375" customWidth="1"/>
    <col min="2" max="2" width="35" customWidth="1"/>
    <col min="3" max="18" width="14" customWidth="1"/>
  </cols>
  <sheetData>
    <row r="2" spans="2:18" ht="12.75" customHeight="1" x14ac:dyDescent="0.25">
      <c r="B2" s="25" t="str">
        <f>inp_ticker &amp; " | Inputs &amp; Assumptions"</f>
        <v>APPL | Inputs &amp; Assumptions</v>
      </c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4" spans="2:18" ht="12.75" customHeight="1" x14ac:dyDescent="0.25">
      <c r="B4" s="1" t="s">
        <v>177</v>
      </c>
      <c r="C4" s="1"/>
    </row>
    <row r="5" spans="2:18" ht="12.75" customHeight="1" x14ac:dyDescent="0.25">
      <c r="B5" s="6" t="s">
        <v>1</v>
      </c>
      <c r="C5" s="6"/>
      <c r="D5" s="76" t="s">
        <v>171</v>
      </c>
    </row>
    <row r="6" spans="2:18" ht="12.75" customHeight="1" x14ac:dyDescent="0.25">
      <c r="B6" s="6" t="s">
        <v>4</v>
      </c>
      <c r="C6" s="6"/>
      <c r="D6" s="7">
        <v>46140</v>
      </c>
    </row>
    <row r="7" spans="2:18" ht="12.75" customHeight="1" x14ac:dyDescent="0.25">
      <c r="B7" s="6" t="s">
        <v>7</v>
      </c>
      <c r="C7" s="6"/>
      <c r="D7" s="8">
        <v>12</v>
      </c>
    </row>
    <row r="8" spans="2:18" ht="12.75" customHeight="1" x14ac:dyDescent="0.25">
      <c r="B8" s="6" t="s">
        <v>0</v>
      </c>
      <c r="C8" s="6"/>
      <c r="D8" s="77" t="str">
        <f>_CapIQ_Data!F12</f>
        <v>Apple Inc.</v>
      </c>
    </row>
    <row r="9" spans="2:18" ht="12.75" customHeight="1" x14ac:dyDescent="0.25">
      <c r="B9" s="6" t="s">
        <v>2</v>
      </c>
      <c r="C9" s="6"/>
      <c r="D9" s="77" t="str">
        <f>_CapIQ_Data!F13</f>
        <v>Information Technology</v>
      </c>
    </row>
    <row r="10" spans="2:18" ht="12.75" customHeight="1" x14ac:dyDescent="0.25">
      <c r="B10" s="6" t="s">
        <v>3</v>
      </c>
      <c r="C10" s="6"/>
      <c r="D10" s="77" t="str">
        <f>_CapIQ_Data!F14</f>
        <v>USD</v>
      </c>
    </row>
    <row r="11" spans="2:18" ht="12.75" customHeight="1" x14ac:dyDescent="0.25">
      <c r="B11" s="6" t="s">
        <v>5</v>
      </c>
      <c r="C11" s="6"/>
      <c r="D11" s="4">
        <f>_CapIQ_Data!F18</f>
        <v>267.61</v>
      </c>
    </row>
    <row r="12" spans="2:18" ht="12.75" customHeight="1" x14ac:dyDescent="0.25">
      <c r="B12" s="6" t="s">
        <v>8</v>
      </c>
      <c r="C12" s="6"/>
      <c r="D12" s="5">
        <f>_CapIQ_Data!F19</f>
        <v>14681.14</v>
      </c>
    </row>
    <row r="13" spans="2:18" ht="12.75" customHeight="1" x14ac:dyDescent="0.25">
      <c r="B13" s="6" t="s">
        <v>9</v>
      </c>
      <c r="C13" s="6"/>
      <c r="D13" s="9">
        <f>IFERROR(_CapIQ_Data!E40, _CapIQ_Data!D40)</f>
        <v>1.02</v>
      </c>
    </row>
    <row r="14" spans="2:18" ht="12.75" customHeight="1" x14ac:dyDescent="0.25">
      <c r="B14" s="6" t="s">
        <v>10</v>
      </c>
      <c r="C14" s="6"/>
      <c r="D14" s="10">
        <v>0</v>
      </c>
    </row>
    <row r="15" spans="2:18" ht="12.75" customHeight="1" x14ac:dyDescent="0.25">
      <c r="B15" s="6" t="s">
        <v>11</v>
      </c>
      <c r="C15" s="6"/>
      <c r="D15" s="10">
        <v>0.27</v>
      </c>
    </row>
    <row r="16" spans="2:18" ht="12.75" customHeight="1" x14ac:dyDescent="0.25">
      <c r="B16" s="6" t="s">
        <v>12</v>
      </c>
      <c r="C16" s="6"/>
      <c r="D16" s="5">
        <f>_CapIQ_Data!F21</f>
        <v>45317</v>
      </c>
    </row>
    <row r="17" spans="2:18" ht="12.75" customHeight="1" x14ac:dyDescent="0.25">
      <c r="B17" s="6" t="s">
        <v>13</v>
      </c>
      <c r="C17" s="6"/>
      <c r="D17" s="5">
        <f>_CapIQ_Data!F23</f>
        <v>90509</v>
      </c>
    </row>
    <row r="18" spans="2:18" ht="12.75" customHeight="1" x14ac:dyDescent="0.25">
      <c r="B18" s="6" t="s">
        <v>14</v>
      </c>
      <c r="C18" s="6"/>
      <c r="D18" s="5">
        <f>_CapIQ_Data!F25</f>
        <v>0</v>
      </c>
    </row>
    <row r="19" spans="2:18" ht="12.75" customHeight="1" x14ac:dyDescent="0.25">
      <c r="B19" s="6" t="s">
        <v>15</v>
      </c>
      <c r="C19" s="6"/>
      <c r="D19" s="5">
        <f>_CapIQ_Data!F26</f>
        <v>0</v>
      </c>
    </row>
    <row r="20" spans="2:18" ht="12.75" customHeight="1" x14ac:dyDescent="0.25">
      <c r="B20" s="6" t="s">
        <v>16</v>
      </c>
      <c r="C20" s="6"/>
      <c r="D20" s="10">
        <v>0</v>
      </c>
    </row>
    <row r="21" spans="2:18" ht="12.75" customHeight="1" x14ac:dyDescent="0.25">
      <c r="B21" s="6" t="s">
        <v>17</v>
      </c>
      <c r="C21" s="6"/>
      <c r="D21" s="11">
        <v>0</v>
      </c>
    </row>
    <row r="23" spans="2:18" ht="12.75" customHeight="1" x14ac:dyDescent="0.25">
      <c r="B23" s="1" t="s">
        <v>18</v>
      </c>
      <c r="C23" s="1"/>
    </row>
    <row r="24" spans="2:18" ht="12.75" customHeight="1" x14ac:dyDescent="0.25">
      <c r="B24" s="6" t="s">
        <v>19</v>
      </c>
      <c r="C24" s="6"/>
      <c r="D24" s="12">
        <f>inp_annual_dps*inp_diluted_shares</f>
        <v>14974.7628</v>
      </c>
    </row>
    <row r="25" spans="2:18" ht="12.75" customHeight="1" x14ac:dyDescent="0.25">
      <c r="B25" s="6" t="s">
        <v>20</v>
      </c>
      <c r="C25" s="6"/>
      <c r="D25" s="12">
        <f>inp_current_price*inp_diluted_shares</f>
        <v>3928819.8754000003</v>
      </c>
    </row>
    <row r="26" spans="2:18" ht="12.75" customHeight="1" x14ac:dyDescent="0.25">
      <c r="B26" s="6" t="s">
        <v>21</v>
      </c>
      <c r="C26" s="6"/>
      <c r="D26" s="12">
        <f>inp_debt-inp_cash</f>
        <v>45192</v>
      </c>
    </row>
    <row r="27" spans="2:18" ht="12.75" customHeight="1" x14ac:dyDescent="0.25">
      <c r="B27" s="6" t="s">
        <v>22</v>
      </c>
      <c r="C27" s="6"/>
      <c r="D27" s="12">
        <f>mkt_cap+inp_debt-inp_cash+inp_minority_interest-inp_equity_investments</f>
        <v>3974011.8754000003</v>
      </c>
    </row>
    <row r="29" spans="2:18" ht="12.75" customHeight="1" x14ac:dyDescent="0.25">
      <c r="B29" s="1" t="s">
        <v>23</v>
      </c>
      <c r="C29" s="1"/>
    </row>
    <row r="30" spans="2:18" ht="12.75" customHeight="1" x14ac:dyDescent="0.25">
      <c r="F30" s="13" t="s">
        <v>36</v>
      </c>
      <c r="G30" s="13" t="s">
        <v>37</v>
      </c>
      <c r="H30" s="13" t="s">
        <v>38</v>
      </c>
      <c r="I30" s="13" t="s">
        <v>24</v>
      </c>
      <c r="J30" s="13" t="s">
        <v>25</v>
      </c>
      <c r="K30" s="13" t="s">
        <v>26</v>
      </c>
      <c r="L30" s="13" t="s">
        <v>27</v>
      </c>
      <c r="M30" s="13" t="s">
        <v>28</v>
      </c>
      <c r="N30" s="13" t="s">
        <v>29</v>
      </c>
      <c r="O30" s="13" t="s">
        <v>30</v>
      </c>
      <c r="P30" s="13" t="s">
        <v>31</v>
      </c>
      <c r="Q30" s="13" t="s">
        <v>32</v>
      </c>
      <c r="R30" s="13" t="s">
        <v>33</v>
      </c>
    </row>
    <row r="31" spans="2:18" ht="12.75" customHeight="1" x14ac:dyDescent="0.25">
      <c r="B31" s="6" t="s">
        <v>166</v>
      </c>
      <c r="C31" s="6"/>
      <c r="F31" s="54"/>
      <c r="G31" s="55">
        <f>IS!D8</f>
        <v>2.021994077514111E-2</v>
      </c>
      <c r="H31" s="55">
        <f>IS!E8</f>
        <v>6.425511782832749E-2</v>
      </c>
      <c r="I31" s="10">
        <v>0.05</v>
      </c>
      <c r="J31" s="10">
        <v>0.05</v>
      </c>
      <c r="K31" s="10">
        <v>0.05</v>
      </c>
      <c r="L31" s="10">
        <v>0.05</v>
      </c>
      <c r="M31" s="10">
        <v>0.05</v>
      </c>
      <c r="N31" s="10">
        <v>0.05</v>
      </c>
      <c r="O31" s="10">
        <v>0.05</v>
      </c>
      <c r="P31" s="10">
        <v>0.05</v>
      </c>
      <c r="Q31" s="10">
        <v>0.05</v>
      </c>
      <c r="R31" s="10">
        <v>0.05</v>
      </c>
    </row>
    <row r="32" spans="2:18" ht="12.75" customHeight="1" x14ac:dyDescent="0.25">
      <c r="B32" s="6" t="s">
        <v>160</v>
      </c>
      <c r="C32" s="6"/>
      <c r="F32" s="55">
        <f>IS!C12</f>
        <v>0.44131129577207562</v>
      </c>
      <c r="G32" s="55">
        <f>IS!D12</f>
        <v>0.46206349815233932</v>
      </c>
      <c r="H32" s="55">
        <f>IS!E12</f>
        <v>0.46905164107160452</v>
      </c>
      <c r="I32" s="10">
        <v>0.4</v>
      </c>
      <c r="J32" s="10">
        <v>0.4</v>
      </c>
      <c r="K32" s="10">
        <v>0.4</v>
      </c>
      <c r="L32" s="10">
        <v>0.4</v>
      </c>
      <c r="M32" s="10">
        <v>0.4</v>
      </c>
      <c r="N32" s="10">
        <v>0.4</v>
      </c>
      <c r="O32" s="10">
        <v>0.4</v>
      </c>
      <c r="P32" s="10">
        <v>0.4</v>
      </c>
      <c r="Q32" s="10">
        <v>0.4</v>
      </c>
      <c r="R32" s="10">
        <v>0.4</v>
      </c>
    </row>
    <row r="33" spans="2:18" ht="12.75" customHeight="1" x14ac:dyDescent="0.25">
      <c r="B33" s="6" t="s">
        <v>169</v>
      </c>
      <c r="C33" s="6"/>
      <c r="F33" s="54"/>
      <c r="G33" s="55">
        <f>IS!D18</f>
        <v>6.2176883308714848E-2</v>
      </c>
      <c r="H33" s="55">
        <f>IS!E18</f>
        <v>9.6280039980878751E-2</v>
      </c>
      <c r="I33" s="10">
        <v>0.1</v>
      </c>
      <c r="J33" s="10">
        <v>0.1</v>
      </c>
      <c r="K33" s="10">
        <v>0.1</v>
      </c>
      <c r="L33" s="10">
        <v>0.1</v>
      </c>
      <c r="M33" s="10">
        <v>0.1</v>
      </c>
      <c r="N33" s="10">
        <v>0.1</v>
      </c>
      <c r="O33" s="10">
        <v>0.1</v>
      </c>
      <c r="P33" s="10">
        <v>0.1</v>
      </c>
      <c r="Q33" s="10">
        <v>0.1</v>
      </c>
      <c r="R33" s="10">
        <v>0.1</v>
      </c>
    </row>
    <row r="34" spans="2:18" ht="12.75" customHeight="1" x14ac:dyDescent="0.25">
      <c r="B34" s="6" t="s">
        <v>175</v>
      </c>
      <c r="C34" s="6"/>
      <c r="F34" s="55">
        <f>IS!C27</f>
        <v>0.25002307976366323</v>
      </c>
      <c r="G34" s="55">
        <f>IS!D27</f>
        <v>0.25396549476337404</v>
      </c>
      <c r="H34" s="55">
        <f>IS!E27</f>
        <v>0.25495015162626605</v>
      </c>
      <c r="I34" s="10">
        <v>0.25</v>
      </c>
      <c r="J34" s="10">
        <v>0.25</v>
      </c>
      <c r="K34" s="10">
        <v>0.25</v>
      </c>
      <c r="L34" s="10">
        <v>0.25</v>
      </c>
      <c r="M34" s="10">
        <v>0.25</v>
      </c>
      <c r="N34" s="10">
        <v>0.25</v>
      </c>
      <c r="O34" s="10">
        <v>0.25</v>
      </c>
      <c r="P34" s="10">
        <v>0.25</v>
      </c>
      <c r="Q34" s="10">
        <v>0.25</v>
      </c>
      <c r="R34" s="10">
        <v>0.25</v>
      </c>
    </row>
    <row r="35" spans="2:18" ht="12.75" customHeight="1" x14ac:dyDescent="0.25">
      <c r="B35" s="6" t="s">
        <v>167</v>
      </c>
      <c r="C35" s="6"/>
      <c r="F35" s="55">
        <f>IS!C47</f>
        <v>2.859230076835775E-2</v>
      </c>
      <c r="G35" s="55">
        <f>IS!D47</f>
        <v>2.415896275269477E-2</v>
      </c>
      <c r="H35" s="55">
        <f>IS!E47</f>
        <v>3.0553079216937677E-2</v>
      </c>
      <c r="I35" s="10">
        <v>0.03</v>
      </c>
      <c r="J35" s="10">
        <v>0.03</v>
      </c>
      <c r="K35" s="10">
        <v>0.03</v>
      </c>
      <c r="L35" s="10">
        <v>0.03</v>
      </c>
      <c r="M35" s="10">
        <v>0.03</v>
      </c>
      <c r="N35" s="10">
        <v>0.03</v>
      </c>
      <c r="O35" s="10">
        <v>0.03</v>
      </c>
      <c r="P35" s="10">
        <v>0.03</v>
      </c>
      <c r="Q35" s="10">
        <v>0.03</v>
      </c>
      <c r="R35" s="10">
        <v>0.03</v>
      </c>
    </row>
    <row r="36" spans="2:18" ht="12.75" customHeight="1" x14ac:dyDescent="0.25">
      <c r="B36" s="6" t="s">
        <v>168</v>
      </c>
      <c r="C36" s="6"/>
      <c r="F36" s="55">
        <f>IS!C25</f>
        <v>1.0510995528789122</v>
      </c>
      <c r="G36" s="55">
        <f>IS!D25</f>
        <v>1.2114957129247381</v>
      </c>
      <c r="H36" s="55">
        <f>IS!E25</f>
        <v>0.92001572945340149</v>
      </c>
      <c r="I36" s="70">
        <v>1</v>
      </c>
      <c r="J36" s="70">
        <v>1</v>
      </c>
      <c r="K36" s="70">
        <v>1</v>
      </c>
      <c r="L36" s="70">
        <v>1</v>
      </c>
      <c r="M36" s="70">
        <v>1</v>
      </c>
      <c r="N36" s="70">
        <v>1</v>
      </c>
      <c r="O36" s="70">
        <v>1</v>
      </c>
      <c r="P36" s="70">
        <v>1</v>
      </c>
      <c r="Q36" s="70">
        <v>1</v>
      </c>
      <c r="R36" s="70">
        <v>1</v>
      </c>
    </row>
    <row r="37" spans="2:18" ht="12.75" customHeight="1" x14ac:dyDescent="0.25">
      <c r="B37" s="6" t="s">
        <v>35</v>
      </c>
      <c r="C37" s="6"/>
      <c r="F37" s="54"/>
      <c r="G37" s="54"/>
      <c r="H37" s="54"/>
      <c r="I37" s="14">
        <v>10</v>
      </c>
      <c r="J37" s="14">
        <v>10</v>
      </c>
      <c r="K37" s="14">
        <v>10</v>
      </c>
      <c r="L37" s="14">
        <v>10</v>
      </c>
      <c r="M37" s="14">
        <v>10</v>
      </c>
      <c r="N37" s="14">
        <v>10</v>
      </c>
      <c r="O37" s="14">
        <v>10</v>
      </c>
      <c r="P37" s="14">
        <v>10</v>
      </c>
      <c r="Q37" s="14">
        <v>10</v>
      </c>
      <c r="R37" s="14">
        <v>10</v>
      </c>
    </row>
  </sheetData>
  <pageMargins left="0.75" right="0.75" top="1" bottom="1" header="0.5" footer="0.5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47"/>
  <sheetViews>
    <sheetView showGridLines="0" workbookViewId="0">
      <pane xSplit="2" ySplit="5" topLeftCell="C20" activePane="bottomRight" state="frozen"/>
      <selection pane="topRight"/>
      <selection pane="bottomLeft"/>
      <selection pane="bottomRight" activeCell="B34" sqref="B34"/>
    </sheetView>
  </sheetViews>
  <sheetFormatPr defaultRowHeight="12.75" customHeight="1" x14ac:dyDescent="0.2"/>
  <cols>
    <col min="1" max="1" width="2.7109375" style="59" customWidth="1"/>
    <col min="2" max="2" width="35" style="59" customWidth="1"/>
    <col min="3" max="15" width="14" style="59" customWidth="1"/>
    <col min="16" max="16384" width="9.140625" style="59"/>
  </cols>
  <sheetData>
    <row r="2" spans="2:15" ht="12.75" customHeight="1" x14ac:dyDescent="0.2">
      <c r="B2" s="25" t="str">
        <f>inp_ticker &amp; " | Income Statement"</f>
        <v>APPL | Income Statement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4" spans="2:15" ht="15" customHeight="1" x14ac:dyDescent="0.35">
      <c r="C4" s="38" t="s">
        <v>158</v>
      </c>
      <c r="D4" s="60"/>
      <c r="E4" s="60"/>
      <c r="F4" s="38" t="s">
        <v>157</v>
      </c>
      <c r="G4" s="38"/>
      <c r="H4" s="38"/>
      <c r="I4" s="38"/>
      <c r="J4" s="38"/>
      <c r="K4" s="38"/>
      <c r="L4" s="38"/>
      <c r="M4" s="38"/>
      <c r="N4" s="38"/>
      <c r="O4" s="38"/>
    </row>
    <row r="5" spans="2:15" ht="12.75" customHeight="1" x14ac:dyDescent="0.2">
      <c r="B5" s="61"/>
      <c r="C5" s="37" t="s">
        <v>36</v>
      </c>
      <c r="D5" s="37" t="s">
        <v>37</v>
      </c>
      <c r="E5" s="37" t="s">
        <v>38</v>
      </c>
      <c r="F5" s="37" t="s">
        <v>24</v>
      </c>
      <c r="G5" s="37" t="s">
        <v>25</v>
      </c>
      <c r="H5" s="37" t="s">
        <v>26</v>
      </c>
      <c r="I5" s="37" t="s">
        <v>27</v>
      </c>
      <c r="J5" s="37" t="s">
        <v>28</v>
      </c>
      <c r="K5" s="37" t="s">
        <v>29</v>
      </c>
      <c r="L5" s="37" t="s">
        <v>30</v>
      </c>
      <c r="M5" s="37" t="s">
        <v>31</v>
      </c>
      <c r="N5" s="37" t="s">
        <v>32</v>
      </c>
      <c r="O5" s="37" t="s">
        <v>33</v>
      </c>
    </row>
    <row r="6" spans="2:15" ht="12.75" customHeight="1" x14ac:dyDescent="0.2">
      <c r="B6" s="62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2:15" ht="12.75" customHeight="1" x14ac:dyDescent="0.2">
      <c r="B7" s="1" t="s">
        <v>39</v>
      </c>
      <c r="C7" s="46">
        <f>_CapIQ_Data!C31</f>
        <v>383285</v>
      </c>
      <c r="D7" s="46">
        <f>_CapIQ_Data!D31</f>
        <v>391035</v>
      </c>
      <c r="E7" s="46">
        <f>_CapIQ_Data!E31</f>
        <v>416161</v>
      </c>
      <c r="F7" s="47">
        <f>E7*(1+F8)</f>
        <v>436969.05000000005</v>
      </c>
      <c r="G7" s="47">
        <f t="shared" ref="G7:O7" si="0">F7*(1+G8)</f>
        <v>458817.50250000006</v>
      </c>
      <c r="H7" s="47">
        <f t="shared" si="0"/>
        <v>481758.37762500008</v>
      </c>
      <c r="I7" s="47">
        <f t="shared" si="0"/>
        <v>505846.2965062501</v>
      </c>
      <c r="J7" s="47">
        <f t="shared" si="0"/>
        <v>531138.61133156263</v>
      </c>
      <c r="K7" s="47">
        <f t="shared" si="0"/>
        <v>557695.5418981408</v>
      </c>
      <c r="L7" s="47">
        <f t="shared" si="0"/>
        <v>585580.31899304781</v>
      </c>
      <c r="M7" s="47">
        <f t="shared" si="0"/>
        <v>614859.33494270022</v>
      </c>
      <c r="N7" s="47">
        <f t="shared" si="0"/>
        <v>645602.30168983527</v>
      </c>
      <c r="O7" s="47">
        <f t="shared" si="0"/>
        <v>677882.41677432705</v>
      </c>
    </row>
    <row r="8" spans="2:15" ht="12.75" customHeight="1" x14ac:dyDescent="0.2">
      <c r="B8" s="30" t="s">
        <v>152</v>
      </c>
      <c r="C8" s="63"/>
      <c r="D8" s="42">
        <f t="shared" ref="D8:E8" si="1">D7/C7-1</f>
        <v>2.021994077514111E-2</v>
      </c>
      <c r="E8" s="42">
        <f t="shared" si="1"/>
        <v>6.425511782832749E-2</v>
      </c>
      <c r="F8" s="41">
        <f>Inputs!I$31</f>
        <v>0.05</v>
      </c>
      <c r="G8" s="41">
        <f>Inputs!J$31</f>
        <v>0.05</v>
      </c>
      <c r="H8" s="41">
        <f>Inputs!K$31</f>
        <v>0.05</v>
      </c>
      <c r="I8" s="41">
        <f>Inputs!L$31</f>
        <v>0.05</v>
      </c>
      <c r="J8" s="41">
        <f>Inputs!M$31</f>
        <v>0.05</v>
      </c>
      <c r="K8" s="41">
        <f>Inputs!N$31</f>
        <v>0.05</v>
      </c>
      <c r="L8" s="41">
        <f>Inputs!O$31</f>
        <v>0.05</v>
      </c>
      <c r="M8" s="41">
        <f>Inputs!P$31</f>
        <v>0.05</v>
      </c>
      <c r="N8" s="41">
        <f>Inputs!Q$31</f>
        <v>0.05</v>
      </c>
      <c r="O8" s="41">
        <f>Inputs!R$31</f>
        <v>0.05</v>
      </c>
    </row>
    <row r="9" spans="2:15" ht="12.75" customHeight="1" x14ac:dyDescent="0.2">
      <c r="B9" s="30"/>
      <c r="C9" s="42"/>
      <c r="D9" s="42"/>
      <c r="E9" s="42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2.75" customHeight="1" x14ac:dyDescent="0.2">
      <c r="B10" s="43" t="s">
        <v>159</v>
      </c>
      <c r="C10" s="5">
        <f>_CapIQ_Data!C32*-1</f>
        <v>-214137</v>
      </c>
      <c r="D10" s="5">
        <f>_CapIQ_Data!D32*-1</f>
        <v>-210352</v>
      </c>
      <c r="E10" s="5">
        <f>_CapIQ_Data!E32*-1</f>
        <v>-220960</v>
      </c>
      <c r="F10" s="12">
        <f>F11-F7</f>
        <v>-262181.43000000005</v>
      </c>
      <c r="G10" s="12">
        <f t="shared" ref="G10:O10" si="2">G11-G7</f>
        <v>-275290.50150000001</v>
      </c>
      <c r="H10" s="12">
        <f t="shared" si="2"/>
        <v>-289055.02657500003</v>
      </c>
      <c r="I10" s="12">
        <f t="shared" si="2"/>
        <v>-303507.77790375007</v>
      </c>
      <c r="J10" s="12">
        <f t="shared" si="2"/>
        <v>-318683.1667989376</v>
      </c>
      <c r="K10" s="12">
        <f t="shared" si="2"/>
        <v>-334617.32513888448</v>
      </c>
      <c r="L10" s="12">
        <f t="shared" si="2"/>
        <v>-351348.19139582868</v>
      </c>
      <c r="M10" s="12">
        <f t="shared" si="2"/>
        <v>-368915.60096562013</v>
      </c>
      <c r="N10" s="12">
        <f t="shared" si="2"/>
        <v>-387361.38101390115</v>
      </c>
      <c r="O10" s="12">
        <f t="shared" si="2"/>
        <v>-406729.4500645962</v>
      </c>
    </row>
    <row r="11" spans="2:15" ht="12.75" customHeight="1" x14ac:dyDescent="0.2">
      <c r="B11" s="35" t="s">
        <v>41</v>
      </c>
      <c r="C11" s="44">
        <f>SUM(C10,C7)</f>
        <v>169148</v>
      </c>
      <c r="D11" s="44">
        <f t="shared" ref="D11:E11" si="3">SUM(D10,D7)</f>
        <v>180683</v>
      </c>
      <c r="E11" s="44">
        <f t="shared" si="3"/>
        <v>195201</v>
      </c>
      <c r="F11" s="44">
        <f>F12*F7</f>
        <v>174787.62000000002</v>
      </c>
      <c r="G11" s="44">
        <f t="shared" ref="G11:O11" si="4">G12*G7</f>
        <v>183527.00100000005</v>
      </c>
      <c r="H11" s="44">
        <f t="shared" si="4"/>
        <v>192703.35105000006</v>
      </c>
      <c r="I11" s="44">
        <f t="shared" si="4"/>
        <v>202338.51860250006</v>
      </c>
      <c r="J11" s="44">
        <f t="shared" si="4"/>
        <v>212455.44453262506</v>
      </c>
      <c r="K11" s="44">
        <f t="shared" si="4"/>
        <v>223078.21675925632</v>
      </c>
      <c r="L11" s="44">
        <f t="shared" si="4"/>
        <v>234232.12759721914</v>
      </c>
      <c r="M11" s="44">
        <f t="shared" si="4"/>
        <v>245943.73397708009</v>
      </c>
      <c r="N11" s="44">
        <f t="shared" si="4"/>
        <v>258240.92067593412</v>
      </c>
      <c r="O11" s="44">
        <f t="shared" si="4"/>
        <v>271152.96670973086</v>
      </c>
    </row>
    <row r="12" spans="2:15" ht="12.75" customHeight="1" x14ac:dyDescent="0.2">
      <c r="B12" s="30" t="s">
        <v>160</v>
      </c>
      <c r="C12" s="42">
        <f>IFERROR(C11/C7,0)</f>
        <v>0.44131129577207562</v>
      </c>
      <c r="D12" s="42">
        <f>IFERROR(D11/D7,0)</f>
        <v>0.46206349815233932</v>
      </c>
      <c r="E12" s="42">
        <f>IFERROR(E11/E7,0)</f>
        <v>0.46905164107160452</v>
      </c>
      <c r="F12" s="41">
        <f>Inputs!I$32</f>
        <v>0.4</v>
      </c>
      <c r="G12" s="41">
        <f>Inputs!J$32</f>
        <v>0.4</v>
      </c>
      <c r="H12" s="41">
        <f>Inputs!K$32</f>
        <v>0.4</v>
      </c>
      <c r="I12" s="41">
        <f>Inputs!L$32</f>
        <v>0.4</v>
      </c>
      <c r="J12" s="41">
        <f>Inputs!M$32</f>
        <v>0.4</v>
      </c>
      <c r="K12" s="41">
        <f>Inputs!N$32</f>
        <v>0.4</v>
      </c>
      <c r="L12" s="41">
        <f>Inputs!O$32</f>
        <v>0.4</v>
      </c>
      <c r="M12" s="41">
        <f>Inputs!P$32</f>
        <v>0.4</v>
      </c>
      <c r="N12" s="41">
        <f>Inputs!Q$32</f>
        <v>0.4</v>
      </c>
      <c r="O12" s="41">
        <f>Inputs!R$32</f>
        <v>0.4</v>
      </c>
    </row>
    <row r="13" spans="2:15" ht="12.75" customHeight="1" x14ac:dyDescent="0.2">
      <c r="B13" s="30"/>
      <c r="C13" s="42"/>
      <c r="D13" s="42"/>
      <c r="E13" s="42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2.75" customHeight="1" x14ac:dyDescent="0.2">
      <c r="B14" s="51" t="s">
        <v>162</v>
      </c>
      <c r="C14" s="5">
        <f>_CapIQ_Data!C34*-1</f>
        <v>-54847</v>
      </c>
      <c r="D14" s="5">
        <f>_CapIQ_Data!D34*-1</f>
        <v>-57467</v>
      </c>
      <c r="E14" s="5">
        <f>_CapIQ_Data!E34*-1</f>
        <v>-62151</v>
      </c>
      <c r="F14" s="12">
        <f>F16-F15</f>
        <v>-68607.371500000008</v>
      </c>
      <c r="G14" s="12">
        <f t="shared" ref="G14:O14" si="5">G16-G15</f>
        <v>-74812.655075000002</v>
      </c>
      <c r="H14" s="12">
        <f t="shared" si="5"/>
        <v>-81605.694328750018</v>
      </c>
      <c r="I14" s="12">
        <f t="shared" si="5"/>
        <v>-89043.62619518752</v>
      </c>
      <c r="J14" s="12">
        <f t="shared" si="5"/>
        <v>-97189.219369946906</v>
      </c>
      <c r="K14" s="12">
        <f t="shared" si="5"/>
        <v>-106111.43338994426</v>
      </c>
      <c r="L14" s="12">
        <f t="shared" si="5"/>
        <v>-115886.03341609148</v>
      </c>
      <c r="M14" s="12">
        <f t="shared" si="5"/>
        <v>-126596.26627921106</v>
      </c>
      <c r="N14" s="12">
        <f t="shared" si="5"/>
        <v>-138333.60390471813</v>
      </c>
      <c r="O14" s="12">
        <f t="shared" si="5"/>
        <v>-151198.56084265519</v>
      </c>
    </row>
    <row r="15" spans="2:15" ht="12.75" customHeight="1" x14ac:dyDescent="0.2">
      <c r="B15" s="51" t="s">
        <v>163</v>
      </c>
      <c r="C15" s="67">
        <f>C24*-1</f>
        <v>11519</v>
      </c>
      <c r="D15" s="67">
        <f t="shared" ref="D15:O15" si="6">D24*-1</f>
        <v>11445</v>
      </c>
      <c r="E15" s="67">
        <f t="shared" si="6"/>
        <v>11698</v>
      </c>
      <c r="F15" s="67">
        <f t="shared" si="6"/>
        <v>13109.0715</v>
      </c>
      <c r="G15" s="67">
        <f t="shared" si="6"/>
        <v>13764.525075000001</v>
      </c>
      <c r="H15" s="67">
        <f t="shared" si="6"/>
        <v>14452.751328750002</v>
      </c>
      <c r="I15" s="67">
        <f t="shared" si="6"/>
        <v>15175.388895187503</v>
      </c>
      <c r="J15" s="67">
        <f t="shared" si="6"/>
        <v>15934.158339946878</v>
      </c>
      <c r="K15" s="67">
        <f t="shared" si="6"/>
        <v>16730.866256944224</v>
      </c>
      <c r="L15" s="67">
        <f t="shared" si="6"/>
        <v>17567.409569791434</v>
      </c>
      <c r="M15" s="67">
        <f t="shared" si="6"/>
        <v>18445.780048281005</v>
      </c>
      <c r="N15" s="67">
        <f t="shared" si="6"/>
        <v>19368.069050695056</v>
      </c>
      <c r="O15" s="67">
        <f t="shared" si="6"/>
        <v>20336.472503229812</v>
      </c>
    </row>
    <row r="16" spans="2:15" ht="12.75" customHeight="1" x14ac:dyDescent="0.2">
      <c r="B16" s="68" t="s">
        <v>161</v>
      </c>
      <c r="C16" s="69">
        <f>SUM(C14:C15)</f>
        <v>-43328</v>
      </c>
      <c r="D16" s="69">
        <f t="shared" ref="D16:E16" si="7">SUM(D14:D15)</f>
        <v>-46022</v>
      </c>
      <c r="E16" s="69">
        <f t="shared" si="7"/>
        <v>-50453</v>
      </c>
      <c r="F16" s="69">
        <f>E16*(1+F18)</f>
        <v>-55498.3</v>
      </c>
      <c r="G16" s="69">
        <f>F16*(1+G18)</f>
        <v>-61048.130000000005</v>
      </c>
      <c r="H16" s="69">
        <f>G16*(1+H18)</f>
        <v>-67152.943000000014</v>
      </c>
      <c r="I16" s="69">
        <f>H16*(1+I18)</f>
        <v>-73868.237300000023</v>
      </c>
      <c r="J16" s="69">
        <f>I16*(1+J18)</f>
        <v>-81255.061030000026</v>
      </c>
      <c r="K16" s="69">
        <f>J16*(1+K18)</f>
        <v>-89380.567133000033</v>
      </c>
      <c r="L16" s="69">
        <f>K16*(1+L18)</f>
        <v>-98318.623846300048</v>
      </c>
      <c r="M16" s="69">
        <f>L16*(1+M18)</f>
        <v>-108150.48623093007</v>
      </c>
      <c r="N16" s="69">
        <f>M16*(1+N18)</f>
        <v>-118965.53485402308</v>
      </c>
      <c r="O16" s="69">
        <f>N16*(1+O18)</f>
        <v>-130862.08833942539</v>
      </c>
    </row>
    <row r="17" spans="2:15" ht="12.75" customHeight="1" x14ac:dyDescent="0.2">
      <c r="B17" s="52" t="s">
        <v>165</v>
      </c>
      <c r="C17" s="53">
        <f>C16/C7*-1</f>
        <v>0.1130438185684282</v>
      </c>
      <c r="D17" s="53">
        <f>D16/D7*-1</f>
        <v>0.11769278964798548</v>
      </c>
      <c r="E17" s="53">
        <f>E16/E7*-1</f>
        <v>0.12123432998286721</v>
      </c>
      <c r="F17" s="53">
        <f>F16/F7*-1</f>
        <v>0.12700739331538469</v>
      </c>
      <c r="G17" s="53">
        <f>G16/G7*-1</f>
        <v>0.13305536442564109</v>
      </c>
      <c r="H17" s="53">
        <f>H16/H7*-1</f>
        <v>0.13939133416019545</v>
      </c>
      <c r="I17" s="53">
        <f>I16/I7*-1</f>
        <v>0.14602901673925239</v>
      </c>
      <c r="J17" s="53">
        <f>J16/J7*-1</f>
        <v>0.15298277944112154</v>
      </c>
      <c r="K17" s="53">
        <f>K16/K7*-1</f>
        <v>0.16026767370022257</v>
      </c>
      <c r="L17" s="53">
        <f>L16/L7*-1</f>
        <v>0.16789946768594749</v>
      </c>
      <c r="M17" s="53">
        <f>M16/M7*-1</f>
        <v>0.17589468043289738</v>
      </c>
      <c r="N17" s="53">
        <f>N16/N7*-1</f>
        <v>0.18427061759636867</v>
      </c>
      <c r="O17" s="53">
        <f>O16/O7*-1</f>
        <v>0.19304540891048147</v>
      </c>
    </row>
    <row r="18" spans="2:15" ht="12.75" customHeight="1" x14ac:dyDescent="0.2">
      <c r="B18" s="52" t="s">
        <v>152</v>
      </c>
      <c r="C18" s="63"/>
      <c r="D18" s="53">
        <f>D16/C16-1</f>
        <v>6.2176883308714848E-2</v>
      </c>
      <c r="E18" s="53">
        <f>E16/D16-1</f>
        <v>9.6280039980878751E-2</v>
      </c>
      <c r="F18" s="56">
        <f>Inputs!I$33</f>
        <v>0.1</v>
      </c>
      <c r="G18" s="56">
        <f>Inputs!J$33</f>
        <v>0.1</v>
      </c>
      <c r="H18" s="56">
        <f>Inputs!K$33</f>
        <v>0.1</v>
      </c>
      <c r="I18" s="56">
        <f>Inputs!L$33</f>
        <v>0.1</v>
      </c>
      <c r="J18" s="56">
        <f>Inputs!M$33</f>
        <v>0.1</v>
      </c>
      <c r="K18" s="56">
        <f>Inputs!N$33</f>
        <v>0.1</v>
      </c>
      <c r="L18" s="56">
        <f>Inputs!O$33</f>
        <v>0.1</v>
      </c>
      <c r="M18" s="56">
        <f>Inputs!P$33</f>
        <v>0.1</v>
      </c>
      <c r="N18" s="56">
        <f>Inputs!Q$33</f>
        <v>0.1</v>
      </c>
      <c r="O18" s="56">
        <f>Inputs!R$33</f>
        <v>0.1</v>
      </c>
    </row>
    <row r="20" spans="2:15" ht="12.75" customHeight="1" x14ac:dyDescent="0.2">
      <c r="B20" s="35" t="s">
        <v>42</v>
      </c>
      <c r="C20" s="44">
        <f>SUM(C16,C11)</f>
        <v>125820</v>
      </c>
      <c r="D20" s="44">
        <f>SUM(D16,D11)</f>
        <v>134661</v>
      </c>
      <c r="E20" s="44">
        <f>SUM(E16,E11)</f>
        <v>144748</v>
      </c>
      <c r="F20" s="44">
        <f>SUM(F16,F11)</f>
        <v>119289.32000000002</v>
      </c>
      <c r="G20" s="44">
        <f>SUM(G16,G11)</f>
        <v>122478.87100000004</v>
      </c>
      <c r="H20" s="44">
        <f>SUM(H16,H11)</f>
        <v>125550.40805000004</v>
      </c>
      <c r="I20" s="44">
        <f>SUM(I16,I11)</f>
        <v>128470.28130250004</v>
      </c>
      <c r="J20" s="44">
        <f>SUM(J16,J11)</f>
        <v>131200.38350262505</v>
      </c>
      <c r="K20" s="44">
        <f>SUM(K16,K11)</f>
        <v>133697.64962625629</v>
      </c>
      <c r="L20" s="44">
        <f>SUM(L16,L11)</f>
        <v>135913.50375091907</v>
      </c>
      <c r="M20" s="44">
        <f>SUM(M16,M11)</f>
        <v>137793.24774615001</v>
      </c>
      <c r="N20" s="44">
        <f>SUM(N16,N11)</f>
        <v>139275.38582191104</v>
      </c>
      <c r="O20" s="44">
        <f>SUM(O16,O11)</f>
        <v>140290.87837030547</v>
      </c>
    </row>
    <row r="21" spans="2:15" ht="12.75" customHeight="1" x14ac:dyDescent="0.2">
      <c r="B21" s="30" t="s">
        <v>164</v>
      </c>
      <c r="C21" s="42">
        <f>IFERROR(C20/C7,0)</f>
        <v>0.32826747720364741</v>
      </c>
      <c r="D21" s="42">
        <f>IFERROR(D20/D7,0)</f>
        <v>0.34437070850435381</v>
      </c>
      <c r="E21" s="42">
        <f>IFERROR(E20/E7,0)</f>
        <v>0.34781731108873731</v>
      </c>
      <c r="F21" s="42">
        <f>IFERROR(F20/F7,0)</f>
        <v>0.27299260668461534</v>
      </c>
      <c r="G21" s="42">
        <f>IFERROR(G20/G7,0)</f>
        <v>0.26694463557435893</v>
      </c>
      <c r="H21" s="42">
        <f>IFERROR(H20/H7,0)</f>
        <v>0.26060866583980458</v>
      </c>
      <c r="I21" s="42">
        <f>IFERROR(I20/I7,0)</f>
        <v>0.25397098326074763</v>
      </c>
      <c r="J21" s="42">
        <f>IFERROR(J20/J7,0)</f>
        <v>0.24701722055887848</v>
      </c>
      <c r="K21" s="42">
        <f>IFERROR(K20/K7,0)</f>
        <v>0.23973232629977742</v>
      </c>
      <c r="L21" s="42">
        <f>IFERROR(L20/L7,0)</f>
        <v>0.2321005323140525</v>
      </c>
      <c r="M21" s="42">
        <f>IFERROR(M20/M7,0)</f>
        <v>0.22410531956710261</v>
      </c>
      <c r="N21" s="42">
        <f>IFERROR(N20/N7,0)</f>
        <v>0.21572938240363135</v>
      </c>
      <c r="O21" s="42">
        <f>IFERROR(O20/O7,0)</f>
        <v>0.20695459108951858</v>
      </c>
    </row>
    <row r="22" spans="2:15" ht="12.75" customHeight="1" x14ac:dyDescent="0.2">
      <c r="B22" s="30" t="s">
        <v>152</v>
      </c>
      <c r="C22" s="63"/>
      <c r="D22" s="66">
        <f>D20/C20-1</f>
        <v>7.0267048164043944E-2</v>
      </c>
      <c r="E22" s="66">
        <f t="shared" ref="E22:O22" si="8">E20/D20-1</f>
        <v>7.4906617357661132E-2</v>
      </c>
      <c r="F22" s="66">
        <f t="shared" si="8"/>
        <v>-0.17588277558239129</v>
      </c>
      <c r="G22" s="66">
        <f t="shared" si="8"/>
        <v>2.6737942675840731E-2</v>
      </c>
      <c r="H22" s="66">
        <f t="shared" si="8"/>
        <v>2.5078097347909001E-2</v>
      </c>
      <c r="I22" s="66">
        <f t="shared" si="8"/>
        <v>2.3256581144182054E-2</v>
      </c>
      <c r="J22" s="66">
        <f t="shared" si="8"/>
        <v>2.1250846284804448E-2</v>
      </c>
      <c r="K22" s="66">
        <f t="shared" si="8"/>
        <v>1.9033984939390569E-2</v>
      </c>
      <c r="L22" s="66">
        <f t="shared" si="8"/>
        <v>1.6573620634746211E-2</v>
      </c>
      <c r="M22" s="66">
        <f t="shared" si="8"/>
        <v>1.3830443210969268E-2</v>
      </c>
      <c r="N22" s="66">
        <f t="shared" si="8"/>
        <v>1.0756246042560091E-2</v>
      </c>
      <c r="O22" s="66">
        <f t="shared" si="8"/>
        <v>7.2912564011340386E-3</v>
      </c>
    </row>
    <row r="23" spans="2:15" ht="12.75" customHeight="1" x14ac:dyDescent="0.2">
      <c r="B23" s="30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 spans="2:15" ht="12.75" customHeight="1" x14ac:dyDescent="0.2">
      <c r="B24" s="43" t="s">
        <v>172</v>
      </c>
      <c r="C24" s="5">
        <f>_CapIQ_Data!C35*-1</f>
        <v>-11519</v>
      </c>
      <c r="D24" s="5">
        <f>_CapIQ_Data!D35*-1</f>
        <v>-11445</v>
      </c>
      <c r="E24" s="5">
        <f>_CapIQ_Data!E35*-1</f>
        <v>-11698</v>
      </c>
      <c r="F24" s="12">
        <f>F25*F46*-1</f>
        <v>-13109.0715</v>
      </c>
      <c r="G24" s="12">
        <f>G25*G46*-1</f>
        <v>-13764.525075000001</v>
      </c>
      <c r="H24" s="12">
        <f>H25*H46*-1</f>
        <v>-14452.751328750002</v>
      </c>
      <c r="I24" s="12">
        <f>I25*I46*-1</f>
        <v>-15175.388895187503</v>
      </c>
      <c r="J24" s="12">
        <f>J25*J46*-1</f>
        <v>-15934.158339946878</v>
      </c>
      <c r="K24" s="12">
        <f>K25*K46*-1</f>
        <v>-16730.866256944224</v>
      </c>
      <c r="L24" s="12">
        <f>L25*L46*-1</f>
        <v>-17567.409569791434</v>
      </c>
      <c r="M24" s="12">
        <f>M25*M46*-1</f>
        <v>-18445.780048281005</v>
      </c>
      <c r="N24" s="12">
        <f>N25*N46*-1</f>
        <v>-19368.069050695056</v>
      </c>
      <c r="O24" s="12">
        <f>O25*O46*-1</f>
        <v>-20336.472503229812</v>
      </c>
    </row>
    <row r="25" spans="2:15" ht="12.75" customHeight="1" x14ac:dyDescent="0.2">
      <c r="B25" s="78" t="s">
        <v>168</v>
      </c>
      <c r="C25" s="64">
        <f>C24/C46*-1</f>
        <v>1.0510995528789122</v>
      </c>
      <c r="D25" s="64">
        <f>D24/D46*-1</f>
        <v>1.2114957129247381</v>
      </c>
      <c r="E25" s="64">
        <f>E24/E46*-1</f>
        <v>0.92001572945340149</v>
      </c>
      <c r="F25" s="56">
        <f>Inputs!I$36</f>
        <v>1</v>
      </c>
      <c r="G25" s="56">
        <f>Inputs!J$36</f>
        <v>1</v>
      </c>
      <c r="H25" s="56">
        <f>Inputs!K$36</f>
        <v>1</v>
      </c>
      <c r="I25" s="56">
        <f>Inputs!L$36</f>
        <v>1</v>
      </c>
      <c r="J25" s="56">
        <f>Inputs!M$36</f>
        <v>1</v>
      </c>
      <c r="K25" s="56">
        <f>Inputs!N$36</f>
        <v>1</v>
      </c>
      <c r="L25" s="56">
        <f>Inputs!O$36</f>
        <v>1</v>
      </c>
      <c r="M25" s="56">
        <f>Inputs!P$36</f>
        <v>1</v>
      </c>
      <c r="N25" s="56">
        <f>Inputs!Q$36</f>
        <v>1</v>
      </c>
      <c r="O25" s="56">
        <f>Inputs!R$36</f>
        <v>1</v>
      </c>
    </row>
    <row r="26" spans="2:15" ht="12.75" customHeight="1" x14ac:dyDescent="0.2">
      <c r="B26" s="43" t="s">
        <v>174</v>
      </c>
      <c r="C26" s="5">
        <f>_CapIQ_Data!C39*-1</f>
        <v>-10833</v>
      </c>
      <c r="D26" s="5">
        <f>_CapIQ_Data!D39*-1</f>
        <v>-11688</v>
      </c>
      <c r="E26" s="5">
        <f>_CapIQ_Data!E39*-1</f>
        <v>-12863</v>
      </c>
      <c r="F26" s="12">
        <f>F27*F16</f>
        <v>-13874.575000000001</v>
      </c>
      <c r="G26" s="12">
        <f t="shared" ref="G26:O26" si="9">G27*G16</f>
        <v>-15262.032500000001</v>
      </c>
      <c r="H26" s="12">
        <f t="shared" si="9"/>
        <v>-16788.235750000003</v>
      </c>
      <c r="I26" s="12">
        <f t="shared" si="9"/>
        <v>-18467.059325000006</v>
      </c>
      <c r="J26" s="12">
        <f t="shared" si="9"/>
        <v>-20313.765257500007</v>
      </c>
      <c r="K26" s="12">
        <f t="shared" si="9"/>
        <v>-22345.141783250008</v>
      </c>
      <c r="L26" s="12">
        <f t="shared" si="9"/>
        <v>-24579.655961575012</v>
      </c>
      <c r="M26" s="12">
        <f t="shared" si="9"/>
        <v>-27037.621557732517</v>
      </c>
      <c r="N26" s="12">
        <f t="shared" si="9"/>
        <v>-29741.383713505769</v>
      </c>
      <c r="O26" s="12">
        <f t="shared" si="9"/>
        <v>-32715.522084856348</v>
      </c>
    </row>
    <row r="27" spans="2:15" ht="12.75" customHeight="1" x14ac:dyDescent="0.2">
      <c r="B27" s="78" t="s">
        <v>175</v>
      </c>
      <c r="C27" s="66">
        <f>C26/C16</f>
        <v>0.25002307976366323</v>
      </c>
      <c r="D27" s="66">
        <f t="shared" ref="D27:E27" si="10">D26/D16</f>
        <v>0.25396549476337404</v>
      </c>
      <c r="E27" s="66">
        <f t="shared" si="10"/>
        <v>0.25495015162626605</v>
      </c>
      <c r="F27" s="65">
        <f>Inputs!I34</f>
        <v>0.25</v>
      </c>
      <c r="G27" s="65">
        <f>Inputs!J34</f>
        <v>0.25</v>
      </c>
      <c r="H27" s="65">
        <f>Inputs!K34</f>
        <v>0.25</v>
      </c>
      <c r="I27" s="65">
        <f>Inputs!L34</f>
        <v>0.25</v>
      </c>
      <c r="J27" s="65">
        <f>Inputs!M34</f>
        <v>0.25</v>
      </c>
      <c r="K27" s="65">
        <f>Inputs!N34</f>
        <v>0.25</v>
      </c>
      <c r="L27" s="65">
        <f>Inputs!O34</f>
        <v>0.25</v>
      </c>
      <c r="M27" s="65">
        <f>Inputs!P34</f>
        <v>0.25</v>
      </c>
      <c r="N27" s="65">
        <f>Inputs!Q34</f>
        <v>0.25</v>
      </c>
      <c r="O27" s="65">
        <f>Inputs!R34</f>
        <v>0.25</v>
      </c>
    </row>
    <row r="28" spans="2:15" ht="12.75" customHeight="1" x14ac:dyDescent="0.2">
      <c r="B28" s="6"/>
    </row>
    <row r="29" spans="2:15" ht="12.75" customHeight="1" x14ac:dyDescent="0.2">
      <c r="B29" s="35" t="s">
        <v>45</v>
      </c>
      <c r="C29" s="44">
        <f>SUM(C24,C20,C26)</f>
        <v>103468</v>
      </c>
      <c r="D29" s="44">
        <f t="shared" ref="D29:O29" si="11">SUM(D24,D20,D26)</f>
        <v>111528</v>
      </c>
      <c r="E29" s="44">
        <f t="shared" si="11"/>
        <v>120187</v>
      </c>
      <c r="F29" s="44">
        <f t="shared" si="11"/>
        <v>92305.673500000019</v>
      </c>
      <c r="G29" s="44">
        <f t="shared" si="11"/>
        <v>93452.313425000044</v>
      </c>
      <c r="H29" s="44">
        <f t="shared" si="11"/>
        <v>94309.420971250031</v>
      </c>
      <c r="I29" s="44">
        <f t="shared" si="11"/>
        <v>94827.833082312529</v>
      </c>
      <c r="J29" s="44">
        <f t="shared" si="11"/>
        <v>94952.459905178155</v>
      </c>
      <c r="K29" s="44">
        <f t="shared" si="11"/>
        <v>94621.641586062062</v>
      </c>
      <c r="L29" s="44">
        <f t="shared" si="11"/>
        <v>93766.438219552627</v>
      </c>
      <c r="M29" s="44">
        <f t="shared" si="11"/>
        <v>92309.846140136477</v>
      </c>
      <c r="N29" s="44">
        <f t="shared" si="11"/>
        <v>90165.933057710223</v>
      </c>
      <c r="O29" s="44">
        <f t="shared" si="11"/>
        <v>87238.883782219302</v>
      </c>
    </row>
    <row r="30" spans="2:15" ht="12.75" customHeight="1" x14ac:dyDescent="0.2">
      <c r="B30" s="30" t="s">
        <v>164</v>
      </c>
      <c r="C30" s="42">
        <f>IFERROR(C29/C7,0)</f>
        <v>0.26995055898352399</v>
      </c>
      <c r="D30" s="42">
        <f>IFERROR(D29/D7,0)</f>
        <v>0.28521232114772332</v>
      </c>
      <c r="E30" s="42">
        <f>IFERROR(E29/E7,0)</f>
        <v>0.28879928681447803</v>
      </c>
      <c r="F30" s="42">
        <f>IFERROR(F29/F7,0)</f>
        <v>0.21124075835576916</v>
      </c>
      <c r="G30" s="42">
        <f>IFERROR(G29/G7,0)</f>
        <v>0.20368079446794868</v>
      </c>
      <c r="H30" s="42">
        <f>IFERROR(H29/H7,0)</f>
        <v>0.19576083229975572</v>
      </c>
      <c r="I30" s="42">
        <f>IFERROR(I29/I7,0)</f>
        <v>0.18746372907593456</v>
      </c>
      <c r="J30" s="42">
        <f>IFERROR(J29/J7,0)</f>
        <v>0.17877152569859811</v>
      </c>
      <c r="K30" s="42">
        <f>IFERROR(K29/K7,0)</f>
        <v>0.16966540787472181</v>
      </c>
      <c r="L30" s="42">
        <f>IFERROR(L29/L7,0)</f>
        <v>0.16012566539256565</v>
      </c>
      <c r="M30" s="42">
        <f>IFERROR(M29/M7,0)</f>
        <v>0.15013164945887825</v>
      </c>
      <c r="N30" s="42">
        <f>IFERROR(N29/N7,0)</f>
        <v>0.13966172800453919</v>
      </c>
      <c r="O30" s="42">
        <f>IFERROR(O29/O7,0)</f>
        <v>0.12869323886189821</v>
      </c>
    </row>
    <row r="31" spans="2:15" ht="12.75" customHeight="1" x14ac:dyDescent="0.2">
      <c r="B31" s="30" t="s">
        <v>152</v>
      </c>
      <c r="C31" s="63"/>
      <c r="D31" s="66">
        <f>D29/C29-1</f>
        <v>7.7898480689681859E-2</v>
      </c>
      <c r="E31" s="66">
        <f t="shared" ref="E31:O31" si="12">E29/D29-1</f>
        <v>7.7639695861128954E-2</v>
      </c>
      <c r="F31" s="66">
        <f t="shared" si="12"/>
        <v>-0.23198288084401797</v>
      </c>
      <c r="G31" s="66">
        <f t="shared" si="12"/>
        <v>1.2422204199615372E-2</v>
      </c>
      <c r="H31" s="66">
        <f t="shared" si="12"/>
        <v>9.171603300520248E-3</v>
      </c>
      <c r="I31" s="66">
        <f t="shared" si="12"/>
        <v>5.4969281512240453E-3</v>
      </c>
      <c r="J31" s="66">
        <f t="shared" si="12"/>
        <v>1.3142430741557298E-3</v>
      </c>
      <c r="K31" s="66">
        <f t="shared" si="12"/>
        <v>-3.4840415871948416E-3</v>
      </c>
      <c r="L31" s="66">
        <f t="shared" si="12"/>
        <v>-9.038137070699559E-3</v>
      </c>
      <c r="M31" s="66">
        <f t="shared" si="12"/>
        <v>-1.5534258387905897E-2</v>
      </c>
      <c r="N31" s="66">
        <f t="shared" si="12"/>
        <v>-2.3225183142127181E-2</v>
      </c>
      <c r="O31" s="66">
        <f t="shared" si="12"/>
        <v>-3.2462917825266446E-2</v>
      </c>
    </row>
    <row r="32" spans="2:15" ht="12.75" customHeight="1" x14ac:dyDescent="0.2">
      <c r="B32" s="6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2:15" ht="12.75" customHeight="1" x14ac:dyDescent="0.2">
      <c r="B33" s="43" t="s">
        <v>173</v>
      </c>
      <c r="C33" s="63"/>
      <c r="D33" s="63"/>
      <c r="E33" s="63"/>
      <c r="F33" s="5">
        <f ca="1">IFERROR(Debt!F33,0)</f>
        <v>0</v>
      </c>
      <c r="G33" s="5">
        <f ca="1">IFERROR(Debt!G33,0)</f>
        <v>0</v>
      </c>
      <c r="H33" s="5">
        <f ca="1">IFERROR(Debt!H33,0)</f>
        <v>0</v>
      </c>
      <c r="I33" s="5">
        <f ca="1">IFERROR(Debt!I33,0)</f>
        <v>0</v>
      </c>
      <c r="J33" s="5">
        <f ca="1">IFERROR(Debt!J33,0)</f>
        <v>0</v>
      </c>
      <c r="K33" s="5">
        <f ca="1">IFERROR(Debt!K33,0)</f>
        <v>0</v>
      </c>
      <c r="L33" s="5">
        <f ca="1">IFERROR(Debt!L33,0)</f>
        <v>0</v>
      </c>
      <c r="M33" s="5">
        <f ca="1">IFERROR(Debt!M33,0)</f>
        <v>0</v>
      </c>
      <c r="N33" s="5">
        <f ca="1">IFERROR(Debt!N33,0)</f>
        <v>0</v>
      </c>
      <c r="O33" s="5">
        <f ca="1">IFERROR(Debt!O33,0)</f>
        <v>0</v>
      </c>
    </row>
    <row r="34" spans="2:15" ht="12.75" customHeight="1" x14ac:dyDescent="0.2">
      <c r="B34" s="35" t="s">
        <v>47</v>
      </c>
      <c r="C34" s="74"/>
      <c r="D34" s="74"/>
      <c r="E34" s="74"/>
      <c r="F34" s="44">
        <f ca="1">SUM(F33,F29)</f>
        <v>92305.673500000019</v>
      </c>
      <c r="G34" s="44">
        <f ca="1">SUM(G33,G29)</f>
        <v>93452.313425000044</v>
      </c>
      <c r="H34" s="44">
        <f ca="1">SUM(H33,H29)</f>
        <v>94309.420971250031</v>
      </c>
      <c r="I34" s="44">
        <f ca="1">SUM(I33,I29)</f>
        <v>94827.833082312529</v>
      </c>
      <c r="J34" s="44">
        <f ca="1">SUM(J33,J29)</f>
        <v>94952.459905178155</v>
      </c>
      <c r="K34" s="44">
        <f ca="1">SUM(K33,K29)</f>
        <v>94621.641586062062</v>
      </c>
      <c r="L34" s="44">
        <f ca="1">SUM(L33,L29)</f>
        <v>93766.438219552627</v>
      </c>
      <c r="M34" s="44">
        <f ca="1">SUM(M33,M29)</f>
        <v>92309.846140136477</v>
      </c>
      <c r="N34" s="44">
        <f ca="1">SUM(N33,N29)</f>
        <v>90165.933057710223</v>
      </c>
      <c r="O34" s="44">
        <f ca="1">SUM(O33,O29)</f>
        <v>87238.883782219302</v>
      </c>
    </row>
    <row r="35" spans="2:15" ht="12.75" customHeight="1" x14ac:dyDescent="0.2">
      <c r="B35" s="49"/>
      <c r="C35" s="71"/>
      <c r="D35" s="71"/>
      <c r="E35" s="71"/>
      <c r="F35" s="50"/>
      <c r="G35" s="50"/>
      <c r="H35" s="50"/>
      <c r="I35" s="50"/>
      <c r="J35" s="50"/>
      <c r="K35" s="50"/>
      <c r="L35" s="50"/>
      <c r="M35" s="50"/>
      <c r="N35" s="50"/>
      <c r="O35" s="50"/>
    </row>
    <row r="36" spans="2:15" ht="12.75" customHeight="1" x14ac:dyDescent="0.2">
      <c r="B36" s="43" t="s">
        <v>178</v>
      </c>
      <c r="C36" s="63"/>
      <c r="D36" s="63"/>
      <c r="E36" s="63"/>
      <c r="F36" s="12">
        <f ca="1">F37*F34*-1</f>
        <v>-24922.531845000005</v>
      </c>
      <c r="G36" s="12">
        <f t="shared" ref="G36:O36" ca="1" si="13">G37*G34*-1</f>
        <v>-25232.124624750013</v>
      </c>
      <c r="H36" s="12">
        <f t="shared" ca="1" si="13"/>
        <v>-25463.543662237509</v>
      </c>
      <c r="I36" s="12">
        <f t="shared" ca="1" si="13"/>
        <v>-25603.514932224385</v>
      </c>
      <c r="J36" s="12">
        <f t="shared" ca="1" si="13"/>
        <v>-25637.164174398105</v>
      </c>
      <c r="K36" s="12">
        <f t="shared" ca="1" si="13"/>
        <v>-25547.843228236758</v>
      </c>
      <c r="L36" s="12">
        <f t="shared" ca="1" si="13"/>
        <v>-25316.938319279212</v>
      </c>
      <c r="M36" s="12">
        <f t="shared" ca="1" si="13"/>
        <v>-24923.658457836849</v>
      </c>
      <c r="N36" s="12">
        <f t="shared" ca="1" si="13"/>
        <v>-24344.801925581763</v>
      </c>
      <c r="O36" s="12">
        <f t="shared" ca="1" si="13"/>
        <v>-23554.498621199215</v>
      </c>
    </row>
    <row r="37" spans="2:15" ht="12.75" customHeight="1" x14ac:dyDescent="0.2">
      <c r="B37" s="78" t="s">
        <v>176</v>
      </c>
      <c r="C37" s="63"/>
      <c r="D37" s="63"/>
      <c r="E37" s="63"/>
      <c r="F37" s="41">
        <f>inp_tax_rate</f>
        <v>0.27</v>
      </c>
      <c r="G37" s="41">
        <f>inp_tax_rate</f>
        <v>0.27</v>
      </c>
      <c r="H37" s="41">
        <f>inp_tax_rate</f>
        <v>0.27</v>
      </c>
      <c r="I37" s="41">
        <f>inp_tax_rate</f>
        <v>0.27</v>
      </c>
      <c r="J37" s="41">
        <f>inp_tax_rate</f>
        <v>0.27</v>
      </c>
      <c r="K37" s="41">
        <f>inp_tax_rate</f>
        <v>0.27</v>
      </c>
      <c r="L37" s="41">
        <f>inp_tax_rate</f>
        <v>0.27</v>
      </c>
      <c r="M37" s="41">
        <f>inp_tax_rate</f>
        <v>0.27</v>
      </c>
      <c r="N37" s="41">
        <f>inp_tax_rate</f>
        <v>0.27</v>
      </c>
      <c r="O37" s="41">
        <f>inp_tax_rate</f>
        <v>0.27</v>
      </c>
    </row>
    <row r="38" spans="2:15" ht="12.75" customHeight="1" x14ac:dyDescent="0.2">
      <c r="B38" s="3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</row>
    <row r="39" spans="2:15" ht="12.75" customHeight="1" x14ac:dyDescent="0.2">
      <c r="B39" s="35" t="s">
        <v>48</v>
      </c>
      <c r="C39" s="75"/>
      <c r="D39" s="75"/>
      <c r="E39" s="75"/>
      <c r="F39" s="44">
        <f t="shared" ref="F39:O39" ca="1" si="14">F34-F36</f>
        <v>117228.20534500002</v>
      </c>
      <c r="G39" s="44">
        <f t="shared" ca="1" si="14"/>
        <v>118684.43804975005</v>
      </c>
      <c r="H39" s="44">
        <f t="shared" ca="1" si="14"/>
        <v>119772.96463348754</v>
      </c>
      <c r="I39" s="44">
        <f t="shared" ca="1" si="14"/>
        <v>120431.34801453691</v>
      </c>
      <c r="J39" s="44">
        <f t="shared" ca="1" si="14"/>
        <v>120589.62407957626</v>
      </c>
      <c r="K39" s="44">
        <f t="shared" ca="1" si="14"/>
        <v>120169.48481429882</v>
      </c>
      <c r="L39" s="44">
        <f t="shared" ca="1" si="14"/>
        <v>119083.37653883184</v>
      </c>
      <c r="M39" s="44">
        <f t="shared" ca="1" si="14"/>
        <v>117233.50459797333</v>
      </c>
      <c r="N39" s="44">
        <f t="shared" ca="1" si="14"/>
        <v>114510.73498329199</v>
      </c>
      <c r="O39" s="44">
        <f t="shared" ca="1" si="14"/>
        <v>110793.38240341851</v>
      </c>
    </row>
    <row r="40" spans="2:15" ht="12.75" customHeight="1" x14ac:dyDescent="0.2">
      <c r="B40" s="49"/>
      <c r="C40" s="72"/>
      <c r="D40" s="72"/>
      <c r="E40" s="72"/>
      <c r="F40" s="73"/>
      <c r="G40" s="73"/>
      <c r="H40" s="73"/>
      <c r="I40" s="73"/>
      <c r="J40" s="73"/>
      <c r="K40" s="73"/>
      <c r="L40" s="73"/>
      <c r="M40" s="73"/>
      <c r="N40" s="73"/>
      <c r="O40" s="73"/>
    </row>
    <row r="41" spans="2:15" ht="12.75" customHeight="1" x14ac:dyDescent="0.25">
      <c r="B41" s="43" t="s">
        <v>179</v>
      </c>
      <c r="C41" s="63"/>
      <c r="D41" s="63"/>
      <c r="E41" s="63"/>
      <c r="F41" s="5">
        <f t="shared" ref="C41:O41" si="15">inp_diluted_shares</f>
        <v>14681.14</v>
      </c>
      <c r="G41" s="5">
        <f t="shared" si="15"/>
        <v>14681.14</v>
      </c>
      <c r="H41" s="5">
        <f t="shared" si="15"/>
        <v>14681.14</v>
      </c>
      <c r="I41" s="5">
        <f t="shared" si="15"/>
        <v>14681.14</v>
      </c>
      <c r="J41" s="5">
        <f t="shared" si="15"/>
        <v>14681.14</v>
      </c>
      <c r="K41" s="5">
        <f t="shared" si="15"/>
        <v>14681.14</v>
      </c>
      <c r="L41" s="5">
        <f t="shared" si="15"/>
        <v>14681.14</v>
      </c>
      <c r="M41" s="5">
        <f t="shared" si="15"/>
        <v>14681.14</v>
      </c>
      <c r="N41" s="5">
        <f t="shared" si="15"/>
        <v>14681.14</v>
      </c>
      <c r="O41" s="5">
        <f t="shared" si="15"/>
        <v>14681.14</v>
      </c>
    </row>
    <row r="42" spans="2:15" ht="12.75" customHeight="1" x14ac:dyDescent="0.2">
      <c r="B42" s="35" t="s">
        <v>49</v>
      </c>
      <c r="C42" s="75"/>
      <c r="D42" s="75"/>
      <c r="E42" s="75"/>
      <c r="F42" s="79">
        <f t="shared" ref="C42:O42" ca="1" si="16">IFERROR(F39/F41,0)</f>
        <v>7.9849524863191839</v>
      </c>
      <c r="G42" s="79">
        <f t="shared" ca="1" si="16"/>
        <v>8.0841431966284674</v>
      </c>
      <c r="H42" s="79">
        <f t="shared" ca="1" si="16"/>
        <v>8.1582877510525442</v>
      </c>
      <c r="I42" s="79">
        <f t="shared" ca="1" si="16"/>
        <v>8.2031332726570909</v>
      </c>
      <c r="J42" s="79">
        <f t="shared" ca="1" si="16"/>
        <v>8.2139141837470557</v>
      </c>
      <c r="K42" s="79">
        <f t="shared" ca="1" si="16"/>
        <v>8.1852965651372322</v>
      </c>
      <c r="L42" s="79">
        <f t="shared" ca="1" si="16"/>
        <v>8.1113167328171958</v>
      </c>
      <c r="M42" s="79">
        <f t="shared" ca="1" si="16"/>
        <v>7.9853134428234682</v>
      </c>
      <c r="N42" s="79">
        <f t="shared" ca="1" si="16"/>
        <v>7.7998530756666034</v>
      </c>
      <c r="O42" s="79">
        <f t="shared" ca="1" si="16"/>
        <v>7.5466470862220856</v>
      </c>
    </row>
    <row r="43" spans="2:15" ht="12.75" customHeight="1" x14ac:dyDescent="0.2">
      <c r="B43" s="30" t="s">
        <v>152</v>
      </c>
      <c r="C43" s="63"/>
      <c r="D43" s="63"/>
      <c r="E43" s="63"/>
      <c r="F43" s="63"/>
      <c r="G43" s="66">
        <f ca="1">G42/F42-1</f>
        <v>1.2422204199615372E-2</v>
      </c>
      <c r="H43" s="66">
        <f t="shared" ref="H43:O43" ca="1" si="17">H42/G42-1</f>
        <v>9.17160330052047E-3</v>
      </c>
      <c r="I43" s="66">
        <f t="shared" ca="1" si="17"/>
        <v>5.4969281512240453E-3</v>
      </c>
      <c r="J43" s="66">
        <f t="shared" ca="1" si="17"/>
        <v>1.3142430741555078E-3</v>
      </c>
      <c r="K43" s="66">
        <f t="shared" ca="1" si="17"/>
        <v>-3.4840415871947306E-3</v>
      </c>
      <c r="L43" s="66">
        <f t="shared" ca="1" si="17"/>
        <v>-9.038137070699559E-3</v>
      </c>
      <c r="M43" s="66">
        <f t="shared" ca="1" si="17"/>
        <v>-1.5534258387906008E-2</v>
      </c>
      <c r="N43" s="66">
        <f t="shared" ca="1" si="17"/>
        <v>-2.3225183142127181E-2</v>
      </c>
      <c r="O43" s="66">
        <f t="shared" ca="1" si="17"/>
        <v>-3.2462917825266557E-2</v>
      </c>
    </row>
    <row r="45" spans="2:15" ht="12.75" customHeight="1" x14ac:dyDescent="0.2">
      <c r="B45" s="57" t="s">
        <v>170</v>
      </c>
    </row>
    <row r="46" spans="2:15" ht="12.75" customHeight="1" x14ac:dyDescent="0.2">
      <c r="B46" s="6" t="s">
        <v>123</v>
      </c>
      <c r="C46" s="39">
        <f>_CapIQ_Data!C38*-1</f>
        <v>10959</v>
      </c>
      <c r="D46" s="39">
        <f>_CapIQ_Data!D38*-1</f>
        <v>9447</v>
      </c>
      <c r="E46" s="39">
        <f>_CapIQ_Data!E38*-1</f>
        <v>12715</v>
      </c>
      <c r="F46" s="40">
        <f>F47*F7</f>
        <v>13109.0715</v>
      </c>
      <c r="G46" s="40">
        <f>G47*G7</f>
        <v>13764.525075000001</v>
      </c>
      <c r="H46" s="40">
        <f>H47*H7</f>
        <v>14452.751328750002</v>
      </c>
      <c r="I46" s="40">
        <f>I47*I7</f>
        <v>15175.388895187503</v>
      </c>
      <c r="J46" s="40">
        <f>J47*J7</f>
        <v>15934.158339946878</v>
      </c>
      <c r="K46" s="40">
        <f>K47*K7</f>
        <v>16730.866256944224</v>
      </c>
      <c r="L46" s="40">
        <f>L47*L7</f>
        <v>17567.409569791434</v>
      </c>
      <c r="M46" s="40">
        <f>M47*M7</f>
        <v>18445.780048281005</v>
      </c>
      <c r="N46" s="40">
        <f>N47*N7</f>
        <v>19368.069050695056</v>
      </c>
      <c r="O46" s="40">
        <f>O47*O7</f>
        <v>20336.472503229812</v>
      </c>
    </row>
    <row r="47" spans="2:15" ht="12.75" customHeight="1" x14ac:dyDescent="0.2">
      <c r="B47" s="30" t="s">
        <v>167</v>
      </c>
      <c r="C47" s="64">
        <f>C46/C7</f>
        <v>2.859230076835775E-2</v>
      </c>
      <c r="D47" s="64">
        <f>D46/D7</f>
        <v>2.415896275269477E-2</v>
      </c>
      <c r="E47" s="64">
        <f>E46/E7</f>
        <v>3.0553079216937677E-2</v>
      </c>
      <c r="F47" s="65">
        <f>Inputs!I35</f>
        <v>0.03</v>
      </c>
      <c r="G47" s="65">
        <f>Inputs!J35</f>
        <v>0.03</v>
      </c>
      <c r="H47" s="65">
        <f>Inputs!K35</f>
        <v>0.03</v>
      </c>
      <c r="I47" s="65">
        <f>Inputs!L35</f>
        <v>0.03</v>
      </c>
      <c r="J47" s="65">
        <f>Inputs!M35</f>
        <v>0.03</v>
      </c>
      <c r="K47" s="65">
        <f>Inputs!N35</f>
        <v>0.03</v>
      </c>
      <c r="L47" s="65">
        <f>Inputs!O35</f>
        <v>0.03</v>
      </c>
      <c r="M47" s="65">
        <f>Inputs!P35</f>
        <v>0.03</v>
      </c>
      <c r="N47" s="65">
        <f>Inputs!Q35</f>
        <v>0.03</v>
      </c>
      <c r="O47" s="65">
        <f>Inputs!R35</f>
        <v>0.03</v>
      </c>
    </row>
  </sheetData>
  <pageMargins left="0.75" right="0.75" top="1" bottom="1" header="0.5" footer="0.5"/>
  <customProperties>
    <customPr name="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8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H11" sqref="H11"/>
    </sheetView>
  </sheetViews>
  <sheetFormatPr defaultRowHeight="15" x14ac:dyDescent="0.25"/>
  <cols>
    <col min="1" max="1" width="2.7109375" customWidth="1"/>
    <col min="2" max="2" width="35" customWidth="1"/>
    <col min="3" max="15" width="14" customWidth="1"/>
  </cols>
  <sheetData>
    <row r="2" spans="2:15" x14ac:dyDescent="0.25">
      <c r="B2" s="25" t="str">
        <f>inp_ticker &amp; " | Levered Free Cash Flow"</f>
        <v>APPL | Levered Free Cash Flow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spans="2:15" ht="16.5" x14ac:dyDescent="0.35">
      <c r="C4" s="38" t="s">
        <v>158</v>
      </c>
      <c r="D4" s="60"/>
      <c r="E4" s="60"/>
      <c r="F4" s="38" t="s">
        <v>157</v>
      </c>
      <c r="G4" s="38"/>
      <c r="H4" s="38"/>
      <c r="I4" s="38"/>
      <c r="J4" s="38"/>
      <c r="K4" s="38"/>
      <c r="L4" s="38"/>
      <c r="M4" s="38"/>
      <c r="N4" s="38"/>
      <c r="O4" s="38"/>
    </row>
    <row r="5" spans="2:15" x14ac:dyDescent="0.25">
      <c r="C5" s="37" t="s">
        <v>36</v>
      </c>
      <c r="D5" s="37" t="s">
        <v>37</v>
      </c>
      <c r="E5" s="37" t="s">
        <v>38</v>
      </c>
      <c r="F5" s="37" t="s">
        <v>24</v>
      </c>
      <c r="G5" s="37" t="s">
        <v>25</v>
      </c>
      <c r="H5" s="37" t="s">
        <v>26</v>
      </c>
      <c r="I5" s="37" t="s">
        <v>27</v>
      </c>
      <c r="J5" s="37" t="s">
        <v>28</v>
      </c>
      <c r="K5" s="37" t="s">
        <v>29</v>
      </c>
      <c r="L5" s="37" t="s">
        <v>30</v>
      </c>
      <c r="M5" s="37" t="s">
        <v>31</v>
      </c>
      <c r="N5" s="37" t="s">
        <v>32</v>
      </c>
      <c r="O5" s="37" t="s">
        <v>33</v>
      </c>
    </row>
    <row r="7" spans="2:15" x14ac:dyDescent="0.25">
      <c r="B7" s="1" t="s">
        <v>42</v>
      </c>
      <c r="C7" s="46">
        <f>IS!C20</f>
        <v>125820</v>
      </c>
      <c r="D7" s="46">
        <f>IS!D20</f>
        <v>134661</v>
      </c>
      <c r="E7" s="46">
        <f>IS!E20</f>
        <v>144748</v>
      </c>
      <c r="F7" s="46">
        <f>IS!F20</f>
        <v>119289.32000000002</v>
      </c>
      <c r="G7" s="46">
        <f>IS!G20</f>
        <v>122478.87100000004</v>
      </c>
      <c r="H7" s="46">
        <f>IS!H20</f>
        <v>125550.40805000004</v>
      </c>
      <c r="I7" s="46">
        <f>IS!I20</f>
        <v>128470.28130250004</v>
      </c>
      <c r="J7" s="46">
        <f>IS!J20</f>
        <v>131200.38350262505</v>
      </c>
      <c r="K7" s="46">
        <f>IS!K20</f>
        <v>133697.64962625629</v>
      </c>
      <c r="L7" s="46">
        <f>IS!L20</f>
        <v>135913.50375091907</v>
      </c>
      <c r="M7" s="46">
        <f>IS!M20</f>
        <v>137793.24774615001</v>
      </c>
      <c r="N7" s="46">
        <f>IS!N20</f>
        <v>139275.38582191104</v>
      </c>
      <c r="O7" s="46">
        <f>IS!O20</f>
        <v>140290.87837030547</v>
      </c>
    </row>
    <row r="8" spans="2:15" x14ac:dyDescent="0.25">
      <c r="B8" s="43" t="s">
        <v>180</v>
      </c>
      <c r="F8" s="5">
        <f ca="1">IS!F36</f>
        <v>-24922.531845000005</v>
      </c>
      <c r="G8" s="5">
        <f ca="1">IS!G36</f>
        <v>-25232.124624750013</v>
      </c>
      <c r="H8" s="5">
        <f ca="1">IS!H36</f>
        <v>-25463.543662237509</v>
      </c>
      <c r="I8" s="5">
        <f ca="1">IS!I36</f>
        <v>-25603.514932224385</v>
      </c>
      <c r="J8" s="5">
        <f ca="1">IS!J36</f>
        <v>-25637.164174398105</v>
      </c>
      <c r="K8" s="5">
        <f ca="1">IS!K36</f>
        <v>-25547.843228236758</v>
      </c>
      <c r="L8" s="5">
        <f ca="1">IS!L36</f>
        <v>-25316.938319279212</v>
      </c>
      <c r="M8" s="5">
        <f ca="1">IS!M36</f>
        <v>-24923.658457836849</v>
      </c>
      <c r="N8" s="5">
        <f ca="1">IS!N36</f>
        <v>-24344.801925581763</v>
      </c>
      <c r="O8" s="5">
        <f ca="1">IS!O36</f>
        <v>-23554.498621199215</v>
      </c>
    </row>
    <row r="9" spans="2:15" x14ac:dyDescent="0.25">
      <c r="B9" s="43" t="s">
        <v>181</v>
      </c>
      <c r="F9" s="80">
        <f ca="1">IS!F33</f>
        <v>0</v>
      </c>
      <c r="G9" s="80">
        <f ca="1">IS!G33</f>
        <v>0</v>
      </c>
      <c r="H9" s="80">
        <f ca="1">IS!H33</f>
        <v>0</v>
      </c>
      <c r="I9" s="80">
        <f ca="1">IS!I33</f>
        <v>0</v>
      </c>
      <c r="J9" s="80">
        <f ca="1">IS!J33</f>
        <v>0</v>
      </c>
      <c r="K9" s="80">
        <f ca="1">IS!K33</f>
        <v>0</v>
      </c>
      <c r="L9" s="80">
        <f ca="1">IS!L33</f>
        <v>0</v>
      </c>
      <c r="M9" s="80">
        <f ca="1">IS!M33</f>
        <v>0</v>
      </c>
      <c r="N9" s="80">
        <f ca="1">IS!N33</f>
        <v>0</v>
      </c>
      <c r="O9" s="80">
        <f ca="1">IS!O33</f>
        <v>0</v>
      </c>
    </row>
    <row r="10" spans="2:15" x14ac:dyDescent="0.25">
      <c r="B10" s="43" t="s">
        <v>185</v>
      </c>
      <c r="C10" s="73"/>
      <c r="D10" s="73"/>
      <c r="E10" s="73"/>
      <c r="F10" s="5">
        <f>IS!F46*-1</f>
        <v>-13109.0715</v>
      </c>
      <c r="G10" s="5">
        <f>IS!G46*-1</f>
        <v>-13764.525075000001</v>
      </c>
      <c r="H10" s="5">
        <f>IS!H46*-1</f>
        <v>-14452.751328750002</v>
      </c>
      <c r="I10" s="5">
        <f>IS!I46*-1</f>
        <v>-15175.388895187503</v>
      </c>
      <c r="J10" s="5">
        <f>IS!J46*-1</f>
        <v>-15934.158339946878</v>
      </c>
      <c r="K10" s="5">
        <f>IS!K46*-1</f>
        <v>-16730.866256944224</v>
      </c>
      <c r="L10" s="5">
        <f>IS!L46*-1</f>
        <v>-17567.409569791434</v>
      </c>
      <c r="M10" s="5">
        <f>IS!M46*-1</f>
        <v>-18445.780048281005</v>
      </c>
      <c r="N10" s="5">
        <f>IS!N46*-1</f>
        <v>-19368.069050695056</v>
      </c>
      <c r="O10" s="5">
        <f>IS!O46*-1</f>
        <v>-20336.472503229812</v>
      </c>
    </row>
    <row r="11" spans="2:15" x14ac:dyDescent="0.25">
      <c r="B11" s="35" t="s">
        <v>50</v>
      </c>
      <c r="C11" s="16"/>
      <c r="D11" s="16"/>
      <c r="E11" s="16"/>
      <c r="F11" s="44">
        <f t="shared" ref="C11:O11" ca="1" si="0">SUM(F7:F10)</f>
        <v>81257.716655000011</v>
      </c>
      <c r="G11" s="44">
        <f t="shared" ca="1" si="0"/>
        <v>83482.221300250036</v>
      </c>
      <c r="H11" s="44">
        <f t="shared" ca="1" si="0"/>
        <v>85634.113059012525</v>
      </c>
      <c r="I11" s="44">
        <f t="shared" ca="1" si="0"/>
        <v>87691.377475088157</v>
      </c>
      <c r="J11" s="44">
        <f t="shared" ca="1" si="0"/>
        <v>89629.060988280064</v>
      </c>
      <c r="K11" s="44">
        <f t="shared" ca="1" si="0"/>
        <v>91418.940141075305</v>
      </c>
      <c r="L11" s="44">
        <f t="shared" ca="1" si="0"/>
        <v>93029.155861848427</v>
      </c>
      <c r="M11" s="44">
        <f t="shared" ca="1" si="0"/>
        <v>94423.809240032162</v>
      </c>
      <c r="N11" s="44">
        <f t="shared" ca="1" si="0"/>
        <v>95562.514845634229</v>
      </c>
      <c r="O11" s="44">
        <f t="shared" ca="1" si="0"/>
        <v>96399.907245876428</v>
      </c>
    </row>
    <row r="12" spans="2:15" x14ac:dyDescent="0.25">
      <c r="B12" s="43" t="s">
        <v>182</v>
      </c>
      <c r="F12" s="5">
        <f ca="1">IFERROR(-(Debt!F34+Debt!F35),0)</f>
        <v>0</v>
      </c>
      <c r="G12" s="5">
        <f ca="1">IFERROR(-(Debt!G34+Debt!G35),0)</f>
        <v>0</v>
      </c>
      <c r="H12" s="5">
        <f ca="1">IFERROR(-(Debt!H34+Debt!H35),0)</f>
        <v>0</v>
      </c>
      <c r="I12" s="5">
        <f ca="1">IFERROR(-(Debt!I34+Debt!I35),0)</f>
        <v>0</v>
      </c>
      <c r="J12" s="5">
        <f ca="1">IFERROR(-(Debt!J34+Debt!J35),0)</f>
        <v>0</v>
      </c>
      <c r="K12" s="5">
        <f ca="1">IFERROR(-(Debt!K34+Debt!K35),0)</f>
        <v>0</v>
      </c>
      <c r="L12" s="5">
        <f ca="1">IFERROR(-(Debt!L34+Debt!L35),0)</f>
        <v>0</v>
      </c>
      <c r="M12" s="5">
        <f ca="1">IFERROR(-(Debt!M34+Debt!M35),0)</f>
        <v>0</v>
      </c>
      <c r="N12" s="5">
        <f ca="1">IFERROR(-(Debt!N34+Debt!N35),0)</f>
        <v>0</v>
      </c>
      <c r="O12" s="5">
        <f ca="1">IFERROR(-(Debt!O34+Debt!O35),0)</f>
        <v>0</v>
      </c>
    </row>
    <row r="13" spans="2:15" x14ac:dyDescent="0.25">
      <c r="B13" s="43" t="s">
        <v>183</v>
      </c>
      <c r="F13" s="12">
        <f>-inp_annual_dps*((1+inp_dps_growth)^0)*IS!F41</f>
        <v>-14974.7628</v>
      </c>
      <c r="G13" s="12">
        <f>-inp_annual_dps*((1+inp_dps_growth)^1)*IS!G41</f>
        <v>-14974.7628</v>
      </c>
      <c r="H13" s="12">
        <f>-inp_annual_dps*((1+inp_dps_growth)^2)*IS!H41</f>
        <v>-14974.7628</v>
      </c>
      <c r="I13" s="12">
        <f>-inp_annual_dps*((1+inp_dps_growth)^3)*IS!I41</f>
        <v>-14974.7628</v>
      </c>
      <c r="J13" s="12">
        <f>-inp_annual_dps*((1+inp_dps_growth)^4)*IS!J41</f>
        <v>-14974.7628</v>
      </c>
      <c r="K13" s="12">
        <f>-inp_annual_dps*((1+inp_dps_growth)^5)*IS!K41</f>
        <v>-14974.7628</v>
      </c>
      <c r="L13" s="12">
        <f>-inp_annual_dps*((1+inp_dps_growth)^6)*IS!L41</f>
        <v>-14974.7628</v>
      </c>
      <c r="M13" s="12">
        <f>-inp_annual_dps*((1+inp_dps_growth)^7)*IS!M41</f>
        <v>-14974.7628</v>
      </c>
      <c r="N13" s="12">
        <f>-inp_annual_dps*((1+inp_dps_growth)^8)*IS!N41</f>
        <v>-14974.7628</v>
      </c>
      <c r="O13" s="12">
        <f>-inp_annual_dps*((1+inp_dps_growth)^9)*IS!O41</f>
        <v>-14974.7628</v>
      </c>
    </row>
    <row r="14" spans="2:15" x14ac:dyDescent="0.25">
      <c r="B14" s="35" t="s">
        <v>51</v>
      </c>
      <c r="C14" s="16"/>
      <c r="D14" s="16"/>
      <c r="E14" s="16"/>
      <c r="F14" s="44">
        <f ca="1">SUM(F11:F13)</f>
        <v>66282.953855000014</v>
      </c>
      <c r="G14" s="44">
        <f t="shared" ref="G14:O14" ca="1" si="1">SUM(G11:G13)</f>
        <v>68507.458500250039</v>
      </c>
      <c r="H14" s="44">
        <f t="shared" ca="1" si="1"/>
        <v>70659.350259012528</v>
      </c>
      <c r="I14" s="44">
        <f t="shared" ca="1" si="1"/>
        <v>72716.61467508816</v>
      </c>
      <c r="J14" s="44">
        <f t="shared" ca="1" si="1"/>
        <v>74654.298188280067</v>
      </c>
      <c r="K14" s="44">
        <f t="shared" ca="1" si="1"/>
        <v>76444.177341075309</v>
      </c>
      <c r="L14" s="44">
        <f t="shared" ca="1" si="1"/>
        <v>78054.39306184843</v>
      </c>
      <c r="M14" s="44">
        <f t="shared" ca="1" si="1"/>
        <v>79449.046440032165</v>
      </c>
      <c r="N14" s="44">
        <f t="shared" ca="1" si="1"/>
        <v>80587.752045634232</v>
      </c>
      <c r="O14" s="44">
        <f t="shared" ca="1" si="1"/>
        <v>81425.144445876431</v>
      </c>
    </row>
    <row r="15" spans="2:15" x14ac:dyDescent="0.25">
      <c r="B15" s="6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</row>
    <row r="16" spans="2:15" x14ac:dyDescent="0.25">
      <c r="B16" s="6" t="s">
        <v>52</v>
      </c>
      <c r="C16" s="12"/>
      <c r="D16" s="12"/>
      <c r="E16" s="12"/>
      <c r="F16" s="82">
        <f t="shared" ref="D16:O16" si="2">E18</f>
        <v>45317</v>
      </c>
      <c r="G16" s="82">
        <f t="shared" ca="1" si="2"/>
        <v>111599.95385500001</v>
      </c>
      <c r="H16" s="82">
        <f t="shared" ca="1" si="2"/>
        <v>180107.41235525004</v>
      </c>
      <c r="I16" s="82">
        <f t="shared" ca="1" si="2"/>
        <v>250766.76261426258</v>
      </c>
      <c r="J16" s="82">
        <f t="shared" ca="1" si="2"/>
        <v>323483.37728935073</v>
      </c>
      <c r="K16" s="82">
        <f t="shared" ca="1" si="2"/>
        <v>398137.67547763081</v>
      </c>
      <c r="L16" s="82">
        <f t="shared" ca="1" si="2"/>
        <v>474581.85281870613</v>
      </c>
      <c r="M16" s="82">
        <f t="shared" ca="1" si="2"/>
        <v>552636.24588055455</v>
      </c>
      <c r="N16" s="82">
        <f t="shared" ca="1" si="2"/>
        <v>632085.29232058674</v>
      </c>
      <c r="O16" s="82">
        <f t="shared" ca="1" si="2"/>
        <v>712673.04436622094</v>
      </c>
    </row>
    <row r="17" spans="2:15" x14ac:dyDescent="0.25">
      <c r="B17" s="43" t="s">
        <v>184</v>
      </c>
      <c r="C17" s="12"/>
      <c r="D17" s="12"/>
      <c r="E17" s="12"/>
      <c r="F17" s="67">
        <f ca="1">F14</f>
        <v>66282.953855000014</v>
      </c>
      <c r="G17" s="67">
        <f t="shared" ref="G17:O17" ca="1" si="3">G14</f>
        <v>68507.458500250039</v>
      </c>
      <c r="H17" s="67">
        <f t="shared" ca="1" si="3"/>
        <v>70659.350259012528</v>
      </c>
      <c r="I17" s="67">
        <f t="shared" ca="1" si="3"/>
        <v>72716.61467508816</v>
      </c>
      <c r="J17" s="67">
        <f t="shared" ca="1" si="3"/>
        <v>74654.298188280067</v>
      </c>
      <c r="K17" s="67">
        <f t="shared" ca="1" si="3"/>
        <v>76444.177341075309</v>
      </c>
      <c r="L17" s="67">
        <f t="shared" ca="1" si="3"/>
        <v>78054.39306184843</v>
      </c>
      <c r="M17" s="67">
        <f t="shared" ca="1" si="3"/>
        <v>79449.046440032165</v>
      </c>
      <c r="N17" s="67">
        <f t="shared" ca="1" si="3"/>
        <v>80587.752045634232</v>
      </c>
      <c r="O17" s="67">
        <f t="shared" ca="1" si="3"/>
        <v>81425.144445876431</v>
      </c>
    </row>
    <row r="18" spans="2:15" x14ac:dyDescent="0.25">
      <c r="B18" s="35" t="s">
        <v>53</v>
      </c>
      <c r="C18" s="36"/>
      <c r="D18" s="36"/>
      <c r="E18" s="81">
        <f>inp_cash</f>
        <v>45317</v>
      </c>
      <c r="F18" s="44">
        <f ca="1">SUM(F16:F17)</f>
        <v>111599.95385500001</v>
      </c>
      <c r="G18" s="44">
        <f t="shared" ref="G18:O18" ca="1" si="4">SUM(G16:G17)</f>
        <v>180107.41235525004</v>
      </c>
      <c r="H18" s="44">
        <f t="shared" ca="1" si="4"/>
        <v>250766.76261426258</v>
      </c>
      <c r="I18" s="44">
        <f t="shared" ca="1" si="4"/>
        <v>323483.37728935073</v>
      </c>
      <c r="J18" s="44">
        <f t="shared" ca="1" si="4"/>
        <v>398137.67547763081</v>
      </c>
      <c r="K18" s="44">
        <f t="shared" ca="1" si="4"/>
        <v>474581.85281870613</v>
      </c>
      <c r="L18" s="44">
        <f t="shared" ca="1" si="4"/>
        <v>552636.24588055455</v>
      </c>
      <c r="M18" s="44">
        <f t="shared" ca="1" si="4"/>
        <v>632085.29232058674</v>
      </c>
      <c r="N18" s="44">
        <f t="shared" ca="1" si="4"/>
        <v>712673.04436622094</v>
      </c>
      <c r="O18" s="44">
        <f t="shared" ca="1" si="4"/>
        <v>794098.18881209742</v>
      </c>
    </row>
  </sheetData>
  <pageMargins left="0.75" right="0.75" top="1" bottom="1" header="0.5" footer="0.5"/>
  <customProperties>
    <customPr name="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F34" sqref="F34"/>
    </sheetView>
  </sheetViews>
  <sheetFormatPr defaultRowHeight="15" x14ac:dyDescent="0.25"/>
  <cols>
    <col min="1" max="1" width="2.7109375" customWidth="1"/>
    <col min="2" max="2" width="35" customWidth="1"/>
    <col min="3" max="15" width="14" customWidth="1"/>
  </cols>
  <sheetData>
    <row r="2" spans="2:15" x14ac:dyDescent="0.25">
      <c r="B2" s="1" t="str">
        <f>inp_ticker &amp; " | Debt Schedule"</f>
        <v>APPL | Debt Schedule</v>
      </c>
    </row>
    <row r="4" spans="2:15" x14ac:dyDescent="0.25">
      <c r="C4" s="13" t="s">
        <v>36</v>
      </c>
      <c r="D4" s="13" t="s">
        <v>37</v>
      </c>
      <c r="E4" s="13" t="s">
        <v>38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</row>
    <row r="5" spans="2:15" x14ac:dyDescent="0.25">
      <c r="B5" s="1" t="s">
        <v>54</v>
      </c>
    </row>
    <row r="6" spans="2:15" x14ac:dyDescent="0.25">
      <c r="B6" s="6" t="s">
        <v>55</v>
      </c>
      <c r="C6" s="11">
        <v>0</v>
      </c>
      <c r="D6" s="12">
        <f t="shared" ref="D6:O6" si="0">C9</f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</row>
    <row r="7" spans="2:15" x14ac:dyDescent="0.25">
      <c r="B7" s="6" t="s">
        <v>56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 spans="2:15" x14ac:dyDescent="0.25">
      <c r="B8" s="6" t="s">
        <v>57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</row>
    <row r="9" spans="2:15" x14ac:dyDescent="0.25">
      <c r="B9" s="6" t="s">
        <v>58</v>
      </c>
      <c r="C9" s="16">
        <f t="shared" ref="C9:O9" si="1">C6+C7-C8</f>
        <v>0</v>
      </c>
      <c r="D9" s="16">
        <f t="shared" si="1"/>
        <v>0</v>
      </c>
      <c r="E9" s="16">
        <f t="shared" si="1"/>
        <v>0</v>
      </c>
      <c r="F9" s="16">
        <f t="shared" si="1"/>
        <v>0</v>
      </c>
      <c r="G9" s="16">
        <f t="shared" si="1"/>
        <v>0</v>
      </c>
      <c r="H9" s="16">
        <f t="shared" si="1"/>
        <v>0</v>
      </c>
      <c r="I9" s="16">
        <f t="shared" si="1"/>
        <v>0</v>
      </c>
      <c r="J9" s="16">
        <f t="shared" si="1"/>
        <v>0</v>
      </c>
      <c r="K9" s="16">
        <f t="shared" si="1"/>
        <v>0</v>
      </c>
      <c r="L9" s="16">
        <f t="shared" si="1"/>
        <v>0</v>
      </c>
      <c r="M9" s="16">
        <f t="shared" si="1"/>
        <v>0</v>
      </c>
      <c r="N9" s="16">
        <f t="shared" si="1"/>
        <v>0</v>
      </c>
      <c r="O9" s="16">
        <f t="shared" si="1"/>
        <v>0</v>
      </c>
    </row>
    <row r="10" spans="2:15" x14ac:dyDescent="0.25">
      <c r="B10" s="6" t="s">
        <v>59</v>
      </c>
      <c r="C10" s="12">
        <f t="shared" ref="C10:O10" si="2">(C6+C9)/2</f>
        <v>0</v>
      </c>
      <c r="D10" s="12">
        <f t="shared" si="2"/>
        <v>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0</v>
      </c>
      <c r="I10" s="12">
        <f t="shared" si="2"/>
        <v>0</v>
      </c>
      <c r="J10" s="12">
        <f t="shared" si="2"/>
        <v>0</v>
      </c>
      <c r="K10" s="12">
        <f t="shared" si="2"/>
        <v>0</v>
      </c>
      <c r="L10" s="12">
        <f t="shared" si="2"/>
        <v>0</v>
      </c>
      <c r="M10" s="12">
        <f t="shared" si="2"/>
        <v>0</v>
      </c>
      <c r="N10" s="12">
        <f t="shared" si="2"/>
        <v>0</v>
      </c>
      <c r="O10" s="12">
        <f t="shared" si="2"/>
        <v>0</v>
      </c>
    </row>
    <row r="11" spans="2:15" x14ac:dyDescent="0.25">
      <c r="B11" s="6" t="s">
        <v>60</v>
      </c>
      <c r="C11" s="10">
        <v>0.06</v>
      </c>
      <c r="D11" s="10">
        <v>0.06</v>
      </c>
      <c r="E11" s="10">
        <v>0.06</v>
      </c>
      <c r="F11" s="10">
        <v>0.06</v>
      </c>
      <c r="G11" s="10">
        <v>0.06</v>
      </c>
      <c r="H11" s="10">
        <v>0.06</v>
      </c>
      <c r="I11" s="10">
        <v>0.06</v>
      </c>
      <c r="J11" s="10">
        <v>0.06</v>
      </c>
      <c r="K11" s="10">
        <v>0.06</v>
      </c>
      <c r="L11" s="10">
        <v>0.06</v>
      </c>
      <c r="M11" s="10">
        <v>0.06</v>
      </c>
      <c r="N11" s="10">
        <v>0.06</v>
      </c>
      <c r="O11" s="10">
        <v>0.06</v>
      </c>
    </row>
    <row r="12" spans="2:15" x14ac:dyDescent="0.25">
      <c r="B12" s="6" t="s">
        <v>46</v>
      </c>
      <c r="C12" s="12">
        <f t="shared" ref="C12:O12" si="3">C10*C11</f>
        <v>0</v>
      </c>
      <c r="D12" s="12">
        <f t="shared" si="3"/>
        <v>0</v>
      </c>
      <c r="E12" s="12">
        <f t="shared" si="3"/>
        <v>0</v>
      </c>
      <c r="F12" s="12">
        <f t="shared" si="3"/>
        <v>0</v>
      </c>
      <c r="G12" s="12">
        <f t="shared" si="3"/>
        <v>0</v>
      </c>
      <c r="H12" s="12">
        <f t="shared" si="3"/>
        <v>0</v>
      </c>
      <c r="I12" s="12">
        <f t="shared" si="3"/>
        <v>0</v>
      </c>
      <c r="J12" s="12">
        <f t="shared" si="3"/>
        <v>0</v>
      </c>
      <c r="K12" s="12">
        <f t="shared" si="3"/>
        <v>0</v>
      </c>
      <c r="L12" s="12">
        <f t="shared" si="3"/>
        <v>0</v>
      </c>
      <c r="M12" s="12">
        <f t="shared" si="3"/>
        <v>0</v>
      </c>
      <c r="N12" s="12">
        <f t="shared" si="3"/>
        <v>0</v>
      </c>
      <c r="O12" s="12">
        <f t="shared" si="3"/>
        <v>0</v>
      </c>
    </row>
    <row r="14" spans="2:15" x14ac:dyDescent="0.25">
      <c r="B14" s="1" t="s">
        <v>61</v>
      </c>
    </row>
    <row r="15" spans="2:15" x14ac:dyDescent="0.25">
      <c r="B15" s="6" t="s">
        <v>55</v>
      </c>
      <c r="C15" s="11">
        <v>0</v>
      </c>
      <c r="D15" s="12">
        <f t="shared" ref="D15:O15" si="4">C18</f>
        <v>0</v>
      </c>
      <c r="E15" s="12">
        <f t="shared" si="4"/>
        <v>0</v>
      </c>
      <c r="F15" s="12">
        <f t="shared" si="4"/>
        <v>0</v>
      </c>
      <c r="G15" s="12">
        <f t="shared" ca="1" si="4"/>
        <v>0</v>
      </c>
      <c r="H15" s="12">
        <f t="shared" ca="1" si="4"/>
        <v>0</v>
      </c>
      <c r="I15" s="12">
        <f t="shared" ca="1" si="4"/>
        <v>0</v>
      </c>
      <c r="J15" s="12">
        <f t="shared" ca="1" si="4"/>
        <v>0</v>
      </c>
      <c r="K15" s="12">
        <f t="shared" ca="1" si="4"/>
        <v>0</v>
      </c>
      <c r="L15" s="12">
        <f t="shared" ca="1" si="4"/>
        <v>0</v>
      </c>
      <c r="M15" s="12">
        <f t="shared" ca="1" si="4"/>
        <v>0</v>
      </c>
      <c r="N15" s="12">
        <f t="shared" ca="1" si="4"/>
        <v>0</v>
      </c>
      <c r="O15" s="12">
        <f t="shared" ca="1" si="4"/>
        <v>0</v>
      </c>
    </row>
    <row r="16" spans="2:15" x14ac:dyDescent="0.25">
      <c r="B16" s="6" t="s">
        <v>62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</row>
    <row r="17" spans="2:15" x14ac:dyDescent="0.25">
      <c r="B17" s="6" t="s">
        <v>63</v>
      </c>
      <c r="C17" s="12">
        <v>0</v>
      </c>
      <c r="D17" s="12">
        <v>0</v>
      </c>
      <c r="E17" s="12">
        <v>0</v>
      </c>
      <c r="F17" s="5">
        <f t="shared" ref="F17:O17" ca="1" si="5">F40</f>
        <v>0</v>
      </c>
      <c r="G17" s="5">
        <f t="shared" ca="1" si="5"/>
        <v>0</v>
      </c>
      <c r="H17" s="5">
        <f t="shared" ca="1" si="5"/>
        <v>0</v>
      </c>
      <c r="I17" s="5">
        <f t="shared" ca="1" si="5"/>
        <v>0</v>
      </c>
      <c r="J17" s="5">
        <f t="shared" ca="1" si="5"/>
        <v>0</v>
      </c>
      <c r="K17" s="5">
        <f t="shared" ca="1" si="5"/>
        <v>0</v>
      </c>
      <c r="L17" s="5">
        <f t="shared" ca="1" si="5"/>
        <v>0</v>
      </c>
      <c r="M17" s="5">
        <f t="shared" ca="1" si="5"/>
        <v>0</v>
      </c>
      <c r="N17" s="5">
        <f t="shared" ca="1" si="5"/>
        <v>0</v>
      </c>
      <c r="O17" s="5">
        <f t="shared" ca="1" si="5"/>
        <v>0</v>
      </c>
    </row>
    <row r="18" spans="2:15" x14ac:dyDescent="0.25">
      <c r="B18" s="6" t="s">
        <v>58</v>
      </c>
      <c r="C18" s="16">
        <f t="shared" ref="C18:O18" si="6">C15-C16-C17</f>
        <v>0</v>
      </c>
      <c r="D18" s="16">
        <f t="shared" si="6"/>
        <v>0</v>
      </c>
      <c r="E18" s="16">
        <f t="shared" si="6"/>
        <v>0</v>
      </c>
      <c r="F18" s="16">
        <f t="shared" ca="1" si="6"/>
        <v>0</v>
      </c>
      <c r="G18" s="16">
        <f t="shared" ca="1" si="6"/>
        <v>0</v>
      </c>
      <c r="H18" s="16">
        <f t="shared" ca="1" si="6"/>
        <v>0</v>
      </c>
      <c r="I18" s="16">
        <f t="shared" ca="1" si="6"/>
        <v>0</v>
      </c>
      <c r="J18" s="16">
        <f t="shared" ca="1" si="6"/>
        <v>0</v>
      </c>
      <c r="K18" s="16">
        <f t="shared" ca="1" si="6"/>
        <v>0</v>
      </c>
      <c r="L18" s="16">
        <f t="shared" ca="1" si="6"/>
        <v>0</v>
      </c>
      <c r="M18" s="16">
        <f t="shared" ca="1" si="6"/>
        <v>0</v>
      </c>
      <c r="N18" s="16">
        <f t="shared" ca="1" si="6"/>
        <v>0</v>
      </c>
      <c r="O18" s="16">
        <f t="shared" ca="1" si="6"/>
        <v>0</v>
      </c>
    </row>
    <row r="19" spans="2:15" x14ac:dyDescent="0.25">
      <c r="B19" s="6" t="s">
        <v>59</v>
      </c>
      <c r="C19" s="12">
        <f t="shared" ref="C19:O19" si="7">(C15+C18)/2</f>
        <v>0</v>
      </c>
      <c r="D19" s="12">
        <f t="shared" si="7"/>
        <v>0</v>
      </c>
      <c r="E19" s="12">
        <f t="shared" si="7"/>
        <v>0</v>
      </c>
      <c r="F19" s="12">
        <f t="shared" ca="1" si="7"/>
        <v>0</v>
      </c>
      <c r="G19" s="12">
        <f t="shared" ca="1" si="7"/>
        <v>0</v>
      </c>
      <c r="H19" s="12">
        <f t="shared" ca="1" si="7"/>
        <v>0</v>
      </c>
      <c r="I19" s="12">
        <f t="shared" ca="1" si="7"/>
        <v>0</v>
      </c>
      <c r="J19" s="12">
        <f t="shared" ca="1" si="7"/>
        <v>0</v>
      </c>
      <c r="K19" s="12">
        <f t="shared" ca="1" si="7"/>
        <v>0</v>
      </c>
      <c r="L19" s="12">
        <f t="shared" ca="1" si="7"/>
        <v>0</v>
      </c>
      <c r="M19" s="12">
        <f t="shared" ca="1" si="7"/>
        <v>0</v>
      </c>
      <c r="N19" s="12">
        <f t="shared" ca="1" si="7"/>
        <v>0</v>
      </c>
      <c r="O19" s="12">
        <f t="shared" ca="1" si="7"/>
        <v>0</v>
      </c>
    </row>
    <row r="20" spans="2:15" x14ac:dyDescent="0.25">
      <c r="B20" s="6" t="s">
        <v>60</v>
      </c>
      <c r="C20" s="10">
        <v>7.0000000000000007E-2</v>
      </c>
      <c r="D20" s="10">
        <v>7.0000000000000007E-2</v>
      </c>
      <c r="E20" s="10">
        <v>7.0000000000000007E-2</v>
      </c>
      <c r="F20" s="10">
        <v>7.0000000000000007E-2</v>
      </c>
      <c r="G20" s="10">
        <v>7.0000000000000007E-2</v>
      </c>
      <c r="H20" s="10">
        <v>7.0000000000000007E-2</v>
      </c>
      <c r="I20" s="10">
        <v>7.0000000000000007E-2</v>
      </c>
      <c r="J20" s="10">
        <v>7.0000000000000007E-2</v>
      </c>
      <c r="K20" s="10">
        <v>7.0000000000000007E-2</v>
      </c>
      <c r="L20" s="10">
        <v>7.0000000000000007E-2</v>
      </c>
      <c r="M20" s="10">
        <v>7.0000000000000007E-2</v>
      </c>
      <c r="N20" s="10">
        <v>7.0000000000000007E-2</v>
      </c>
      <c r="O20" s="10">
        <v>7.0000000000000007E-2</v>
      </c>
    </row>
    <row r="21" spans="2:15" x14ac:dyDescent="0.25">
      <c r="B21" s="6" t="s">
        <v>46</v>
      </c>
      <c r="C21" s="12">
        <f t="shared" ref="C21:O21" si="8">C19*C20</f>
        <v>0</v>
      </c>
      <c r="D21" s="12">
        <f t="shared" si="8"/>
        <v>0</v>
      </c>
      <c r="E21" s="12">
        <f t="shared" si="8"/>
        <v>0</v>
      </c>
      <c r="F21" s="12">
        <f t="shared" ca="1" si="8"/>
        <v>0</v>
      </c>
      <c r="G21" s="12">
        <f t="shared" ca="1" si="8"/>
        <v>0</v>
      </c>
      <c r="H21" s="12">
        <f t="shared" ca="1" si="8"/>
        <v>0</v>
      </c>
      <c r="I21" s="12">
        <f t="shared" ca="1" si="8"/>
        <v>0</v>
      </c>
      <c r="J21" s="12">
        <f t="shared" ca="1" si="8"/>
        <v>0</v>
      </c>
      <c r="K21" s="12">
        <f t="shared" ca="1" si="8"/>
        <v>0</v>
      </c>
      <c r="L21" s="12">
        <f t="shared" ca="1" si="8"/>
        <v>0</v>
      </c>
      <c r="M21" s="12">
        <f t="shared" ca="1" si="8"/>
        <v>0</v>
      </c>
      <c r="N21" s="12">
        <f t="shared" ca="1" si="8"/>
        <v>0</v>
      </c>
      <c r="O21" s="12">
        <f t="shared" ca="1" si="8"/>
        <v>0</v>
      </c>
    </row>
    <row r="23" spans="2:15" x14ac:dyDescent="0.25">
      <c r="B23" s="1" t="s">
        <v>64</v>
      </c>
    </row>
    <row r="24" spans="2:15" x14ac:dyDescent="0.25">
      <c r="B24" s="6" t="s">
        <v>55</v>
      </c>
      <c r="C24" s="11">
        <v>0</v>
      </c>
      <c r="D24" s="12">
        <f t="shared" ref="D24:O24" si="9">C26</f>
        <v>0</v>
      </c>
      <c r="E24" s="12">
        <f t="shared" si="9"/>
        <v>0</v>
      </c>
      <c r="F24" s="12">
        <f t="shared" si="9"/>
        <v>0</v>
      </c>
      <c r="G24" s="12">
        <f t="shared" si="9"/>
        <v>0</v>
      </c>
      <c r="H24" s="12">
        <f t="shared" si="9"/>
        <v>0</v>
      </c>
      <c r="I24" s="12">
        <f t="shared" si="9"/>
        <v>0</v>
      </c>
      <c r="J24" s="12">
        <f t="shared" si="9"/>
        <v>0</v>
      </c>
      <c r="K24" s="12">
        <f t="shared" si="9"/>
        <v>0</v>
      </c>
      <c r="L24" s="12">
        <f t="shared" si="9"/>
        <v>0</v>
      </c>
      <c r="M24" s="12">
        <f t="shared" si="9"/>
        <v>0</v>
      </c>
      <c r="N24" s="12">
        <f t="shared" si="9"/>
        <v>0</v>
      </c>
      <c r="O24" s="12">
        <f t="shared" si="9"/>
        <v>0</v>
      </c>
    </row>
    <row r="25" spans="2:15" x14ac:dyDescent="0.25">
      <c r="B25" s="6" t="s">
        <v>65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2:15" x14ac:dyDescent="0.25">
      <c r="B26" s="6" t="s">
        <v>58</v>
      </c>
      <c r="C26" s="16">
        <f t="shared" ref="C26:O26" si="10">C24-C25</f>
        <v>0</v>
      </c>
      <c r="D26" s="16">
        <f t="shared" si="10"/>
        <v>0</v>
      </c>
      <c r="E26" s="16">
        <f t="shared" si="10"/>
        <v>0</v>
      </c>
      <c r="F26" s="16">
        <f t="shared" si="10"/>
        <v>0</v>
      </c>
      <c r="G26" s="16">
        <f t="shared" si="10"/>
        <v>0</v>
      </c>
      <c r="H26" s="16">
        <f t="shared" si="10"/>
        <v>0</v>
      </c>
      <c r="I26" s="16">
        <f t="shared" si="10"/>
        <v>0</v>
      </c>
      <c r="J26" s="16">
        <f t="shared" si="10"/>
        <v>0</v>
      </c>
      <c r="K26" s="16">
        <f t="shared" si="10"/>
        <v>0</v>
      </c>
      <c r="L26" s="16">
        <f t="shared" si="10"/>
        <v>0</v>
      </c>
      <c r="M26" s="16">
        <f t="shared" si="10"/>
        <v>0</v>
      </c>
      <c r="N26" s="16">
        <f t="shared" si="10"/>
        <v>0</v>
      </c>
      <c r="O26" s="16">
        <f t="shared" si="10"/>
        <v>0</v>
      </c>
    </row>
    <row r="27" spans="2:15" x14ac:dyDescent="0.25">
      <c r="B27" s="6" t="s">
        <v>60</v>
      </c>
      <c r="C27" s="10">
        <v>0.05</v>
      </c>
      <c r="D27" s="10">
        <v>0.05</v>
      </c>
      <c r="E27" s="10">
        <v>0.05</v>
      </c>
      <c r="F27" s="10">
        <v>0.05</v>
      </c>
      <c r="G27" s="10">
        <v>0.05</v>
      </c>
      <c r="H27" s="10">
        <v>0.05</v>
      </c>
      <c r="I27" s="10">
        <v>0.05</v>
      </c>
      <c r="J27" s="10">
        <v>0.05</v>
      </c>
      <c r="K27" s="10">
        <v>0.05</v>
      </c>
      <c r="L27" s="10">
        <v>0.05</v>
      </c>
      <c r="M27" s="10">
        <v>0.05</v>
      </c>
      <c r="N27" s="10">
        <v>0.05</v>
      </c>
      <c r="O27" s="10">
        <v>0.05</v>
      </c>
    </row>
    <row r="28" spans="2:15" x14ac:dyDescent="0.25">
      <c r="B28" s="6" t="s">
        <v>46</v>
      </c>
      <c r="C28" s="12">
        <f t="shared" ref="C28:O28" si="11">C24*C27</f>
        <v>0</v>
      </c>
      <c r="D28" s="12">
        <f t="shared" si="11"/>
        <v>0</v>
      </c>
      <c r="E28" s="12">
        <f t="shared" si="11"/>
        <v>0</v>
      </c>
      <c r="F28" s="12">
        <f t="shared" si="11"/>
        <v>0</v>
      </c>
      <c r="G28" s="12">
        <f t="shared" si="11"/>
        <v>0</v>
      </c>
      <c r="H28" s="12">
        <f t="shared" si="11"/>
        <v>0</v>
      </c>
      <c r="I28" s="12">
        <f t="shared" si="11"/>
        <v>0</v>
      </c>
      <c r="J28" s="12">
        <f t="shared" si="11"/>
        <v>0</v>
      </c>
      <c r="K28" s="12">
        <f t="shared" si="11"/>
        <v>0</v>
      </c>
      <c r="L28" s="12">
        <f t="shared" si="11"/>
        <v>0</v>
      </c>
      <c r="M28" s="12">
        <f t="shared" si="11"/>
        <v>0</v>
      </c>
      <c r="N28" s="12">
        <f t="shared" si="11"/>
        <v>0</v>
      </c>
      <c r="O28" s="12">
        <f t="shared" si="11"/>
        <v>0</v>
      </c>
    </row>
    <row r="30" spans="2:15" x14ac:dyDescent="0.25">
      <c r="B30" s="1" t="s">
        <v>66</v>
      </c>
    </row>
    <row r="31" spans="2:15" x14ac:dyDescent="0.25">
      <c r="B31" s="6" t="s">
        <v>67</v>
      </c>
      <c r="C31" s="16">
        <f t="shared" ref="C31:O31" si="12">C6+C15+C24</f>
        <v>0</v>
      </c>
      <c r="D31" s="16">
        <f t="shared" si="12"/>
        <v>0</v>
      </c>
      <c r="E31" s="16">
        <f t="shared" si="12"/>
        <v>0</v>
      </c>
      <c r="F31" s="16">
        <f t="shared" si="12"/>
        <v>0</v>
      </c>
      <c r="G31" s="16">
        <f t="shared" ca="1" si="12"/>
        <v>0</v>
      </c>
      <c r="H31" s="16">
        <f t="shared" ca="1" si="12"/>
        <v>0</v>
      </c>
      <c r="I31" s="16">
        <f t="shared" ca="1" si="12"/>
        <v>0</v>
      </c>
      <c r="J31" s="16">
        <f t="shared" ca="1" si="12"/>
        <v>0</v>
      </c>
      <c r="K31" s="16">
        <f t="shared" ca="1" si="12"/>
        <v>0</v>
      </c>
      <c r="L31" s="16">
        <f t="shared" ca="1" si="12"/>
        <v>0</v>
      </c>
      <c r="M31" s="16">
        <f t="shared" ca="1" si="12"/>
        <v>0</v>
      </c>
      <c r="N31" s="16">
        <f t="shared" ca="1" si="12"/>
        <v>0</v>
      </c>
      <c r="O31" s="16">
        <f t="shared" ca="1" si="12"/>
        <v>0</v>
      </c>
    </row>
    <row r="32" spans="2:15" x14ac:dyDescent="0.25">
      <c r="B32" s="6" t="s">
        <v>68</v>
      </c>
      <c r="C32" s="16">
        <f t="shared" ref="C32:O32" si="13">C9+C18+C26</f>
        <v>0</v>
      </c>
      <c r="D32" s="16">
        <f t="shared" si="13"/>
        <v>0</v>
      </c>
      <c r="E32" s="16">
        <f t="shared" si="13"/>
        <v>0</v>
      </c>
      <c r="F32" s="16">
        <f t="shared" ca="1" si="13"/>
        <v>0</v>
      </c>
      <c r="G32" s="16">
        <f t="shared" ca="1" si="13"/>
        <v>0</v>
      </c>
      <c r="H32" s="16">
        <f t="shared" ca="1" si="13"/>
        <v>0</v>
      </c>
      <c r="I32" s="16">
        <f t="shared" ca="1" si="13"/>
        <v>0</v>
      </c>
      <c r="J32" s="16">
        <f t="shared" ca="1" si="13"/>
        <v>0</v>
      </c>
      <c r="K32" s="16">
        <f t="shared" ca="1" si="13"/>
        <v>0</v>
      </c>
      <c r="L32" s="16">
        <f t="shared" ca="1" si="13"/>
        <v>0</v>
      </c>
      <c r="M32" s="16">
        <f t="shared" ca="1" si="13"/>
        <v>0</v>
      </c>
      <c r="N32" s="16">
        <f t="shared" ca="1" si="13"/>
        <v>0</v>
      </c>
      <c r="O32" s="16">
        <f t="shared" ca="1" si="13"/>
        <v>0</v>
      </c>
    </row>
    <row r="33" spans="2:15" x14ac:dyDescent="0.25">
      <c r="B33" s="6" t="s">
        <v>69</v>
      </c>
      <c r="C33" s="16">
        <f t="shared" ref="C33:O33" si="14">C12+C21+C28</f>
        <v>0</v>
      </c>
      <c r="D33" s="16">
        <f t="shared" si="14"/>
        <v>0</v>
      </c>
      <c r="E33" s="16">
        <f t="shared" si="14"/>
        <v>0</v>
      </c>
      <c r="F33" s="16">
        <f t="shared" ca="1" si="14"/>
        <v>0</v>
      </c>
      <c r="G33" s="16">
        <f t="shared" ca="1" si="14"/>
        <v>0</v>
      </c>
      <c r="H33" s="16">
        <f t="shared" ca="1" si="14"/>
        <v>0</v>
      </c>
      <c r="I33" s="16">
        <f t="shared" ca="1" si="14"/>
        <v>0</v>
      </c>
      <c r="J33" s="16">
        <f t="shared" ca="1" si="14"/>
        <v>0</v>
      </c>
      <c r="K33" s="16">
        <f t="shared" ca="1" si="14"/>
        <v>0</v>
      </c>
      <c r="L33" s="16">
        <f t="shared" ca="1" si="14"/>
        <v>0</v>
      </c>
      <c r="M33" s="16">
        <f t="shared" ca="1" si="14"/>
        <v>0</v>
      </c>
      <c r="N33" s="16">
        <f t="shared" ca="1" si="14"/>
        <v>0</v>
      </c>
      <c r="O33" s="16">
        <f t="shared" ca="1" si="14"/>
        <v>0</v>
      </c>
    </row>
    <row r="34" spans="2:15" x14ac:dyDescent="0.25">
      <c r="B34" s="6" t="s">
        <v>70</v>
      </c>
      <c r="C34" s="12">
        <f t="shared" ref="C34:O34" si="15">C16</f>
        <v>0</v>
      </c>
      <c r="D34" s="12">
        <f t="shared" si="15"/>
        <v>0</v>
      </c>
      <c r="E34" s="12">
        <f t="shared" si="15"/>
        <v>0</v>
      </c>
      <c r="F34" s="12">
        <f t="shared" si="15"/>
        <v>0</v>
      </c>
      <c r="G34" s="12">
        <f t="shared" si="15"/>
        <v>0</v>
      </c>
      <c r="H34" s="12">
        <f t="shared" si="15"/>
        <v>0</v>
      </c>
      <c r="I34" s="12">
        <f t="shared" si="15"/>
        <v>0</v>
      </c>
      <c r="J34" s="12">
        <f t="shared" si="15"/>
        <v>0</v>
      </c>
      <c r="K34" s="12">
        <f t="shared" si="15"/>
        <v>0</v>
      </c>
      <c r="L34" s="12">
        <f t="shared" si="15"/>
        <v>0</v>
      </c>
      <c r="M34" s="12">
        <f t="shared" si="15"/>
        <v>0</v>
      </c>
      <c r="N34" s="12">
        <f t="shared" si="15"/>
        <v>0</v>
      </c>
      <c r="O34" s="12">
        <f t="shared" si="15"/>
        <v>0</v>
      </c>
    </row>
    <row r="35" spans="2:15" x14ac:dyDescent="0.25">
      <c r="B35" s="6" t="s">
        <v>71</v>
      </c>
      <c r="C35" s="12">
        <f t="shared" ref="C35:O35" si="16">C17</f>
        <v>0</v>
      </c>
      <c r="D35" s="12">
        <f t="shared" si="16"/>
        <v>0</v>
      </c>
      <c r="E35" s="12">
        <f t="shared" si="16"/>
        <v>0</v>
      </c>
      <c r="F35" s="12">
        <f t="shared" ca="1" si="16"/>
        <v>0</v>
      </c>
      <c r="G35" s="12">
        <f t="shared" ca="1" si="16"/>
        <v>0</v>
      </c>
      <c r="H35" s="12">
        <f t="shared" ca="1" si="16"/>
        <v>0</v>
      </c>
      <c r="I35" s="12">
        <f t="shared" ca="1" si="16"/>
        <v>0</v>
      </c>
      <c r="J35" s="12">
        <f t="shared" ca="1" si="16"/>
        <v>0</v>
      </c>
      <c r="K35" s="12">
        <f t="shared" ca="1" si="16"/>
        <v>0</v>
      </c>
      <c r="L35" s="12">
        <f t="shared" ca="1" si="16"/>
        <v>0</v>
      </c>
      <c r="M35" s="12">
        <f t="shared" ca="1" si="16"/>
        <v>0</v>
      </c>
      <c r="N35" s="12">
        <f t="shared" ca="1" si="16"/>
        <v>0</v>
      </c>
      <c r="O35" s="12">
        <f t="shared" ca="1" si="16"/>
        <v>0</v>
      </c>
    </row>
    <row r="37" spans="2:15" x14ac:dyDescent="0.25">
      <c r="B37" s="1" t="s">
        <v>72</v>
      </c>
    </row>
    <row r="38" spans="2:15" x14ac:dyDescent="0.25">
      <c r="B38" s="6" t="s">
        <v>73</v>
      </c>
      <c r="C38" s="12">
        <v>0</v>
      </c>
      <c r="D38" s="12">
        <v>0</v>
      </c>
      <c r="E38" s="12">
        <v>0</v>
      </c>
      <c r="F38" s="12">
        <f ca="1">MAX(0,CF!F18-inp_min_cash)</f>
        <v>111599.95385500001</v>
      </c>
      <c r="G38" s="12">
        <f ca="1">MAX(0,CF!G18-inp_min_cash)</f>
        <v>180107.41235525004</v>
      </c>
      <c r="H38" s="12">
        <f ca="1">MAX(0,CF!H18-inp_min_cash)</f>
        <v>250766.76261426258</v>
      </c>
      <c r="I38" s="12">
        <f ca="1">MAX(0,CF!I18-inp_min_cash)</f>
        <v>323483.37728935073</v>
      </c>
      <c r="J38" s="12">
        <f ca="1">MAX(0,CF!J18-inp_min_cash)</f>
        <v>398137.67547763081</v>
      </c>
      <c r="K38" s="12">
        <f ca="1">MAX(0,CF!K18-inp_min_cash)</f>
        <v>474581.85281870613</v>
      </c>
      <c r="L38" s="12">
        <f ca="1">MAX(0,CF!L18-inp_min_cash)</f>
        <v>552636.24588055455</v>
      </c>
      <c r="M38" s="12">
        <f ca="1">MAX(0,CF!M18-inp_min_cash)</f>
        <v>632085.29232058674</v>
      </c>
      <c r="N38" s="12">
        <f ca="1">MAX(0,CF!N18-inp_min_cash)</f>
        <v>712673.04436622094</v>
      </c>
      <c r="O38" s="12">
        <f ca="1">MAX(0,CF!O18-inp_min_cash)</f>
        <v>794098.18881209742</v>
      </c>
    </row>
    <row r="39" spans="2:15" x14ac:dyDescent="0.25">
      <c r="B39" s="6" t="s">
        <v>74</v>
      </c>
      <c r="C39" s="12">
        <v>0</v>
      </c>
      <c r="D39" s="12">
        <v>0</v>
      </c>
      <c r="E39" s="12">
        <v>0</v>
      </c>
      <c r="F39" s="12">
        <f t="shared" ref="F39:O39" ca="1" si="17">F38*inp_cash_sweep_pct</f>
        <v>0</v>
      </c>
      <c r="G39" s="12">
        <f t="shared" ca="1" si="17"/>
        <v>0</v>
      </c>
      <c r="H39" s="12">
        <f t="shared" ca="1" si="17"/>
        <v>0</v>
      </c>
      <c r="I39" s="12">
        <f t="shared" ca="1" si="17"/>
        <v>0</v>
      </c>
      <c r="J39" s="12">
        <f t="shared" ca="1" si="17"/>
        <v>0</v>
      </c>
      <c r="K39" s="12">
        <f t="shared" ca="1" si="17"/>
        <v>0</v>
      </c>
      <c r="L39" s="12">
        <f t="shared" ca="1" si="17"/>
        <v>0</v>
      </c>
      <c r="M39" s="12">
        <f t="shared" ca="1" si="17"/>
        <v>0</v>
      </c>
      <c r="N39" s="12">
        <f t="shared" ca="1" si="17"/>
        <v>0</v>
      </c>
      <c r="O39" s="12">
        <f t="shared" ca="1" si="17"/>
        <v>0</v>
      </c>
    </row>
    <row r="40" spans="2:15" x14ac:dyDescent="0.25">
      <c r="B40" s="6" t="s">
        <v>75</v>
      </c>
      <c r="C40" s="12">
        <v>0</v>
      </c>
      <c r="D40" s="12">
        <v>0</v>
      </c>
      <c r="E40" s="12">
        <v>0</v>
      </c>
      <c r="F40" s="12">
        <f t="shared" ref="F40:O40" ca="1" si="18">F39</f>
        <v>0</v>
      </c>
      <c r="G40" s="12">
        <f t="shared" ca="1" si="18"/>
        <v>0</v>
      </c>
      <c r="H40" s="12">
        <f t="shared" ca="1" si="18"/>
        <v>0</v>
      </c>
      <c r="I40" s="12">
        <f t="shared" ca="1" si="18"/>
        <v>0</v>
      </c>
      <c r="J40" s="12">
        <f t="shared" ca="1" si="18"/>
        <v>0</v>
      </c>
      <c r="K40" s="12">
        <f t="shared" ca="1" si="18"/>
        <v>0</v>
      </c>
      <c r="L40" s="12">
        <f t="shared" ca="1" si="18"/>
        <v>0</v>
      </c>
      <c r="M40" s="12">
        <f t="shared" ca="1" si="18"/>
        <v>0</v>
      </c>
      <c r="N40" s="12">
        <f t="shared" ca="1" si="18"/>
        <v>0</v>
      </c>
      <c r="O40" s="12">
        <f t="shared" ca="1" si="18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.7109375" customWidth="1"/>
    <col min="2" max="2" width="35" customWidth="1"/>
    <col min="3" max="15" width="14" customWidth="1"/>
  </cols>
  <sheetData>
    <row r="2" spans="2:15" x14ac:dyDescent="0.25">
      <c r="B2" s="1" t="str">
        <f>inp_ticker &amp; " | Valuation"</f>
        <v>APPL | Valuation</v>
      </c>
    </row>
    <row r="4" spans="2:15" x14ac:dyDescent="0.25"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</row>
    <row r="5" spans="2:15" x14ac:dyDescent="0.25">
      <c r="B5" s="6" t="s">
        <v>76</v>
      </c>
      <c r="F5" s="5">
        <f>IS!F20</f>
        <v>119289.32000000002</v>
      </c>
      <c r="G5" s="5">
        <f>IS!G20</f>
        <v>122478.87100000004</v>
      </c>
      <c r="H5" s="5">
        <f>IS!H20</f>
        <v>125550.40805000004</v>
      </c>
      <c r="I5" s="5">
        <f>IS!I20</f>
        <v>128470.28130250004</v>
      </c>
      <c r="J5" s="5">
        <f>IS!J20</f>
        <v>131200.38350262505</v>
      </c>
      <c r="K5" s="5">
        <f>IS!K20</f>
        <v>133697.64962625629</v>
      </c>
      <c r="L5" s="5">
        <f>IS!L20</f>
        <v>135913.50375091907</v>
      </c>
      <c r="M5" s="5">
        <f>IS!M20</f>
        <v>137793.24774615001</v>
      </c>
      <c r="N5" s="5">
        <f>IS!N20</f>
        <v>139275.38582191104</v>
      </c>
      <c r="O5" s="5">
        <f>IS!O20</f>
        <v>140290.87837030547</v>
      </c>
    </row>
    <row r="6" spans="2:15" x14ac:dyDescent="0.25">
      <c r="B6" s="6" t="s">
        <v>35</v>
      </c>
      <c r="F6" s="18">
        <f>Inputs!I$37</f>
        <v>10</v>
      </c>
      <c r="G6" s="18">
        <f>Inputs!J$37</f>
        <v>10</v>
      </c>
      <c r="H6" s="18">
        <f>Inputs!K$37</f>
        <v>10</v>
      </c>
      <c r="I6" s="18">
        <f>Inputs!L$37</f>
        <v>10</v>
      </c>
      <c r="J6" s="18">
        <f>Inputs!M$37</f>
        <v>10</v>
      </c>
      <c r="K6" s="18">
        <f>Inputs!N$37</f>
        <v>10</v>
      </c>
      <c r="L6" s="18">
        <f>Inputs!O$37</f>
        <v>10</v>
      </c>
      <c r="M6" s="18">
        <f>Inputs!P$37</f>
        <v>10</v>
      </c>
      <c r="N6" s="18">
        <f>Inputs!Q$37</f>
        <v>10</v>
      </c>
      <c r="O6" s="18">
        <f>Inputs!R$37</f>
        <v>10</v>
      </c>
    </row>
    <row r="7" spans="2:15" x14ac:dyDescent="0.25">
      <c r="B7" s="6" t="s">
        <v>77</v>
      </c>
      <c r="F7" s="16">
        <f t="shared" ref="F7:O7" si="0">F5*F6</f>
        <v>1192893.2000000002</v>
      </c>
      <c r="G7" s="16">
        <f t="shared" si="0"/>
        <v>1224788.7100000004</v>
      </c>
      <c r="H7" s="16">
        <f t="shared" si="0"/>
        <v>1255504.0805000004</v>
      </c>
      <c r="I7" s="16">
        <f t="shared" si="0"/>
        <v>1284702.8130250003</v>
      </c>
      <c r="J7" s="16">
        <f t="shared" si="0"/>
        <v>1312003.8350262505</v>
      </c>
      <c r="K7" s="16">
        <f t="shared" si="0"/>
        <v>1336976.4962625629</v>
      </c>
      <c r="L7" s="16">
        <f t="shared" si="0"/>
        <v>1359135.0375091908</v>
      </c>
      <c r="M7" s="16">
        <f t="shared" si="0"/>
        <v>1377932.4774615001</v>
      </c>
      <c r="N7" s="16">
        <f t="shared" si="0"/>
        <v>1392753.8582191104</v>
      </c>
      <c r="O7" s="16">
        <f t="shared" si="0"/>
        <v>1402908.7837030548</v>
      </c>
    </row>
    <row r="8" spans="2:15" x14ac:dyDescent="0.25">
      <c r="B8" s="6" t="s">
        <v>78</v>
      </c>
      <c r="F8" s="5">
        <f ca="1">-Debt!F32</f>
        <v>0</v>
      </c>
      <c r="G8" s="5">
        <f ca="1">-Debt!G32</f>
        <v>0</v>
      </c>
      <c r="H8" s="5">
        <f ca="1">-Debt!H32</f>
        <v>0</v>
      </c>
      <c r="I8" s="5">
        <f ca="1">-Debt!I32</f>
        <v>0</v>
      </c>
      <c r="J8" s="5">
        <f ca="1">-Debt!J32</f>
        <v>0</v>
      </c>
      <c r="K8" s="5">
        <f ca="1">-Debt!K32</f>
        <v>0</v>
      </c>
      <c r="L8" s="5">
        <f ca="1">-Debt!L32</f>
        <v>0</v>
      </c>
      <c r="M8" s="5">
        <f ca="1">-Debt!M32</f>
        <v>0</v>
      </c>
      <c r="N8" s="5">
        <f ca="1">-Debt!N32</f>
        <v>0</v>
      </c>
      <c r="O8" s="5">
        <f ca="1">-Debt!O32</f>
        <v>0</v>
      </c>
    </row>
    <row r="9" spans="2:15" x14ac:dyDescent="0.25">
      <c r="B9" s="6" t="s">
        <v>79</v>
      </c>
      <c r="F9" s="5">
        <f ca="1">CF!F18</f>
        <v>111599.95385500001</v>
      </c>
      <c r="G9" s="5">
        <f ca="1">CF!G18</f>
        <v>180107.41235525004</v>
      </c>
      <c r="H9" s="5">
        <f ca="1">CF!H18</f>
        <v>250766.76261426258</v>
      </c>
      <c r="I9" s="5">
        <f ca="1">CF!I18</f>
        <v>323483.37728935073</v>
      </c>
      <c r="J9" s="5">
        <f ca="1">CF!J18</f>
        <v>398137.67547763081</v>
      </c>
      <c r="K9" s="5">
        <f ca="1">CF!K18</f>
        <v>474581.85281870613</v>
      </c>
      <c r="L9" s="5">
        <f ca="1">CF!L18</f>
        <v>552636.24588055455</v>
      </c>
      <c r="M9" s="5">
        <f ca="1">CF!M18</f>
        <v>632085.29232058674</v>
      </c>
      <c r="N9" s="5">
        <f ca="1">CF!N18</f>
        <v>712673.04436622094</v>
      </c>
      <c r="O9" s="5">
        <f ca="1">CF!O18</f>
        <v>794098.18881209742</v>
      </c>
    </row>
    <row r="10" spans="2:15" x14ac:dyDescent="0.25">
      <c r="B10" s="6" t="s">
        <v>80</v>
      </c>
      <c r="F10" s="5">
        <f t="shared" ref="F10:O10" si="1">-inp_minority_interest</f>
        <v>0</v>
      </c>
      <c r="G10" s="5">
        <f t="shared" si="1"/>
        <v>0</v>
      </c>
      <c r="H10" s="5">
        <f t="shared" si="1"/>
        <v>0</v>
      </c>
      <c r="I10" s="5">
        <f t="shared" si="1"/>
        <v>0</v>
      </c>
      <c r="J10" s="5">
        <f t="shared" si="1"/>
        <v>0</v>
      </c>
      <c r="K10" s="5">
        <f t="shared" si="1"/>
        <v>0</v>
      </c>
      <c r="L10" s="5">
        <f t="shared" si="1"/>
        <v>0</v>
      </c>
      <c r="M10" s="5">
        <f t="shared" si="1"/>
        <v>0</v>
      </c>
      <c r="N10" s="5">
        <f t="shared" si="1"/>
        <v>0</v>
      </c>
      <c r="O10" s="5">
        <f t="shared" si="1"/>
        <v>0</v>
      </c>
    </row>
    <row r="11" spans="2:15" x14ac:dyDescent="0.25">
      <c r="B11" s="6" t="s">
        <v>81</v>
      </c>
      <c r="F11" s="5">
        <f t="shared" ref="F11:O11" si="2">inp_equity_investments</f>
        <v>0</v>
      </c>
      <c r="G11" s="5">
        <f t="shared" si="2"/>
        <v>0</v>
      </c>
      <c r="H11" s="5">
        <f t="shared" si="2"/>
        <v>0</v>
      </c>
      <c r="I11" s="5">
        <f t="shared" si="2"/>
        <v>0</v>
      </c>
      <c r="J11" s="5">
        <f t="shared" si="2"/>
        <v>0</v>
      </c>
      <c r="K11" s="5">
        <f t="shared" si="2"/>
        <v>0</v>
      </c>
      <c r="L11" s="5">
        <f t="shared" si="2"/>
        <v>0</v>
      </c>
      <c r="M11" s="5">
        <f t="shared" si="2"/>
        <v>0</v>
      </c>
      <c r="N11" s="5">
        <f t="shared" si="2"/>
        <v>0</v>
      </c>
      <c r="O11" s="5">
        <f t="shared" si="2"/>
        <v>0</v>
      </c>
    </row>
    <row r="12" spans="2:15" x14ac:dyDescent="0.25">
      <c r="B12" s="6" t="s">
        <v>82</v>
      </c>
      <c r="F12" s="16">
        <f t="shared" ref="F12:O12" ca="1" si="3">F7+F8+F9+F10+F11</f>
        <v>1304493.1538550002</v>
      </c>
      <c r="G12" s="16">
        <f t="shared" ca="1" si="3"/>
        <v>1404896.1223552504</v>
      </c>
      <c r="H12" s="16">
        <f t="shared" ca="1" si="3"/>
        <v>1506270.8431142629</v>
      </c>
      <c r="I12" s="16">
        <f t="shared" ca="1" si="3"/>
        <v>1608186.1903143511</v>
      </c>
      <c r="J12" s="16">
        <f t="shared" ca="1" si="3"/>
        <v>1710141.5105038811</v>
      </c>
      <c r="K12" s="16">
        <f t="shared" ca="1" si="3"/>
        <v>1811558.349081269</v>
      </c>
      <c r="L12" s="16">
        <f t="shared" ca="1" si="3"/>
        <v>1911771.2833897453</v>
      </c>
      <c r="M12" s="16">
        <f t="shared" ca="1" si="3"/>
        <v>2010017.7697820868</v>
      </c>
      <c r="N12" s="16">
        <f t="shared" ca="1" si="3"/>
        <v>2105426.9025853314</v>
      </c>
      <c r="O12" s="16">
        <f t="shared" ca="1" si="3"/>
        <v>2197006.9725151523</v>
      </c>
    </row>
    <row r="13" spans="2:15" x14ac:dyDescent="0.25">
      <c r="B13" s="6" t="s">
        <v>83</v>
      </c>
      <c r="F13" s="5">
        <f>IS!F41</f>
        <v>14681.14</v>
      </c>
      <c r="G13" s="5">
        <f>IS!G41</f>
        <v>14681.14</v>
      </c>
      <c r="H13" s="5">
        <f>IS!H41</f>
        <v>14681.14</v>
      </c>
      <c r="I13" s="5">
        <f>IS!I41</f>
        <v>14681.14</v>
      </c>
      <c r="J13" s="5">
        <f>IS!J41</f>
        <v>14681.14</v>
      </c>
      <c r="K13" s="5">
        <f>IS!K41</f>
        <v>14681.14</v>
      </c>
      <c r="L13" s="5">
        <f>IS!L41</f>
        <v>14681.14</v>
      </c>
      <c r="M13" s="5">
        <f>IS!M41</f>
        <v>14681.14</v>
      </c>
      <c r="N13" s="5">
        <f>IS!N41</f>
        <v>14681.14</v>
      </c>
      <c r="O13" s="5">
        <f>IS!O41</f>
        <v>14681.14</v>
      </c>
    </row>
    <row r="14" spans="2:15" x14ac:dyDescent="0.25">
      <c r="B14" s="6" t="s">
        <v>84</v>
      </c>
      <c r="F14" s="19">
        <f t="shared" ref="F14:O14" ca="1" si="4">IFERROR(F12/F13,0)</f>
        <v>88.855031275159845</v>
      </c>
      <c r="G14" s="19">
        <f t="shared" ca="1" si="4"/>
        <v>95.693939459418715</v>
      </c>
      <c r="H14" s="19">
        <f t="shared" ca="1" si="4"/>
        <v>102.59903816149584</v>
      </c>
      <c r="I14" s="19">
        <f t="shared" ca="1" si="4"/>
        <v>109.54096141814267</v>
      </c>
      <c r="J14" s="19">
        <f t="shared" ca="1" si="4"/>
        <v>116.4856074190343</v>
      </c>
      <c r="K14" s="19">
        <f t="shared" ca="1" si="4"/>
        <v>123.3935749595242</v>
      </c>
      <c r="L14" s="19">
        <f t="shared" ca="1" si="4"/>
        <v>130.21953904054763</v>
      </c>
      <c r="M14" s="19">
        <f t="shared" ca="1" si="4"/>
        <v>136.9115593054822</v>
      </c>
      <c r="N14" s="19">
        <f t="shared" ca="1" si="4"/>
        <v>143.41031436150948</v>
      </c>
      <c r="O14" s="19">
        <f t="shared" ca="1" si="4"/>
        <v>149.64825432596871</v>
      </c>
    </row>
    <row r="15" spans="2:15" x14ac:dyDescent="0.25">
      <c r="B15" s="6" t="s">
        <v>85</v>
      </c>
      <c r="F15" s="15">
        <f ca="1">IFERROR((F14/inp_current_price)^(1/1)-1,0)</f>
        <v>-0.66796819522753315</v>
      </c>
      <c r="G15" s="15">
        <f ca="1">IFERROR((G14/inp_current_price)^(1/2)-1,0)</f>
        <v>-0.40201395679227958</v>
      </c>
      <c r="H15" s="15">
        <f ca="1">IFERROR((H14/inp_current_price)^(1/3)-1,0)</f>
        <v>-0.2735367480559191</v>
      </c>
      <c r="I15" s="15">
        <f ca="1">IFERROR((I14/inp_current_price)^(1/4)-1,0)</f>
        <v>-0.20013157624292843</v>
      </c>
      <c r="J15" s="15">
        <f ca="1">IFERROR((J14/inp_current_price)^(1/5)-1,0)</f>
        <v>-0.15325237706709871</v>
      </c>
      <c r="K15" s="15">
        <f ca="1">IFERROR((K14/inp_current_price)^(1/6)-1,0)</f>
        <v>-0.12104825074258885</v>
      </c>
      <c r="L15" s="15">
        <f ca="1">IFERROR((L14/inp_current_price)^(1/7)-1,0)</f>
        <v>-9.7783957550174216E-2</v>
      </c>
      <c r="M15" s="15">
        <f ca="1">IFERROR((M14/inp_current_price)^(1/8)-1,0)</f>
        <v>-8.0361334968890752E-2</v>
      </c>
      <c r="N15" s="15">
        <f ca="1">IFERROR((N14/inp_current_price)^(1/9)-1,0)</f>
        <v>-6.6965803965923665E-2</v>
      </c>
      <c r="O15" s="15">
        <f ca="1">IFERROR((O14/inp_current_price)^(1/10)-1,0)</f>
        <v>-5.6467352999470033E-2</v>
      </c>
    </row>
    <row r="16" spans="2:15" x14ac:dyDescent="0.25">
      <c r="B16" s="6" t="s">
        <v>86</v>
      </c>
      <c r="F16" s="20">
        <f t="shared" ref="F16:O16" ca="1" si="5">IFERROR(F14/inp_current_price,0)</f>
        <v>0.3320318047724668</v>
      </c>
      <c r="G16" s="20">
        <f t="shared" ca="1" si="5"/>
        <v>0.35758730787122572</v>
      </c>
      <c r="H16" s="20">
        <f t="shared" ca="1" si="5"/>
        <v>0.38339015044839819</v>
      </c>
      <c r="I16" s="20">
        <f t="shared" ca="1" si="5"/>
        <v>0.40933059832645519</v>
      </c>
      <c r="J16" s="20">
        <f t="shared" ca="1" si="5"/>
        <v>0.43528122050384621</v>
      </c>
      <c r="K16" s="20">
        <f t="shared" ca="1" si="5"/>
        <v>0.46109478330228393</v>
      </c>
      <c r="L16" s="20">
        <f t="shared" ca="1" si="5"/>
        <v>0.48660191712024076</v>
      </c>
      <c r="M16" s="20">
        <f t="shared" ca="1" si="5"/>
        <v>0.51160853221285529</v>
      </c>
      <c r="N16" s="20">
        <f t="shared" ca="1" si="5"/>
        <v>0.53589295751843902</v>
      </c>
      <c r="O16" s="20">
        <f t="shared" ca="1" si="5"/>
        <v>0.5592027739096771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2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.7109375" customWidth="1"/>
    <col min="2" max="2" width="35" customWidth="1"/>
    <col min="3" max="15" width="14" customWidth="1"/>
  </cols>
  <sheetData>
    <row r="2" spans="2:15" x14ac:dyDescent="0.25">
      <c r="B2" s="1" t="str">
        <f>inp_ticker &amp; " | Summary"</f>
        <v>APPL | Summary</v>
      </c>
    </row>
    <row r="4" spans="2:15" x14ac:dyDescent="0.25">
      <c r="B4" s="1" t="s">
        <v>0</v>
      </c>
      <c r="C4" s="2" t="str">
        <f>inp_company_name</f>
        <v>Apple Inc.</v>
      </c>
    </row>
    <row r="5" spans="2:15" x14ac:dyDescent="0.25">
      <c r="B5" s="1" t="s">
        <v>1</v>
      </c>
      <c r="C5" s="2" t="str">
        <f>inp_ticker</f>
        <v>APPL</v>
      </c>
    </row>
    <row r="6" spans="2:15" x14ac:dyDescent="0.25">
      <c r="B6" s="1" t="s">
        <v>2</v>
      </c>
      <c r="C6" s="2" t="str">
        <f>inp_sector</f>
        <v>Information Technology</v>
      </c>
    </row>
    <row r="8" spans="2:15" x14ac:dyDescent="0.25">
      <c r="B8" s="1" t="s">
        <v>87</v>
      </c>
    </row>
    <row r="9" spans="2:15" x14ac:dyDescent="0.25">
      <c r="C9" s="13" t="s">
        <v>36</v>
      </c>
      <c r="D9" s="13" t="s">
        <v>37</v>
      </c>
      <c r="E9" s="13" t="s">
        <v>38</v>
      </c>
      <c r="F9" s="13" t="s">
        <v>24</v>
      </c>
      <c r="G9" s="13" t="s">
        <v>25</v>
      </c>
      <c r="H9" s="13" t="s">
        <v>26</v>
      </c>
      <c r="I9" s="13" t="s">
        <v>27</v>
      </c>
      <c r="J9" s="13" t="s">
        <v>28</v>
      </c>
      <c r="K9" s="13" t="s">
        <v>29</v>
      </c>
      <c r="L9" s="13" t="s">
        <v>30</v>
      </c>
      <c r="M9" s="13" t="s">
        <v>31</v>
      </c>
      <c r="N9" s="13" t="s">
        <v>32</v>
      </c>
      <c r="O9" s="13" t="s">
        <v>33</v>
      </c>
    </row>
    <row r="10" spans="2:15" x14ac:dyDescent="0.25">
      <c r="B10" s="6" t="s">
        <v>39</v>
      </c>
      <c r="C10" s="5">
        <f>IS!C7</f>
        <v>383285</v>
      </c>
      <c r="D10" s="5">
        <f>IS!D7</f>
        <v>391035</v>
      </c>
      <c r="E10" s="5">
        <f>IS!E7</f>
        <v>416161</v>
      </c>
      <c r="F10" s="5">
        <f>IS!F7</f>
        <v>436969.05000000005</v>
      </c>
      <c r="G10" s="5">
        <f>IS!G7</f>
        <v>458817.50250000006</v>
      </c>
      <c r="H10" s="5">
        <f>IS!H7</f>
        <v>481758.37762500008</v>
      </c>
      <c r="I10" s="5">
        <f>IS!I7</f>
        <v>505846.2965062501</v>
      </c>
      <c r="J10" s="5">
        <f>IS!J7</f>
        <v>531138.61133156263</v>
      </c>
      <c r="K10" s="5">
        <f>IS!K7</f>
        <v>557695.5418981408</v>
      </c>
      <c r="L10" s="5">
        <f>IS!L7</f>
        <v>585580.31899304781</v>
      </c>
      <c r="M10" s="5">
        <f>IS!M7</f>
        <v>614859.33494270022</v>
      </c>
      <c r="N10" s="5">
        <f>IS!N7</f>
        <v>645602.30168983527</v>
      </c>
      <c r="O10" s="5">
        <f>IS!O7</f>
        <v>677882.41677432705</v>
      </c>
    </row>
    <row r="11" spans="2:15" x14ac:dyDescent="0.25">
      <c r="B11" s="6" t="s">
        <v>34</v>
      </c>
      <c r="C11" s="21">
        <f>IS!C8</f>
        <v>0</v>
      </c>
      <c r="D11" s="21">
        <f>IS!D8</f>
        <v>2.021994077514111E-2</v>
      </c>
      <c r="E11" s="21">
        <f>IS!E8</f>
        <v>6.425511782832749E-2</v>
      </c>
      <c r="F11" s="21">
        <f>IS!F8</f>
        <v>0.05</v>
      </c>
      <c r="G11" s="21">
        <f>IS!G8</f>
        <v>0.05</v>
      </c>
      <c r="H11" s="21">
        <f>IS!H8</f>
        <v>0.05</v>
      </c>
      <c r="I11" s="21">
        <f>IS!I8</f>
        <v>0.05</v>
      </c>
      <c r="J11" s="21">
        <f>IS!J8</f>
        <v>0.05</v>
      </c>
      <c r="K11" s="21">
        <f>IS!K8</f>
        <v>0.05</v>
      </c>
      <c r="L11" s="21">
        <f>IS!L8</f>
        <v>0.05</v>
      </c>
      <c r="M11" s="21">
        <f>IS!M8</f>
        <v>0.05</v>
      </c>
      <c r="N11" s="21">
        <f>IS!N8</f>
        <v>0.05</v>
      </c>
      <c r="O11" s="21">
        <f>IS!O8</f>
        <v>0.05</v>
      </c>
    </row>
    <row r="12" spans="2:15" x14ac:dyDescent="0.25">
      <c r="B12" s="6" t="s">
        <v>42</v>
      </c>
      <c r="C12" s="5">
        <f>IS!C20</f>
        <v>125820</v>
      </c>
      <c r="D12" s="5">
        <f>IS!D20</f>
        <v>134661</v>
      </c>
      <c r="E12" s="5">
        <f>IS!E20</f>
        <v>144748</v>
      </c>
      <c r="F12" s="5">
        <f>IS!F20</f>
        <v>119289.32000000002</v>
      </c>
      <c r="G12" s="5">
        <f>IS!G20</f>
        <v>122478.87100000004</v>
      </c>
      <c r="H12" s="5">
        <f>IS!H20</f>
        <v>125550.40805000004</v>
      </c>
      <c r="I12" s="5">
        <f>IS!I20</f>
        <v>128470.28130250004</v>
      </c>
      <c r="J12" s="5">
        <f>IS!J20</f>
        <v>131200.38350262505</v>
      </c>
      <c r="K12" s="5">
        <f>IS!K20</f>
        <v>133697.64962625629</v>
      </c>
      <c r="L12" s="5">
        <f>IS!L20</f>
        <v>135913.50375091907</v>
      </c>
      <c r="M12" s="5">
        <f>IS!M20</f>
        <v>137793.24774615001</v>
      </c>
      <c r="N12" s="5">
        <f>IS!N20</f>
        <v>139275.38582191104</v>
      </c>
      <c r="O12" s="5">
        <f>IS!O20</f>
        <v>140290.87837030547</v>
      </c>
    </row>
    <row r="13" spans="2:15" x14ac:dyDescent="0.25">
      <c r="B13" s="6" t="s">
        <v>43</v>
      </c>
      <c r="C13" s="21">
        <f>IS!C21</f>
        <v>0.32826747720364741</v>
      </c>
      <c r="D13" s="21">
        <f>IS!D21</f>
        <v>0.34437070850435381</v>
      </c>
      <c r="E13" s="21">
        <f>IS!E21</f>
        <v>0.34781731108873731</v>
      </c>
      <c r="F13" s="21">
        <f>IS!F21</f>
        <v>0.27299260668461534</v>
      </c>
      <c r="G13" s="21">
        <f>IS!G21</f>
        <v>0.26694463557435893</v>
      </c>
      <c r="H13" s="21">
        <f>IS!H21</f>
        <v>0.26060866583980458</v>
      </c>
      <c r="I13" s="21">
        <f>IS!I21</f>
        <v>0.25397098326074763</v>
      </c>
      <c r="J13" s="21">
        <f>IS!J21</f>
        <v>0.24701722055887848</v>
      </c>
      <c r="K13" s="21">
        <f>IS!K21</f>
        <v>0.23973232629977742</v>
      </c>
      <c r="L13" s="21">
        <f>IS!L21</f>
        <v>0.2321005323140525</v>
      </c>
      <c r="M13" s="21">
        <f>IS!M21</f>
        <v>0.22410531956710261</v>
      </c>
      <c r="N13" s="21">
        <f>IS!N21</f>
        <v>0.21572938240363135</v>
      </c>
      <c r="O13" s="21">
        <f>IS!O21</f>
        <v>0.20695459108951858</v>
      </c>
    </row>
    <row r="14" spans="2:15" x14ac:dyDescent="0.25">
      <c r="B14" s="6" t="s">
        <v>50</v>
      </c>
      <c r="C14" s="5">
        <f>CF!C11</f>
        <v>0</v>
      </c>
      <c r="D14" s="5">
        <f>CF!D11</f>
        <v>0</v>
      </c>
      <c r="E14" s="5">
        <f>CF!E11</f>
        <v>0</v>
      </c>
      <c r="F14" s="5">
        <f ca="1">CF!F11</f>
        <v>81257.716655000011</v>
      </c>
      <c r="G14" s="5">
        <f ca="1">CF!G11</f>
        <v>83482.221300250036</v>
      </c>
      <c r="H14" s="5">
        <f ca="1">CF!H11</f>
        <v>85634.113059012525</v>
      </c>
      <c r="I14" s="5">
        <f ca="1">CF!I11</f>
        <v>87691.377475088157</v>
      </c>
      <c r="J14" s="5">
        <f ca="1">CF!J11</f>
        <v>89629.060988280064</v>
      </c>
      <c r="K14" s="5">
        <f ca="1">CF!K11</f>
        <v>91418.940141075305</v>
      </c>
      <c r="L14" s="5">
        <f ca="1">CF!L11</f>
        <v>93029.155861848427</v>
      </c>
      <c r="M14" s="5">
        <f ca="1">CF!M11</f>
        <v>94423.809240032162</v>
      </c>
      <c r="N14" s="5">
        <f ca="1">CF!N11</f>
        <v>95562.514845634229</v>
      </c>
      <c r="O14" s="5">
        <f ca="1">CF!O11</f>
        <v>96399.907245876428</v>
      </c>
    </row>
    <row r="15" spans="2:15" x14ac:dyDescent="0.25">
      <c r="B15" s="6" t="s">
        <v>88</v>
      </c>
      <c r="C15" s="15">
        <f t="shared" ref="C15:O15" si="0">IFERROR(C14/C10,0)</f>
        <v>0</v>
      </c>
      <c r="D15" s="15">
        <f t="shared" si="0"/>
        <v>0</v>
      </c>
      <c r="E15" s="15">
        <f t="shared" si="0"/>
        <v>0</v>
      </c>
      <c r="F15" s="15">
        <f t="shared" ca="1" si="0"/>
        <v>0.18595760192855765</v>
      </c>
      <c r="G15" s="15">
        <f t="shared" ca="1" si="0"/>
        <v>0.18195082106801283</v>
      </c>
      <c r="H15" s="15">
        <f t="shared" ca="1" si="0"/>
        <v>0.17775324111887053</v>
      </c>
      <c r="I15" s="15">
        <f t="shared" ca="1" si="0"/>
        <v>0.17335577641024533</v>
      </c>
      <c r="J15" s="15">
        <f t="shared" ca="1" si="0"/>
        <v>0.16874890862025702</v>
      </c>
      <c r="K15" s="15">
        <f t="shared" ca="1" si="0"/>
        <v>0.16392266617360254</v>
      </c>
      <c r="L15" s="15">
        <f t="shared" ca="1" si="0"/>
        <v>0.1588666026580598</v>
      </c>
      <c r="M15" s="15">
        <f t="shared" ca="1" si="0"/>
        <v>0.1535697742132055</v>
      </c>
      <c r="N15" s="15">
        <f t="shared" ca="1" si="0"/>
        <v>0.14802071584240578</v>
      </c>
      <c r="O15" s="15">
        <f t="shared" ca="1" si="0"/>
        <v>0.14220741659680605</v>
      </c>
    </row>
    <row r="16" spans="2:15" x14ac:dyDescent="0.25">
      <c r="B16" s="6" t="s">
        <v>21</v>
      </c>
      <c r="C16" s="12">
        <f>Debt!C32-CF!C18</f>
        <v>0</v>
      </c>
      <c r="D16" s="12">
        <f>Debt!D32-CF!D18</f>
        <v>0</v>
      </c>
      <c r="E16" s="12">
        <f>Debt!E32-CF!E18</f>
        <v>-45317</v>
      </c>
      <c r="F16" s="12">
        <f ca="1">Debt!F32-CF!F18</f>
        <v>-111599.95385500001</v>
      </c>
      <c r="G16" s="12">
        <f ca="1">Debt!G32-CF!G18</f>
        <v>-180107.41235525004</v>
      </c>
      <c r="H16" s="12">
        <f ca="1">Debt!H32-CF!H18</f>
        <v>-250766.76261426258</v>
      </c>
      <c r="I16" s="12">
        <f ca="1">Debt!I32-CF!I18</f>
        <v>-323483.37728935073</v>
      </c>
      <c r="J16" s="12">
        <f ca="1">Debt!J32-CF!J18</f>
        <v>-398137.67547763081</v>
      </c>
      <c r="K16" s="12">
        <f ca="1">Debt!K32-CF!K18</f>
        <v>-474581.85281870613</v>
      </c>
      <c r="L16" s="12">
        <f ca="1">Debt!L32-CF!L18</f>
        <v>-552636.24588055455</v>
      </c>
      <c r="M16" s="12">
        <f ca="1">Debt!M32-CF!M18</f>
        <v>-632085.29232058674</v>
      </c>
      <c r="N16" s="12">
        <f ca="1">Debt!N32-CF!N18</f>
        <v>-712673.04436622094</v>
      </c>
      <c r="O16" s="12">
        <f ca="1">Debt!O32-CF!O18</f>
        <v>-794098.18881209742</v>
      </c>
    </row>
    <row r="17" spans="2:15" x14ac:dyDescent="0.25">
      <c r="B17" s="6" t="s">
        <v>89</v>
      </c>
      <c r="C17" s="22">
        <f t="shared" ref="C17:O17" si="1">IFERROR(C16/C12,0)</f>
        <v>0</v>
      </c>
      <c r="D17" s="22">
        <f t="shared" si="1"/>
        <v>0</v>
      </c>
      <c r="E17" s="22">
        <f t="shared" si="1"/>
        <v>-0.31307513748031063</v>
      </c>
      <c r="F17" s="22">
        <f t="shared" ca="1" si="1"/>
        <v>-0.93554019634783725</v>
      </c>
      <c r="G17" s="22">
        <f t="shared" ca="1" si="1"/>
        <v>-1.4705182280399203</v>
      </c>
      <c r="H17" s="22">
        <f t="shared" ca="1" si="1"/>
        <v>-1.997339287932824</v>
      </c>
      <c r="I17" s="22">
        <f t="shared" ca="1" si="1"/>
        <v>-2.5179627070922881</v>
      </c>
      <c r="J17" s="22">
        <f t="shared" ca="1" si="1"/>
        <v>-3.034577070955474</v>
      </c>
      <c r="K17" s="22">
        <f t="shared" ca="1" si="1"/>
        <v>-3.5496648904851438</v>
      </c>
      <c r="L17" s="22">
        <f t="shared" ca="1" si="1"/>
        <v>-4.0660878472630611</v>
      </c>
      <c r="M17" s="22">
        <f t="shared" ca="1" si="1"/>
        <v>-4.5872007711513385</v>
      </c>
      <c r="N17" s="22">
        <f t="shared" ca="1" si="1"/>
        <v>-5.1170064269468494</v>
      </c>
      <c r="O17" s="22">
        <f t="shared" ca="1" si="1"/>
        <v>-5.6603693557041659</v>
      </c>
    </row>
    <row r="19" spans="2:15" x14ac:dyDescent="0.25">
      <c r="B19" s="1" t="s">
        <v>90</v>
      </c>
    </row>
    <row r="20" spans="2:15" x14ac:dyDescent="0.25">
      <c r="B20" s="13" t="s">
        <v>91</v>
      </c>
      <c r="C20" s="13" t="s">
        <v>84</v>
      </c>
      <c r="D20" s="13" t="s">
        <v>92</v>
      </c>
      <c r="E20" s="13" t="s">
        <v>86</v>
      </c>
    </row>
    <row r="21" spans="2:15" x14ac:dyDescent="0.25">
      <c r="B21" s="1" t="s">
        <v>93</v>
      </c>
      <c r="C21" s="23">
        <f ca="1">Valuation!F14</f>
        <v>88.855031275159845</v>
      </c>
      <c r="D21" s="21">
        <f ca="1">Valuation!F15</f>
        <v>-0.66796819522753315</v>
      </c>
      <c r="E21" s="18">
        <f ca="1">Valuation!F16</f>
        <v>0.3320318047724668</v>
      </c>
    </row>
    <row r="22" spans="2:15" x14ac:dyDescent="0.25">
      <c r="B22" s="1" t="s">
        <v>94</v>
      </c>
      <c r="C22" s="23">
        <f ca="1">Valuation!H14</f>
        <v>102.59903816149584</v>
      </c>
      <c r="D22" s="21">
        <f ca="1">Valuation!H15</f>
        <v>-0.2735367480559191</v>
      </c>
      <c r="E22" s="18">
        <f ca="1">Valuation!H16</f>
        <v>0.38339015044839819</v>
      </c>
    </row>
    <row r="23" spans="2:15" x14ac:dyDescent="0.25">
      <c r="B23" s="1" t="s">
        <v>95</v>
      </c>
      <c r="C23" s="23">
        <f ca="1">Valuation!J14</f>
        <v>116.4856074190343</v>
      </c>
      <c r="D23" s="21">
        <f ca="1">Valuation!J15</f>
        <v>-0.15325237706709871</v>
      </c>
      <c r="E23" s="18">
        <f ca="1">Valuation!J16</f>
        <v>0.43528122050384621</v>
      </c>
    </row>
    <row r="24" spans="2:15" x14ac:dyDescent="0.25">
      <c r="B24" s="1" t="s">
        <v>96</v>
      </c>
      <c r="C24" s="23">
        <f ca="1">Valuation!O14</f>
        <v>149.64825432596871</v>
      </c>
      <c r="D24" s="21">
        <f ca="1">Valuation!O15</f>
        <v>-5.6467352999470033E-2</v>
      </c>
      <c r="E24" s="18">
        <f ca="1">Valuation!O16</f>
        <v>0.5592027739096771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7"/>
  <sheetViews>
    <sheetView showGridLines="0" workbookViewId="0"/>
  </sheetViews>
  <sheetFormatPr defaultRowHeight="15" x14ac:dyDescent="0.25"/>
  <cols>
    <col min="1" max="1" width="2.7109375" customWidth="1"/>
    <col min="2" max="2" width="38" customWidth="1"/>
    <col min="3" max="6" width="20" customWidth="1"/>
  </cols>
  <sheetData>
    <row r="2" spans="2:3" x14ac:dyDescent="0.25">
      <c r="B2" s="1" t="str">
        <f>inp_ticker &amp; " | Sensitivity"</f>
        <v>APPL | Sensitivity</v>
      </c>
    </row>
    <row r="4" spans="2:3" x14ac:dyDescent="0.25">
      <c r="B4" s="6" t="s">
        <v>97</v>
      </c>
      <c r="C4" s="8">
        <v>5</v>
      </c>
    </row>
    <row r="6" spans="2:3" x14ac:dyDescent="0.25">
      <c r="B6" s="1" t="s">
        <v>98</v>
      </c>
      <c r="C6" s="1" t="str">
        <f>"Implied Price per Share at Year " &amp; sens_target_year_offset</f>
        <v>Implied Price per Share at Year 5</v>
      </c>
    </row>
    <row r="7" spans="2:3" x14ac:dyDescent="0.25">
      <c r="B7" s="14">
        <v>6</v>
      </c>
      <c r="C7" s="17">
        <f ca="1">(INDEX(IS!$F$20:$O$20,sens_target_year_offset)*$B7-INDEX(Debt!$F$32:$O$32,sens_target_year_offset)+INDEX(CF!$F$18:$O$18,sens_target_year_offset)-inp_minority_interest+inp_equity_investments)/INDEX(IS!$F$41:$O$41,sens_target_year_offset)</f>
        <v>80.738960087117277</v>
      </c>
    </row>
    <row r="8" spans="2:3" x14ac:dyDescent="0.25">
      <c r="B8" s="14">
        <v>7</v>
      </c>
      <c r="C8" s="17">
        <f ca="1">(INDEX(IS!$F$20:$O$20,sens_target_year_offset)*$B8-INDEX(Debt!$F$32:$O$32,sens_target_year_offset)+INDEX(CF!$F$18:$O$18,sens_target_year_offset)-inp_minority_interest+inp_equity_investments)/INDEX(IS!$F$41:$O$41,sens_target_year_offset)</f>
        <v>89.675621920096546</v>
      </c>
    </row>
    <row r="9" spans="2:3" x14ac:dyDescent="0.25">
      <c r="B9" s="14">
        <v>8</v>
      </c>
      <c r="C9" s="17">
        <f ca="1">(INDEX(IS!$F$20:$O$20,sens_target_year_offset)*$B9-INDEX(Debt!$F$32:$O$32,sens_target_year_offset)+INDEX(CF!$F$18:$O$18,sens_target_year_offset)-inp_minority_interest+inp_equity_investments)/INDEX(IS!$F$41:$O$41,sens_target_year_offset)</f>
        <v>98.612283753075801</v>
      </c>
    </row>
    <row r="10" spans="2:3" x14ac:dyDescent="0.25">
      <c r="B10" s="14">
        <v>9</v>
      </c>
      <c r="C10" s="17">
        <f ca="1">(INDEX(IS!$F$20:$O$20,sens_target_year_offset)*$B10-INDEX(Debt!$F$32:$O$32,sens_target_year_offset)+INDEX(CF!$F$18:$O$18,sens_target_year_offset)-inp_minority_interest+inp_equity_investments)/INDEX(IS!$F$41:$O$41,sens_target_year_offset)</f>
        <v>107.54894558605505</v>
      </c>
    </row>
    <row r="11" spans="2:3" x14ac:dyDescent="0.25">
      <c r="B11" s="14">
        <v>10</v>
      </c>
      <c r="C11" s="17">
        <f ca="1">(INDEX(IS!$F$20:$O$20,sens_target_year_offset)*$B11-INDEX(Debt!$F$32:$O$32,sens_target_year_offset)+INDEX(CF!$F$18:$O$18,sens_target_year_offset)-inp_minority_interest+inp_equity_investments)/INDEX(IS!$F$41:$O$41,sens_target_year_offset)</f>
        <v>116.4856074190343</v>
      </c>
    </row>
    <row r="12" spans="2:3" x14ac:dyDescent="0.25">
      <c r="B12" s="14">
        <v>11</v>
      </c>
      <c r="C12" s="17">
        <f ca="1">(INDEX(IS!$F$20:$O$20,sens_target_year_offset)*$B12-INDEX(Debt!$F$32:$O$32,sens_target_year_offset)+INDEX(CF!$F$18:$O$18,sens_target_year_offset)-inp_minority_interest+inp_equity_investments)/INDEX(IS!$F$41:$O$41,sens_target_year_offset)</f>
        <v>125.42226925201358</v>
      </c>
    </row>
    <row r="13" spans="2:3" x14ac:dyDescent="0.25">
      <c r="B13" s="14">
        <v>12</v>
      </c>
      <c r="C13" s="17">
        <f ca="1">(INDEX(IS!$F$20:$O$20,sens_target_year_offset)*$B13-INDEX(Debt!$F$32:$O$32,sens_target_year_offset)+INDEX(CF!$F$18:$O$18,sens_target_year_offset)-inp_minority_interest+inp_equity_investments)/INDEX(IS!$F$41:$O$41,sens_target_year_offset)</f>
        <v>134.35893108499283</v>
      </c>
    </row>
    <row r="14" spans="2:3" x14ac:dyDescent="0.25">
      <c r="B14" s="14">
        <v>13</v>
      </c>
      <c r="C14" s="17">
        <f ca="1">(INDEX(IS!$F$20:$O$20,sens_target_year_offset)*$B14-INDEX(Debt!$F$32:$O$32,sens_target_year_offset)+INDEX(CF!$F$18:$O$18,sens_target_year_offset)-inp_minority_interest+inp_equity_investments)/INDEX(IS!$F$41:$O$41,sens_target_year_offset)</f>
        <v>143.29559291797207</v>
      </c>
    </row>
    <row r="15" spans="2:3" x14ac:dyDescent="0.25">
      <c r="B15" s="14">
        <v>14</v>
      </c>
      <c r="C15" s="17">
        <f ca="1">(INDEX(IS!$F$20:$O$20,sens_target_year_offset)*$B15-INDEX(Debt!$F$32:$O$32,sens_target_year_offset)+INDEX(CF!$F$18:$O$18,sens_target_year_offset)-inp_minority_interest+inp_equity_investments)/INDEX(IS!$F$41:$O$41,sens_target_year_offset)</f>
        <v>152.23225475095131</v>
      </c>
    </row>
    <row r="17" spans="2:6" x14ac:dyDescent="0.25">
      <c r="B17" s="1" t="s">
        <v>99</v>
      </c>
    </row>
    <row r="18" spans="2:6" x14ac:dyDescent="0.25">
      <c r="B18" s="13" t="s">
        <v>100</v>
      </c>
      <c r="C18" s="13" t="s">
        <v>101</v>
      </c>
      <c r="D18" s="13" t="s">
        <v>102</v>
      </c>
      <c r="E18" s="13" t="s">
        <v>103</v>
      </c>
      <c r="F18" s="13" t="s">
        <v>104</v>
      </c>
    </row>
    <row r="19" spans="2:6" x14ac:dyDescent="0.25">
      <c r="B19" s="14">
        <v>6</v>
      </c>
      <c r="C19" s="17">
        <f ca="1">(INDEX(IS!$F$20:$O$20,3)*$B19-INDEX(Debt!$F$32:$O$32,3)+INDEX(CF!$F$18:$O$18,3)-inp_minority_interest+inp_equity_investments)/INDEX(IS!$F$41:$O$41,3)</f>
        <v>68.391774134315369</v>
      </c>
      <c r="D19" s="17">
        <f ca="1">(INDEX(IS!$F$20:$O$20,5)*$B19-INDEX(Debt!$F$32:$O$32,5)+INDEX(CF!$F$18:$O$18,5)-inp_minority_interest+inp_equity_investments)/INDEX(IS!$F$41:$O$41,5)</f>
        <v>80.738960087117277</v>
      </c>
      <c r="E19" s="17">
        <f ca="1">(INDEX(IS!$F$20:$O$20,7)*$B19-INDEX(Debt!$F$32:$O$32,7)+INDEX(CF!$F$18:$O$18,7)-inp_minority_interest+inp_equity_investments)/INDEX(IS!$F$41:$O$41,7)</f>
        <v>93.188762479348952</v>
      </c>
      <c r="F19" s="17">
        <f ca="1">(INDEX(IS!$F$20:$O$20,10)*$B19-INDEX(Debt!$F$32:$O$32,10)+INDEX(CF!$F$18:$O$18,10)-inp_minority_interest+inp_equity_investments)/INDEX(IS!$F$41:$O$41,10)</f>
        <v>111.42482525430111</v>
      </c>
    </row>
    <row r="20" spans="2:6" x14ac:dyDescent="0.25">
      <c r="B20" s="14">
        <v>7</v>
      </c>
      <c r="C20" s="17">
        <f ca="1">(INDEX(IS!$F$20:$O$20,3)*$B20-INDEX(Debt!$F$32:$O$32,3)+INDEX(CF!$F$18:$O$18,3)-inp_minority_interest+inp_equity_investments)/INDEX(IS!$F$41:$O$41,3)</f>
        <v>76.943590141110491</v>
      </c>
      <c r="D20" s="17">
        <f ca="1">(INDEX(IS!$F$20:$O$20,5)*$B20-INDEX(Debt!$F$32:$O$32,5)+INDEX(CF!$F$18:$O$18,5)-inp_minority_interest+inp_equity_investments)/INDEX(IS!$F$41:$O$41,5)</f>
        <v>89.675621920096546</v>
      </c>
      <c r="E20" s="17">
        <f ca="1">(INDEX(IS!$F$20:$O$20,7)*$B20-INDEX(Debt!$F$32:$O$32,7)+INDEX(CF!$F$18:$O$18,7)-inp_minority_interest+inp_equity_investments)/INDEX(IS!$F$41:$O$41,7)</f>
        <v>102.44645661964863</v>
      </c>
      <c r="F20" s="17">
        <f ca="1">(INDEX(IS!$F$20:$O$20,10)*$B20-INDEX(Debt!$F$32:$O$32,10)+INDEX(CF!$F$18:$O$18,10)-inp_minority_interest+inp_equity_investments)/INDEX(IS!$F$41:$O$41,10)</f>
        <v>120.98068252221802</v>
      </c>
    </row>
    <row r="21" spans="2:6" x14ac:dyDescent="0.25">
      <c r="B21" s="14">
        <v>8</v>
      </c>
      <c r="C21" s="17">
        <f ca="1">(INDEX(IS!$F$20:$O$20,3)*$B21-INDEX(Debt!$F$32:$O$32,3)+INDEX(CF!$F$18:$O$18,3)-inp_minority_interest+inp_equity_investments)/INDEX(IS!$F$41:$O$41,3)</f>
        <v>85.495406147905612</v>
      </c>
      <c r="D21" s="17">
        <f ca="1">(INDEX(IS!$F$20:$O$20,5)*$B21-INDEX(Debt!$F$32:$O$32,5)+INDEX(CF!$F$18:$O$18,5)-inp_minority_interest+inp_equity_investments)/INDEX(IS!$F$41:$O$41,5)</f>
        <v>98.612283753075801</v>
      </c>
      <c r="E21" s="17">
        <f ca="1">(INDEX(IS!$F$20:$O$20,7)*$B21-INDEX(Debt!$F$32:$O$32,7)+INDEX(CF!$F$18:$O$18,7)-inp_minority_interest+inp_equity_investments)/INDEX(IS!$F$41:$O$41,7)</f>
        <v>111.70415075994828</v>
      </c>
      <c r="F21" s="17">
        <f ca="1">(INDEX(IS!$F$20:$O$20,10)*$B21-INDEX(Debt!$F$32:$O$32,10)+INDEX(CF!$F$18:$O$18,10)-inp_minority_interest+inp_equity_investments)/INDEX(IS!$F$41:$O$41,10)</f>
        <v>130.53653979013492</v>
      </c>
    </row>
    <row r="22" spans="2:6" x14ac:dyDescent="0.25">
      <c r="B22" s="14">
        <v>9</v>
      </c>
      <c r="C22" s="17">
        <f ca="1">(INDEX(IS!$F$20:$O$20,3)*$B22-INDEX(Debt!$F$32:$O$32,3)+INDEX(CF!$F$18:$O$18,3)-inp_minority_interest+inp_equity_investments)/INDEX(IS!$F$41:$O$41,3)</f>
        <v>94.047222154700719</v>
      </c>
      <c r="D22" s="17">
        <f ca="1">(INDEX(IS!$F$20:$O$20,5)*$B22-INDEX(Debt!$F$32:$O$32,5)+INDEX(CF!$F$18:$O$18,5)-inp_minority_interest+inp_equity_investments)/INDEX(IS!$F$41:$O$41,5)</f>
        <v>107.54894558605505</v>
      </c>
      <c r="E22" s="17">
        <f ca="1">(INDEX(IS!$F$20:$O$20,7)*$B22-INDEX(Debt!$F$32:$O$32,7)+INDEX(CF!$F$18:$O$18,7)-inp_minority_interest+inp_equity_investments)/INDEX(IS!$F$41:$O$41,7)</f>
        <v>120.96184490024797</v>
      </c>
      <c r="F22" s="17">
        <f ca="1">(INDEX(IS!$F$20:$O$20,10)*$B22-INDEX(Debt!$F$32:$O$32,10)+INDEX(CF!$F$18:$O$18,10)-inp_minority_interest+inp_equity_investments)/INDEX(IS!$F$41:$O$41,10)</f>
        <v>140.09239705805183</v>
      </c>
    </row>
    <row r="23" spans="2:6" x14ac:dyDescent="0.25">
      <c r="B23" s="14">
        <v>10</v>
      </c>
      <c r="C23" s="17">
        <f ca="1">(INDEX(IS!$F$20:$O$20,3)*$B23-INDEX(Debt!$F$32:$O$32,3)+INDEX(CF!$F$18:$O$18,3)-inp_minority_interest+inp_equity_investments)/INDEX(IS!$F$41:$O$41,3)</f>
        <v>102.59903816149584</v>
      </c>
      <c r="D23" s="17">
        <f ca="1">(INDEX(IS!$F$20:$O$20,5)*$B23-INDEX(Debt!$F$32:$O$32,5)+INDEX(CF!$F$18:$O$18,5)-inp_minority_interest+inp_equity_investments)/INDEX(IS!$F$41:$O$41,5)</f>
        <v>116.4856074190343</v>
      </c>
      <c r="E23" s="17">
        <f ca="1">(INDEX(IS!$F$20:$O$20,7)*$B23-INDEX(Debt!$F$32:$O$32,7)+INDEX(CF!$F$18:$O$18,7)-inp_minority_interest+inp_equity_investments)/INDEX(IS!$F$41:$O$41,7)</f>
        <v>130.21953904054763</v>
      </c>
      <c r="F23" s="17">
        <f ca="1">(INDEX(IS!$F$20:$O$20,10)*$B23-INDEX(Debt!$F$32:$O$32,10)+INDEX(CF!$F$18:$O$18,10)-inp_minority_interest+inp_equity_investments)/INDEX(IS!$F$41:$O$41,10)</f>
        <v>149.64825432596871</v>
      </c>
    </row>
    <row r="24" spans="2:6" x14ac:dyDescent="0.25">
      <c r="B24" s="14">
        <v>11</v>
      </c>
      <c r="C24" s="17">
        <f ca="1">(INDEX(IS!$F$20:$O$20,3)*$B24-INDEX(Debt!$F$32:$O$32,3)+INDEX(CF!$F$18:$O$18,3)-inp_minority_interest+inp_equity_investments)/INDEX(IS!$F$41:$O$41,3)</f>
        <v>111.15085416829095</v>
      </c>
      <c r="D24" s="17">
        <f ca="1">(INDEX(IS!$F$20:$O$20,5)*$B24-INDEX(Debt!$F$32:$O$32,5)+INDEX(CF!$F$18:$O$18,5)-inp_minority_interest+inp_equity_investments)/INDEX(IS!$F$41:$O$41,5)</f>
        <v>125.42226925201358</v>
      </c>
      <c r="E24" s="17">
        <f ca="1">(INDEX(IS!$F$20:$O$20,7)*$B24-INDEX(Debt!$F$32:$O$32,7)+INDEX(CF!$F$18:$O$18,7)-inp_minority_interest+inp_equity_investments)/INDEX(IS!$F$41:$O$41,7)</f>
        <v>139.47723318084729</v>
      </c>
      <c r="F24" s="17">
        <f ca="1">(INDEX(IS!$F$20:$O$20,10)*$B24-INDEX(Debt!$F$32:$O$32,10)+INDEX(CF!$F$18:$O$18,10)-inp_minority_interest+inp_equity_investments)/INDEX(IS!$F$41:$O$41,10)</f>
        <v>159.20411159388559</v>
      </c>
    </row>
    <row r="25" spans="2:6" x14ac:dyDescent="0.25">
      <c r="B25" s="14">
        <v>12</v>
      </c>
      <c r="C25" s="17">
        <f ca="1">(INDEX(IS!$F$20:$O$20,3)*$B25-INDEX(Debt!$F$32:$O$32,3)+INDEX(CF!$F$18:$O$18,3)-inp_minority_interest+inp_equity_investments)/INDEX(IS!$F$41:$O$41,3)</f>
        <v>119.70267017508607</v>
      </c>
      <c r="D25" s="17">
        <f ca="1">(INDEX(IS!$F$20:$O$20,5)*$B25-INDEX(Debt!$F$32:$O$32,5)+INDEX(CF!$F$18:$O$18,5)-inp_minority_interest+inp_equity_investments)/INDEX(IS!$F$41:$O$41,5)</f>
        <v>134.35893108499283</v>
      </c>
      <c r="E25" s="17">
        <f ca="1">(INDEX(IS!$F$20:$O$20,7)*$B25-INDEX(Debt!$F$32:$O$32,7)+INDEX(CF!$F$18:$O$18,7)-inp_minority_interest+inp_equity_investments)/INDEX(IS!$F$41:$O$41,7)</f>
        <v>148.73492732114698</v>
      </c>
      <c r="F25" s="17">
        <f ca="1">(INDEX(IS!$F$20:$O$20,10)*$B25-INDEX(Debt!$F$32:$O$32,10)+INDEX(CF!$F$18:$O$18,10)-inp_minority_interest+inp_equity_investments)/INDEX(IS!$F$41:$O$41,10)</f>
        <v>168.75996886180249</v>
      </c>
    </row>
    <row r="26" spans="2:6" x14ac:dyDescent="0.25">
      <c r="B26" s="14">
        <v>13</v>
      </c>
      <c r="C26" s="17">
        <f ca="1">(INDEX(IS!$F$20:$O$20,3)*$B26-INDEX(Debt!$F$32:$O$32,3)+INDEX(CF!$F$18:$O$18,3)-inp_minority_interest+inp_equity_investments)/INDEX(IS!$F$41:$O$41,3)</f>
        <v>128.25448618188119</v>
      </c>
      <c r="D26" s="17">
        <f ca="1">(INDEX(IS!$F$20:$O$20,5)*$B26-INDEX(Debt!$F$32:$O$32,5)+INDEX(CF!$F$18:$O$18,5)-inp_minority_interest+inp_equity_investments)/INDEX(IS!$F$41:$O$41,5)</f>
        <v>143.29559291797207</v>
      </c>
      <c r="E26" s="17">
        <f ca="1">(INDEX(IS!$F$20:$O$20,7)*$B26-INDEX(Debt!$F$32:$O$32,7)+INDEX(CF!$F$18:$O$18,7)-inp_minority_interest+inp_equity_investments)/INDEX(IS!$F$41:$O$41,7)</f>
        <v>157.99262146144662</v>
      </c>
      <c r="F26" s="17">
        <f ca="1">(INDEX(IS!$F$20:$O$20,10)*$B26-INDEX(Debt!$F$32:$O$32,10)+INDEX(CF!$F$18:$O$18,10)-inp_minority_interest+inp_equity_investments)/INDEX(IS!$F$41:$O$41,10)</f>
        <v>178.3158261297194</v>
      </c>
    </row>
    <row r="27" spans="2:6" x14ac:dyDescent="0.25">
      <c r="B27" s="14">
        <v>14</v>
      </c>
      <c r="C27" s="17">
        <f ca="1">(INDEX(IS!$F$20:$O$20,3)*$B27-INDEX(Debt!$F$32:$O$32,3)+INDEX(CF!$F$18:$O$18,3)-inp_minority_interest+inp_equity_investments)/INDEX(IS!$F$41:$O$41,3)</f>
        <v>136.80630218867628</v>
      </c>
      <c r="D27" s="17">
        <f ca="1">(INDEX(IS!$F$20:$O$20,5)*$B27-INDEX(Debt!$F$32:$O$32,5)+INDEX(CF!$F$18:$O$18,5)-inp_minority_interest+inp_equity_investments)/INDEX(IS!$F$41:$O$41,5)</f>
        <v>152.23225475095131</v>
      </c>
      <c r="E27" s="17">
        <f ca="1">(INDEX(IS!$F$20:$O$20,7)*$B27-INDEX(Debt!$F$32:$O$32,7)+INDEX(CF!$F$18:$O$18,7)-inp_minority_interest+inp_equity_investments)/INDEX(IS!$F$41:$O$41,7)</f>
        <v>167.25031560174628</v>
      </c>
      <c r="F27" s="17">
        <f ca="1">(INDEX(IS!$F$20:$O$20,10)*$B27-INDEX(Debt!$F$32:$O$32,10)+INDEX(CF!$F$18:$O$18,10)-inp_minority_interest+inp_equity_investments)/INDEX(IS!$F$41:$O$41,10)</f>
        <v>187.8716833976363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B2:F42"/>
  <sheetViews>
    <sheetView showGridLines="0" workbookViewId="0">
      <selection activeCell="E39" sqref="E39"/>
    </sheetView>
  </sheetViews>
  <sheetFormatPr defaultRowHeight="12.75" customHeight="1" x14ac:dyDescent="0.25"/>
  <cols>
    <col min="1" max="1" width="2.7109375" customWidth="1"/>
    <col min="2" max="2" width="35" customWidth="1"/>
    <col min="3" max="6" width="16" customWidth="1"/>
  </cols>
  <sheetData>
    <row r="2" spans="2:6" ht="12.75" customHeight="1" x14ac:dyDescent="0.25">
      <c r="B2" s="25" t="str">
        <f>inp_ticker &amp; " | CapIQ Data"</f>
        <v>APPL | CapIQ Data</v>
      </c>
      <c r="C2" s="26"/>
      <c r="D2" s="26"/>
      <c r="E2" s="26"/>
      <c r="F2" s="26"/>
    </row>
    <row r="4" spans="2:6" ht="12.75" customHeight="1" x14ac:dyDescent="0.25">
      <c r="B4" s="29" t="s">
        <v>105</v>
      </c>
    </row>
    <row r="5" spans="2:6" ht="12.75" customHeight="1" x14ac:dyDescent="0.25">
      <c r="B5" s="1" t="s">
        <v>106</v>
      </c>
      <c r="C5" s="6" t="s">
        <v>107</v>
      </c>
    </row>
    <row r="6" spans="2:6" ht="12.75" customHeight="1" x14ac:dyDescent="0.25">
      <c r="B6" s="1" t="s">
        <v>108</v>
      </c>
      <c r="C6" s="27" t="s">
        <v>151</v>
      </c>
    </row>
    <row r="7" spans="2:6" ht="12.75" customHeight="1" x14ac:dyDescent="0.25">
      <c r="B7" s="1" t="s">
        <v>109</v>
      </c>
      <c r="C7" s="28">
        <v>46139</v>
      </c>
    </row>
    <row r="8" spans="2:6" ht="12.75" customHeight="1" x14ac:dyDescent="0.25">
      <c r="B8" s="1" t="s">
        <v>110</v>
      </c>
      <c r="C8" s="28">
        <v>46022</v>
      </c>
    </row>
    <row r="10" spans="2:6" ht="12.75" customHeight="1" x14ac:dyDescent="0.25">
      <c r="B10" s="13" t="s">
        <v>111</v>
      </c>
      <c r="C10" s="13" t="s">
        <v>112</v>
      </c>
      <c r="D10" s="13" t="s">
        <v>113</v>
      </c>
      <c r="E10" s="13" t="s">
        <v>114</v>
      </c>
      <c r="F10" s="13" t="s">
        <v>115</v>
      </c>
    </row>
    <row r="12" spans="2:6" ht="12.75" customHeight="1" x14ac:dyDescent="0.25">
      <c r="B12" s="6" t="s">
        <v>0</v>
      </c>
      <c r="F12" s="27" t="s">
        <v>153</v>
      </c>
    </row>
    <row r="13" spans="2:6" ht="12.75" customHeight="1" x14ac:dyDescent="0.25">
      <c r="B13" s="6" t="s">
        <v>2</v>
      </c>
      <c r="F13" s="27" t="s">
        <v>154</v>
      </c>
    </row>
    <row r="14" spans="2:6" ht="12.75" customHeight="1" x14ac:dyDescent="0.25">
      <c r="B14" s="6" t="s">
        <v>3</v>
      </c>
      <c r="F14" s="27" t="s">
        <v>155</v>
      </c>
    </row>
    <row r="15" spans="2:6" ht="12.75" customHeight="1" x14ac:dyDescent="0.25">
      <c r="B15" s="6" t="s">
        <v>116</v>
      </c>
      <c r="F15" s="27" t="s">
        <v>156</v>
      </c>
    </row>
    <row r="18" spans="2:6" ht="12.75" customHeight="1" x14ac:dyDescent="0.25">
      <c r="B18" s="6" t="s">
        <v>5</v>
      </c>
      <c r="F18" s="33">
        <v>267.61</v>
      </c>
    </row>
    <row r="19" spans="2:6" ht="12.75" customHeight="1" x14ac:dyDescent="0.25">
      <c r="B19" s="6" t="s">
        <v>117</v>
      </c>
      <c r="F19" s="34">
        <v>14681.14</v>
      </c>
    </row>
    <row r="20" spans="2:6" ht="12.75" customHeight="1" x14ac:dyDescent="0.25">
      <c r="B20" s="35" t="s">
        <v>6</v>
      </c>
      <c r="C20" s="36"/>
      <c r="D20" s="36"/>
      <c r="E20" s="36"/>
      <c r="F20" s="32">
        <f>F18*F19</f>
        <v>3928819.8754000003</v>
      </c>
    </row>
    <row r="21" spans="2:6" ht="12.75" customHeight="1" x14ac:dyDescent="0.25">
      <c r="B21" s="6" t="s">
        <v>12</v>
      </c>
      <c r="F21" s="31">
        <v>45317</v>
      </c>
    </row>
    <row r="22" spans="2:6" ht="12.75" customHeight="1" x14ac:dyDescent="0.25">
      <c r="B22" s="6" t="s">
        <v>118</v>
      </c>
      <c r="F22" s="31">
        <v>21590</v>
      </c>
    </row>
    <row r="23" spans="2:6" ht="12.75" customHeight="1" x14ac:dyDescent="0.25">
      <c r="B23" s="6" t="s">
        <v>13</v>
      </c>
      <c r="F23" s="31">
        <v>90509</v>
      </c>
    </row>
    <row r="24" spans="2:6" ht="12.75" customHeight="1" x14ac:dyDescent="0.25">
      <c r="B24" s="6" t="s">
        <v>119</v>
      </c>
      <c r="F24" s="31">
        <v>0</v>
      </c>
    </row>
    <row r="25" spans="2:6" ht="12.75" customHeight="1" x14ac:dyDescent="0.25">
      <c r="B25" s="6" t="s">
        <v>14</v>
      </c>
      <c r="F25" s="31">
        <v>0</v>
      </c>
    </row>
    <row r="26" spans="2:6" ht="12.75" customHeight="1" x14ac:dyDescent="0.25">
      <c r="B26" s="6" t="s">
        <v>15</v>
      </c>
      <c r="F26" s="31">
        <v>0</v>
      </c>
    </row>
    <row r="27" spans="2:6" ht="12.75" customHeight="1" x14ac:dyDescent="0.25">
      <c r="B27" s="6" t="s">
        <v>120</v>
      </c>
      <c r="F27" s="34">
        <v>77888</v>
      </c>
    </row>
    <row r="28" spans="2:6" ht="12.75" customHeight="1" x14ac:dyDescent="0.25">
      <c r="B28" s="35" t="s">
        <v>121</v>
      </c>
      <c r="C28" s="36"/>
      <c r="D28" s="36"/>
      <c r="E28" s="36"/>
      <c r="F28" s="32">
        <f>F20-F21-F22+F23+F24+F25-F26-F27</f>
        <v>3874533.8754000003</v>
      </c>
    </row>
    <row r="31" spans="2:6" ht="12.75" customHeight="1" x14ac:dyDescent="0.25">
      <c r="B31" s="6" t="s">
        <v>39</v>
      </c>
      <c r="C31" s="31">
        <v>383285</v>
      </c>
      <c r="D31" s="31">
        <v>391035</v>
      </c>
      <c r="E31" s="31">
        <v>416161</v>
      </c>
    </row>
    <row r="32" spans="2:6" ht="12.75" customHeight="1" x14ac:dyDescent="0.25">
      <c r="B32" s="6" t="s">
        <v>40</v>
      </c>
      <c r="C32" s="31">
        <v>214137</v>
      </c>
      <c r="D32" s="31">
        <v>210352</v>
      </c>
      <c r="E32" s="31">
        <v>220960</v>
      </c>
    </row>
    <row r="33" spans="2:5" ht="12.75" customHeight="1" x14ac:dyDescent="0.25">
      <c r="B33" s="6" t="s">
        <v>41</v>
      </c>
      <c r="C33" s="31">
        <v>169148</v>
      </c>
      <c r="D33" s="31">
        <v>180683</v>
      </c>
      <c r="E33" s="31">
        <v>195201</v>
      </c>
    </row>
    <row r="34" spans="2:5" ht="12.75" customHeight="1" x14ac:dyDescent="0.25">
      <c r="B34" s="6" t="s">
        <v>122</v>
      </c>
      <c r="C34" s="31">
        <v>54847</v>
      </c>
      <c r="D34" s="31">
        <v>57467</v>
      </c>
      <c r="E34" s="31">
        <v>62151</v>
      </c>
    </row>
    <row r="35" spans="2:5" ht="12.75" customHeight="1" x14ac:dyDescent="0.25">
      <c r="B35" s="6" t="s">
        <v>44</v>
      </c>
      <c r="C35" s="31">
        <v>11519</v>
      </c>
      <c r="D35" s="31">
        <v>11445</v>
      </c>
      <c r="E35" s="31">
        <v>11698</v>
      </c>
    </row>
    <row r="36" spans="2:5" ht="12.75" customHeight="1" x14ac:dyDescent="0.25">
      <c r="B36" s="6" t="s">
        <v>42</v>
      </c>
      <c r="C36" s="31">
        <v>125820</v>
      </c>
      <c r="D36" s="31">
        <v>134661</v>
      </c>
      <c r="E36" s="31">
        <v>144748</v>
      </c>
    </row>
    <row r="37" spans="2:5" ht="12.75" customHeight="1" x14ac:dyDescent="0.25">
      <c r="B37" s="6" t="s">
        <v>45</v>
      </c>
      <c r="C37" s="31">
        <v>114301</v>
      </c>
      <c r="D37" s="31">
        <v>123216</v>
      </c>
      <c r="E37" s="31">
        <v>133050</v>
      </c>
    </row>
    <row r="38" spans="2:5" ht="12.75" customHeight="1" x14ac:dyDescent="0.25">
      <c r="B38" s="6" t="s">
        <v>123</v>
      </c>
      <c r="C38" s="31">
        <v>-10959</v>
      </c>
      <c r="D38" s="31">
        <v>-9447</v>
      </c>
      <c r="E38" s="31">
        <v>-12715</v>
      </c>
    </row>
    <row r="39" spans="2:5" ht="12.75" customHeight="1" x14ac:dyDescent="0.25">
      <c r="B39" s="6" t="s">
        <v>124</v>
      </c>
      <c r="C39" s="31">
        <v>10833</v>
      </c>
      <c r="D39" s="31">
        <v>11688</v>
      </c>
      <c r="E39" s="31">
        <v>12863</v>
      </c>
    </row>
    <row r="40" spans="2:5" ht="12.75" customHeight="1" x14ac:dyDescent="0.25">
      <c r="B40" s="6" t="s">
        <v>125</v>
      </c>
      <c r="C40" s="33">
        <v>0.94</v>
      </c>
      <c r="D40" s="33">
        <v>0.98</v>
      </c>
      <c r="E40" s="33">
        <v>1.02</v>
      </c>
    </row>
    <row r="42" spans="2:5" ht="12.75" customHeight="1" x14ac:dyDescent="0.25">
      <c r="C42" s="45"/>
    </row>
  </sheetData>
  <pageMargins left="0.75" right="0.75" top="1" bottom="1" header="0.5" footer="0.5"/>
  <customProperties>
    <customPr name="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B2:H35"/>
  <sheetViews>
    <sheetView showGridLines="0" workbookViewId="0"/>
  </sheetViews>
  <sheetFormatPr defaultRowHeight="15" x14ac:dyDescent="0.25"/>
  <cols>
    <col min="1" max="1" width="2.7109375" customWidth="1"/>
    <col min="2" max="2" width="38" customWidth="1"/>
    <col min="3" max="8" width="14" customWidth="1"/>
  </cols>
  <sheetData>
    <row r="2" spans="2:8" x14ac:dyDescent="0.25">
      <c r="B2" s="1" t="str">
        <f>inp_ticker &amp; " | Broker Data"</f>
        <v>APPL | Broker Data</v>
      </c>
    </row>
    <row r="4" spans="2:8" x14ac:dyDescent="0.25">
      <c r="B4" s="24" t="s">
        <v>126</v>
      </c>
    </row>
    <row r="5" spans="2:8" x14ac:dyDescent="0.25">
      <c r="B5" s="1" t="s">
        <v>127</v>
      </c>
    </row>
    <row r="6" spans="2:8" x14ac:dyDescent="0.25">
      <c r="B6" s="1" t="s">
        <v>108</v>
      </c>
    </row>
    <row r="7" spans="2:8" x14ac:dyDescent="0.25">
      <c r="B7" s="1" t="s">
        <v>128</v>
      </c>
    </row>
    <row r="8" spans="2:8" x14ac:dyDescent="0.25">
      <c r="B8" s="1" t="s">
        <v>129</v>
      </c>
    </row>
    <row r="9" spans="2:8" x14ac:dyDescent="0.25">
      <c r="B9" s="1" t="s">
        <v>130</v>
      </c>
    </row>
    <row r="11" spans="2:8" x14ac:dyDescent="0.25">
      <c r="B11" s="13" t="s">
        <v>111</v>
      </c>
      <c r="C11" s="13" t="s">
        <v>131</v>
      </c>
      <c r="D11" s="13" t="s">
        <v>132</v>
      </c>
      <c r="E11" s="13" t="s">
        <v>133</v>
      </c>
      <c r="F11" s="13" t="s">
        <v>134</v>
      </c>
      <c r="G11" s="13" t="s">
        <v>135</v>
      </c>
      <c r="H11" s="13" t="s">
        <v>136</v>
      </c>
    </row>
    <row r="13" spans="2:8" x14ac:dyDescent="0.25">
      <c r="B13" s="6" t="s">
        <v>39</v>
      </c>
    </row>
    <row r="14" spans="2:8" x14ac:dyDescent="0.25">
      <c r="B14" s="6" t="s">
        <v>41</v>
      </c>
    </row>
    <row r="15" spans="2:8" x14ac:dyDescent="0.25">
      <c r="B15" s="6" t="s">
        <v>42</v>
      </c>
    </row>
    <row r="16" spans="2:8" x14ac:dyDescent="0.25">
      <c r="B16" s="6" t="s">
        <v>45</v>
      </c>
    </row>
    <row r="17" spans="2:3" x14ac:dyDescent="0.25">
      <c r="B17" s="6" t="s">
        <v>48</v>
      </c>
    </row>
    <row r="18" spans="2:3" x14ac:dyDescent="0.25">
      <c r="B18" s="6" t="s">
        <v>137</v>
      </c>
    </row>
    <row r="19" spans="2:3" x14ac:dyDescent="0.25">
      <c r="B19" s="6" t="s">
        <v>138</v>
      </c>
    </row>
    <row r="20" spans="2:3" x14ac:dyDescent="0.25">
      <c r="B20" s="6" t="s">
        <v>139</v>
      </c>
    </row>
    <row r="23" spans="2:3" x14ac:dyDescent="0.25">
      <c r="B23" s="6" t="s">
        <v>140</v>
      </c>
      <c r="C23" s="15">
        <f>IFERROR(C13/_CapIQ_Data!E31-1,"")</f>
        <v>-1</v>
      </c>
    </row>
    <row r="24" spans="2:3" x14ac:dyDescent="0.25">
      <c r="B24" s="6" t="s">
        <v>141</v>
      </c>
      <c r="C24" s="15" t="str">
        <f>IFERROR(D13/C13-1,"")</f>
        <v/>
      </c>
    </row>
    <row r="25" spans="2:3" x14ac:dyDescent="0.25">
      <c r="B25" s="6" t="s">
        <v>142</v>
      </c>
      <c r="C25" s="15" t="str">
        <f>IFERROR(E13/D13-1,"")</f>
        <v/>
      </c>
    </row>
    <row r="26" spans="2:3" x14ac:dyDescent="0.25">
      <c r="B26" s="6" t="s">
        <v>143</v>
      </c>
      <c r="C26" s="15" t="str">
        <f>IFERROR(C14/C13,"")</f>
        <v/>
      </c>
    </row>
    <row r="27" spans="2:3" x14ac:dyDescent="0.25">
      <c r="B27" s="6" t="s">
        <v>144</v>
      </c>
      <c r="C27" s="15" t="str">
        <f>IFERROR(C15/C13,"")</f>
        <v/>
      </c>
    </row>
    <row r="28" spans="2:3" x14ac:dyDescent="0.25">
      <c r="B28" s="6" t="s">
        <v>145</v>
      </c>
      <c r="C28" s="15" t="str">
        <f>IFERROR(C16/C13,"")</f>
        <v/>
      </c>
    </row>
    <row r="31" spans="2:3" x14ac:dyDescent="0.25">
      <c r="B31" s="6" t="s">
        <v>146</v>
      </c>
    </row>
    <row r="32" spans="2:3" x14ac:dyDescent="0.25">
      <c r="B32" s="6" t="s">
        <v>147</v>
      </c>
    </row>
    <row r="33" spans="2:3" x14ac:dyDescent="0.25">
      <c r="B33" s="6" t="s">
        <v>148</v>
      </c>
      <c r="C33" s="15">
        <f>IFERROR(C32/inp_current_price-1,"")</f>
        <v>-1</v>
      </c>
    </row>
    <row r="34" spans="2:3" x14ac:dyDescent="0.25">
      <c r="B34" s="6" t="s">
        <v>149</v>
      </c>
    </row>
    <row r="35" spans="2:3" x14ac:dyDescent="0.25">
      <c r="B35" s="6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26</vt:i4>
      </vt:variant>
    </vt:vector>
  </HeadingPairs>
  <TitlesOfParts>
    <vt:vector size="36" baseType="lpstr">
      <vt:lpstr>Cover</vt:lpstr>
      <vt:lpstr>Inputs</vt:lpstr>
      <vt:lpstr>IS</vt:lpstr>
      <vt:lpstr>CF</vt:lpstr>
      <vt:lpstr>Debt</vt:lpstr>
      <vt:lpstr>Valuation</vt:lpstr>
      <vt:lpstr>Summary</vt:lpstr>
      <vt:lpstr>Sensitivity</vt:lpstr>
      <vt:lpstr>_CapIQ_Data</vt:lpstr>
      <vt:lpstr>_Broker_Data</vt:lpstr>
      <vt:lpstr>calc_annual_div</vt:lpstr>
      <vt:lpstr>drv_capex_pct_rev</vt:lpstr>
      <vt:lpstr>drv_da_pct_capex</vt:lpstr>
      <vt:lpstr>drv_exit_multiple</vt:lpstr>
      <vt:lpstr>drv_gross_margin</vt:lpstr>
      <vt:lpstr>drv_opex_pct_rev</vt:lpstr>
      <vt:lpstr>drv_revenue_growth</vt:lpstr>
      <vt:lpstr>inp_annual_dps</vt:lpstr>
      <vt:lpstr>inp_cash</vt:lpstr>
      <vt:lpstr>inp_cash_sweep_pct</vt:lpstr>
      <vt:lpstr>inp_company_name</vt:lpstr>
      <vt:lpstr>inp_currency</vt:lpstr>
      <vt:lpstr>inp_current_price</vt:lpstr>
      <vt:lpstr>inp_debt</vt:lpstr>
      <vt:lpstr>inp_diluted_shares</vt:lpstr>
      <vt:lpstr>inp_dps_growth</vt:lpstr>
      <vt:lpstr>inp_equity_investments</vt:lpstr>
      <vt:lpstr>inp_fye_month</vt:lpstr>
      <vt:lpstr>inp_min_cash</vt:lpstr>
      <vt:lpstr>inp_minority_interest</vt:lpstr>
      <vt:lpstr>inp_run_date</vt:lpstr>
      <vt:lpstr>inp_sector</vt:lpstr>
      <vt:lpstr>inp_tax_rate</vt:lpstr>
      <vt:lpstr>inp_ticker</vt:lpstr>
      <vt:lpstr>mkt_cap</vt:lpstr>
      <vt:lpstr>sens_target_year_offset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Aubrey Ellis</cp:lastModifiedBy>
  <dcterms:created xsi:type="dcterms:W3CDTF">2026-04-29T02:14:55Z</dcterms:created>
  <dcterms:modified xsi:type="dcterms:W3CDTF">2026-04-29T21:32:01Z</dcterms:modified>
</cp:coreProperties>
</file>