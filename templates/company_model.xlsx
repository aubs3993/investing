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IS" sheetId="3" state="visible" r:id="rId3"/>
    <sheet name="CF" sheetId="4" state="visible" r:id="rId4"/>
    <sheet name="Debt" sheetId="5" state="visible" r:id="rId5"/>
    <sheet name="Valuation" sheetId="6" state="visible" r:id="rId6"/>
    <sheet name="Summary" sheetId="7" state="visible" r:id="rId7"/>
    <sheet name="Sensitivity" sheetId="8" state="visible" r:id="rId8"/>
    <sheet name="_CapIQ_Data" sheetId="9" state="hidden" r:id="rId9"/>
    <sheet name="_Broker_Data" sheetId="10" state="hidden" r:id="rId10"/>
  </sheets>
  <definedNames>
    <definedName name="inp_ticker">Inputs!$B$4</definedName>
    <definedName name="inp_company_name">Inputs!$B$5</definedName>
    <definedName name="inp_sector">Inputs!$B$6</definedName>
    <definedName name="inp_currency">Inputs!$B$7</definedName>
    <definedName name="inp_fye_month">Inputs!$B$8</definedName>
    <definedName name="inp_run_date">Inputs!$B$9</definedName>
    <definedName name="inp_current_price">Inputs!$B$10</definedName>
    <definedName name="inp_diluted_shares">Inputs!$B$11</definedName>
    <definedName name="inp_quarterly_dps">Inputs!$B$12</definedName>
    <definedName name="inp_dps_growth">Inputs!$B$13</definedName>
    <definedName name="inp_tax_rate">Inputs!$B$14</definedName>
    <definedName name="inp_cash">Inputs!$B$15</definedName>
    <definedName name="inp_debt">Inputs!$B$16</definedName>
    <definedName name="inp_minority_interest">Inputs!$B$17</definedName>
    <definedName name="inp_equity_investments">Inputs!$B$18</definedName>
    <definedName name="inp_cash_sweep_pct">Inputs!$B$19</definedName>
    <definedName name="inp_min_cash">Inputs!$B$20</definedName>
    <definedName name="annual_dps">Inputs!$B$23</definedName>
    <definedName name="calc_annual_div">Inputs!$B$24</definedName>
    <definedName name="mkt_cap">Inputs!$B$25</definedName>
    <definedName name="drv_revenue_growth">Inputs!$E$31:$N$31</definedName>
    <definedName name="drv_gross_margin">Inputs!$E$32:$N$32</definedName>
    <definedName name="drv_opex_pct_rev">Inputs!$E$33:$N$33</definedName>
    <definedName name="drv_capex_pct_rev">Inputs!$E$34:$N$34</definedName>
    <definedName name="drv_da_pct_capex">Inputs!$E$35:$N$35</definedName>
    <definedName name="drv_exit_multiple">Inputs!$E$36:$N$36</definedName>
    <definedName name="sens_target_year_offset">Sensitivity!$B$2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/dd/yyyy"/>
    <numFmt numFmtId="166" formatCode="$#,##0.00;($#,##0.00)"/>
    <numFmt numFmtId="167" formatCode="#,##0;(#,##0)"/>
    <numFmt numFmtId="168" formatCode="$0.0000"/>
    <numFmt numFmtId="169" formatCode="0.0%"/>
    <numFmt numFmtId="170" formatCode="0.0&quot;x&quot;"/>
    <numFmt numFmtId="171" formatCode="#,##0.00;(#,##0.00)"/>
  </numFmts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color rgb="000000FF"/>
      <sz val="11"/>
    </font>
    <font>
      <name val="Calibri"/>
      <color rgb="00008000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000000"/>
      <sz val="11"/>
    </font>
    <font>
      <name val="Calibri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dotted">
        <color rgb="000000FF"/>
      </left>
      <right style="dotted">
        <color rgb="000000FF"/>
      </right>
      <top style="dotted">
        <color rgb="000000FF"/>
      </top>
      <bottom style="dotted">
        <color rgb="000000FF"/>
      </bottom>
    </border>
    <border>
      <top style="thin">
        <color rgb="00000000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4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2" fillId="0" borderId="0" pivotButton="0" quotePrefix="0" xfId="0"/>
    <xf numFmtId="49" fontId="3" fillId="2" borderId="1" pivotButton="0" quotePrefix="0" xfId="0"/>
    <xf numFmtId="1" fontId="3" fillId="2" borderId="1" pivotButton="0" quotePrefix="0" xfId="0"/>
    <xf numFmtId="165" fontId="3" fillId="2" borderId="1" pivotButton="0" quotePrefix="0" xfId="0"/>
    <xf numFmtId="168" fontId="4" fillId="0" borderId="0" pivotButton="0" quotePrefix="0" xfId="0"/>
    <xf numFmtId="169" fontId="3" fillId="2" borderId="1" pivotButton="0" quotePrefix="0" xfId="0"/>
    <xf numFmtId="169" fontId="4" fillId="0" borderId="0" pivotButton="0" quotePrefix="0" xfId="0"/>
    <xf numFmtId="167" fontId="3" fillId="2" borderId="1" pivotButton="0" quotePrefix="0" xfId="0"/>
    <xf numFmtId="168" fontId="5" fillId="0" borderId="0" pivotButton="0" quotePrefix="0" xfId="0"/>
    <xf numFmtId="167" fontId="5" fillId="0" borderId="0" pivotButton="0" quotePrefix="0" xfId="0"/>
    <xf numFmtId="0" fontId="6" fillId="3" borderId="0" applyAlignment="1" pivotButton="0" quotePrefix="0" xfId="0">
      <alignment horizontal="center"/>
    </xf>
    <xf numFmtId="170" fontId="3" fillId="2" borderId="1" pivotButton="0" quotePrefix="0" xfId="0"/>
    <xf numFmtId="169" fontId="5" fillId="0" borderId="0" pivotButton="0" quotePrefix="0" xfId="0"/>
    <xf numFmtId="167" fontId="8" fillId="0" borderId="2" pivotButton="0" quotePrefix="0" xfId="0"/>
    <xf numFmtId="171" fontId="5" fillId="0" borderId="0" pivotButton="0" quotePrefix="0" xfId="0"/>
    <xf numFmtId="170" fontId="4" fillId="0" borderId="0" pivotButton="0" quotePrefix="0" xfId="0"/>
    <xf numFmtId="171" fontId="8" fillId="0" borderId="2" pivotButton="0" quotePrefix="0" xfId="0"/>
    <xf numFmtId="170" fontId="5" fillId="0" borderId="0" pivotButton="0" quotePrefix="0" xfId="0"/>
    <xf numFmtId="170" fontId="8" fillId="0" borderId="2" pivotButton="0" quotePrefix="0" xfId="0"/>
    <xf numFmtId="171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1" t="inlineStr">
        <is>
          <t>Cover</t>
        </is>
      </c>
    </row>
    <row r="3">
      <c r="A3" s="2" t="inlineStr">
        <is>
          <t>Company Name</t>
        </is>
      </c>
      <c r="B3" s="3">
        <f>inp_company_name</f>
        <v/>
      </c>
    </row>
    <row r="4">
      <c r="A4" s="2" t="inlineStr">
        <is>
          <t>Ticker</t>
        </is>
      </c>
      <c r="B4" s="3">
        <f>inp_ticker</f>
        <v/>
      </c>
    </row>
    <row r="5">
      <c r="A5" s="2" t="inlineStr">
        <is>
          <t>Sector</t>
        </is>
      </c>
      <c r="B5" s="3">
        <f>inp_sector</f>
        <v/>
      </c>
    </row>
    <row r="6">
      <c r="A6" s="2" t="inlineStr">
        <is>
          <t>Currency</t>
        </is>
      </c>
      <c r="B6" s="3">
        <f>inp_currency</f>
        <v/>
      </c>
    </row>
    <row r="7">
      <c r="A7" s="2" t="inlineStr">
        <is>
          <t>Run Date</t>
        </is>
      </c>
      <c r="B7" s="4">
        <f>inp_run_date</f>
        <v/>
      </c>
    </row>
    <row r="8">
      <c r="A8" s="2" t="inlineStr">
        <is>
          <t>Current Price</t>
        </is>
      </c>
      <c r="B8" s="5">
        <f>inp_current_price</f>
        <v/>
      </c>
    </row>
    <row r="9">
      <c r="A9" s="2" t="inlineStr">
        <is>
          <t>Market Cap</t>
        </is>
      </c>
      <c r="B9" s="6">
        <f>mkt_cap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Inputs &amp; Assumptions</t>
        </is>
      </c>
    </row>
    <row r="3">
      <c r="A3" s="7" t="inlineStr">
        <is>
          <t>Inputs (CapIQ-driven where available; manual otherwise)</t>
        </is>
      </c>
    </row>
    <row r="4">
      <c r="A4" t="inlineStr">
        <is>
          <t>Ticker</t>
        </is>
      </c>
      <c r="B4" s="8" t="inlineStr">
        <is>
          <t>TICKR</t>
        </is>
      </c>
    </row>
    <row r="5">
      <c r="A5" t="inlineStr">
        <is>
          <t>Company Name</t>
        </is>
      </c>
      <c r="B5" s="3">
        <f>_CapIQ_Data!E7</f>
        <v/>
      </c>
    </row>
    <row r="6">
      <c r="A6" t="inlineStr">
        <is>
          <t>Sector</t>
        </is>
      </c>
      <c r="B6" s="3">
        <f>_CapIQ_Data!E8</f>
        <v/>
      </c>
    </row>
    <row r="7">
      <c r="A7" t="inlineStr">
        <is>
          <t>Currency</t>
        </is>
      </c>
      <c r="B7" s="3">
        <f>_CapIQ_Data!E9</f>
        <v/>
      </c>
    </row>
    <row r="8">
      <c r="A8" t="inlineStr">
        <is>
          <t>Fiscal Year End Month</t>
        </is>
      </c>
      <c r="B8" s="9" t="n">
        <v>12</v>
      </c>
    </row>
    <row r="9">
      <c r="A9" t="inlineStr">
        <is>
          <t>Run Date</t>
        </is>
      </c>
      <c r="B9" s="10" t="n">
        <v>46139</v>
      </c>
    </row>
    <row r="10">
      <c r="A10" t="inlineStr">
        <is>
          <t>Current Price</t>
        </is>
      </c>
      <c r="B10" s="5">
        <f>_CapIQ_Data!E13</f>
        <v/>
      </c>
    </row>
    <row r="11">
      <c r="A11" t="inlineStr">
        <is>
          <t>Diluted Shares Outstanding</t>
        </is>
      </c>
      <c r="B11" s="6">
        <f>_CapIQ_Data!E14</f>
        <v/>
      </c>
    </row>
    <row r="12">
      <c r="A12" t="inlineStr">
        <is>
          <t>Quarterly DPS</t>
        </is>
      </c>
      <c r="B12" s="11">
        <f>_CapIQ_Data!E15</f>
        <v/>
      </c>
    </row>
    <row r="13">
      <c r="A13" t="inlineStr">
        <is>
          <t>DPS Annual Growth %</t>
        </is>
      </c>
      <c r="B13" s="12" t="n">
        <v>0</v>
      </c>
    </row>
    <row r="14">
      <c r="A14" t="inlineStr">
        <is>
          <t>Tax Rate</t>
        </is>
      </c>
      <c r="B14" s="13">
        <f>_CapIQ_Data!E20</f>
        <v/>
      </c>
    </row>
    <row r="15">
      <c r="A15" t="inlineStr">
        <is>
          <t>Cash &amp; Equivalents</t>
        </is>
      </c>
      <c r="B15" s="6">
        <f>_CapIQ_Data!E16</f>
        <v/>
      </c>
    </row>
    <row r="16">
      <c r="A16" t="inlineStr">
        <is>
          <t>Total Debt</t>
        </is>
      </c>
      <c r="B16" s="6">
        <f>_CapIQ_Data!E17</f>
        <v/>
      </c>
    </row>
    <row r="17">
      <c r="A17" t="inlineStr">
        <is>
          <t>Minority Interest (NCI)</t>
        </is>
      </c>
      <c r="B17" s="6">
        <f>_CapIQ_Data!E18</f>
        <v/>
      </c>
    </row>
    <row r="18">
      <c r="A18" t="inlineStr">
        <is>
          <t>Equity Investments</t>
        </is>
      </c>
      <c r="B18" s="6">
        <f>_CapIQ_Data!E19</f>
        <v/>
      </c>
    </row>
    <row r="19">
      <c r="A19" t="inlineStr">
        <is>
          <t>Cash Sweep %</t>
        </is>
      </c>
      <c r="B19" s="12" t="n">
        <v>0</v>
      </c>
    </row>
    <row r="20">
      <c r="A20" t="inlineStr">
        <is>
          <t>Minimum Cash Balance</t>
        </is>
      </c>
      <c r="B20" s="14" t="n">
        <v>0</v>
      </c>
    </row>
    <row r="22">
      <c r="A22" s="7" t="inlineStr">
        <is>
          <t>Calculated</t>
        </is>
      </c>
    </row>
    <row r="23">
      <c r="A23" t="inlineStr">
        <is>
          <t>Annual DPS (current)</t>
        </is>
      </c>
      <c r="B23" s="15">
        <f>inp_quarterly_dps*4</f>
        <v/>
      </c>
    </row>
    <row r="24">
      <c r="A24" t="inlineStr">
        <is>
          <t>Total Annual Dividends Paid (current)</t>
        </is>
      </c>
      <c r="B24" s="16">
        <f>annual_dps*inp_diluted_shares</f>
        <v/>
      </c>
    </row>
    <row r="25">
      <c r="A25" t="inlineStr">
        <is>
          <t>Current Market Cap</t>
        </is>
      </c>
      <c r="B25" s="16">
        <f>inp_current_price*inp_diluted_shares</f>
        <v/>
      </c>
    </row>
    <row r="26">
      <c r="A26" t="inlineStr">
        <is>
          <t>Net Debt</t>
        </is>
      </c>
      <c r="B26" s="16">
        <f>inp_debt-inp_cash</f>
        <v/>
      </c>
    </row>
    <row r="27">
      <c r="A27" t="inlineStr">
        <is>
          <t>Current Enterprise Value</t>
        </is>
      </c>
      <c r="B27" s="16">
        <f>mkt_cap+inp_debt-inp_cash+inp_minority_interest-inp_equity_investments</f>
        <v/>
      </c>
    </row>
    <row r="29">
      <c r="A29" s="7" t="inlineStr">
        <is>
          <t>Driver Assumptions (manual fill)</t>
        </is>
      </c>
    </row>
    <row r="30">
      <c r="E30" s="17" t="inlineStr">
        <is>
          <t>2026E</t>
        </is>
      </c>
      <c r="F30" s="17" t="inlineStr">
        <is>
          <t>2027E</t>
        </is>
      </c>
      <c r="G30" s="17" t="inlineStr">
        <is>
          <t>2028E</t>
        </is>
      </c>
      <c r="H30" s="17" t="inlineStr">
        <is>
          <t>2029E</t>
        </is>
      </c>
      <c r="I30" s="17" t="inlineStr">
        <is>
          <t>2030E</t>
        </is>
      </c>
      <c r="J30" s="17" t="inlineStr">
        <is>
          <t>2031E</t>
        </is>
      </c>
      <c r="K30" s="17" t="inlineStr">
        <is>
          <t>2032E</t>
        </is>
      </c>
      <c r="L30" s="17" t="inlineStr">
        <is>
          <t>2033E</t>
        </is>
      </c>
      <c r="M30" s="17" t="inlineStr">
        <is>
          <t>2034E</t>
        </is>
      </c>
      <c r="N30" s="17" t="inlineStr">
        <is>
          <t>2035E</t>
        </is>
      </c>
    </row>
    <row r="31">
      <c r="A31" t="inlineStr">
        <is>
          <t>Revenue Growth %</t>
        </is>
      </c>
      <c r="E31" s="12" t="n">
        <v>0.05</v>
      </c>
      <c r="F31" s="12" t="n">
        <v>0.05</v>
      </c>
      <c r="G31" s="12" t="n">
        <v>0.05</v>
      </c>
      <c r="H31" s="12" t="n">
        <v>0.05</v>
      </c>
      <c r="I31" s="12" t="n">
        <v>0.05</v>
      </c>
      <c r="J31" s="12" t="n">
        <v>0.05</v>
      </c>
      <c r="K31" s="12" t="n">
        <v>0.05</v>
      </c>
      <c r="L31" s="12" t="n">
        <v>0.05</v>
      </c>
      <c r="M31" s="12" t="n">
        <v>0.05</v>
      </c>
      <c r="N31" s="12" t="n">
        <v>0.05</v>
      </c>
    </row>
    <row r="32">
      <c r="A32" t="inlineStr">
        <is>
          <t>Gross Margin %</t>
        </is>
      </c>
      <c r="E32" s="12" t="n">
        <v>0.4</v>
      </c>
      <c r="F32" s="12" t="n">
        <v>0.4</v>
      </c>
      <c r="G32" s="12" t="n">
        <v>0.4</v>
      </c>
      <c r="H32" s="12" t="n">
        <v>0.4</v>
      </c>
      <c r="I32" s="12" t="n">
        <v>0.4</v>
      </c>
      <c r="J32" s="12" t="n">
        <v>0.4</v>
      </c>
      <c r="K32" s="12" t="n">
        <v>0.4</v>
      </c>
      <c r="L32" s="12" t="n">
        <v>0.4</v>
      </c>
      <c r="M32" s="12" t="n">
        <v>0.4</v>
      </c>
      <c r="N32" s="12" t="n">
        <v>0.4</v>
      </c>
    </row>
    <row r="33">
      <c r="A33" t="inlineStr">
        <is>
          <t>Total OpEx % of Revenue</t>
        </is>
      </c>
      <c r="E33" s="12" t="n">
        <v>0.2</v>
      </c>
      <c r="F33" s="12" t="n">
        <v>0.2</v>
      </c>
      <c r="G33" s="12" t="n">
        <v>0.2</v>
      </c>
      <c r="H33" s="12" t="n">
        <v>0.2</v>
      </c>
      <c r="I33" s="12" t="n">
        <v>0.2</v>
      </c>
      <c r="J33" s="12" t="n">
        <v>0.2</v>
      </c>
      <c r="K33" s="12" t="n">
        <v>0.2</v>
      </c>
      <c r="L33" s="12" t="n">
        <v>0.2</v>
      </c>
      <c r="M33" s="12" t="n">
        <v>0.2</v>
      </c>
      <c r="N33" s="12" t="n">
        <v>0.2</v>
      </c>
    </row>
    <row r="34">
      <c r="A34" t="inlineStr">
        <is>
          <t>CapEx % of Revenue</t>
        </is>
      </c>
      <c r="E34" s="12" t="n">
        <v>0.05</v>
      </c>
      <c r="F34" s="12" t="n">
        <v>0.05</v>
      </c>
      <c r="G34" s="12" t="n">
        <v>0.05</v>
      </c>
      <c r="H34" s="12" t="n">
        <v>0.05</v>
      </c>
      <c r="I34" s="12" t="n">
        <v>0.05</v>
      </c>
      <c r="J34" s="12" t="n">
        <v>0.05</v>
      </c>
      <c r="K34" s="12" t="n">
        <v>0.05</v>
      </c>
      <c r="L34" s="12" t="n">
        <v>0.05</v>
      </c>
      <c r="M34" s="12" t="n">
        <v>0.05</v>
      </c>
      <c r="N34" s="12" t="n">
        <v>0.05</v>
      </c>
    </row>
    <row r="35">
      <c r="A35" t="inlineStr">
        <is>
          <t>D&amp;A % of CapEx</t>
        </is>
      </c>
      <c r="E35" s="12" t="n">
        <v>1</v>
      </c>
      <c r="F35" s="12" t="n">
        <v>1</v>
      </c>
      <c r="G35" s="12" t="n">
        <v>1</v>
      </c>
      <c r="H35" s="12" t="n">
        <v>1</v>
      </c>
      <c r="I35" s="12" t="n">
        <v>1</v>
      </c>
      <c r="J35" s="12" t="n">
        <v>1</v>
      </c>
      <c r="K35" s="12" t="n">
        <v>1</v>
      </c>
      <c r="L35" s="12" t="n">
        <v>1</v>
      </c>
      <c r="M35" s="12" t="n">
        <v>1</v>
      </c>
      <c r="N35" s="12" t="n">
        <v>1</v>
      </c>
    </row>
    <row r="36">
      <c r="A36" t="inlineStr">
        <is>
          <t>Exit EBITDA Multiple</t>
        </is>
      </c>
      <c r="E36" s="18" t="n">
        <v>10</v>
      </c>
      <c r="F36" s="18" t="n">
        <v>10</v>
      </c>
      <c r="G36" s="18" t="n">
        <v>10</v>
      </c>
      <c r="H36" s="18" t="n">
        <v>10</v>
      </c>
      <c r="I36" s="18" t="n">
        <v>10</v>
      </c>
      <c r="J36" s="18" t="n">
        <v>10</v>
      </c>
      <c r="K36" s="18" t="n">
        <v>10</v>
      </c>
      <c r="L36" s="18" t="n">
        <v>10</v>
      </c>
      <c r="M36" s="18" t="n">
        <v>10</v>
      </c>
      <c r="N36" s="18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B1" s="17" t="inlineStr">
        <is>
          <t>2023A</t>
        </is>
      </c>
      <c r="C1" s="17" t="inlineStr">
        <is>
          <t>2024A</t>
        </is>
      </c>
      <c r="D1" s="17" t="inlineStr">
        <is>
          <t>2025A</t>
        </is>
      </c>
      <c r="E1" s="17" t="inlineStr">
        <is>
          <t>2026E</t>
        </is>
      </c>
      <c r="F1" s="17" t="inlineStr">
        <is>
          <t>2027E</t>
        </is>
      </c>
      <c r="G1" s="17" t="inlineStr">
        <is>
          <t>2028E</t>
        </is>
      </c>
      <c r="H1" s="17" t="inlineStr">
        <is>
          <t>2029E</t>
        </is>
      </c>
      <c r="I1" s="17" t="inlineStr">
        <is>
          <t>2030E</t>
        </is>
      </c>
      <c r="J1" s="17" t="inlineStr">
        <is>
          <t>2031E</t>
        </is>
      </c>
      <c r="K1" s="17" t="inlineStr">
        <is>
          <t>2032E</t>
        </is>
      </c>
      <c r="L1" s="17" t="inlineStr">
        <is>
          <t>2033E</t>
        </is>
      </c>
      <c r="M1" s="17" t="inlineStr">
        <is>
          <t>2034E</t>
        </is>
      </c>
      <c r="N1" s="17" t="inlineStr">
        <is>
          <t>2035E</t>
        </is>
      </c>
    </row>
    <row r="2">
      <c r="A2" t="inlineStr">
        <is>
          <t>Revenue</t>
        </is>
      </c>
      <c r="B2" s="6">
        <f>_CapIQ_Data!B25</f>
        <v/>
      </c>
      <c r="C2" s="6">
        <f>_CapIQ_Data!C25</f>
        <v/>
      </c>
      <c r="D2" s="6">
        <f>_CapIQ_Data!D25</f>
        <v/>
      </c>
      <c r="E2" s="16">
        <f>D2*(1+Inputs!E$31)</f>
        <v/>
      </c>
      <c r="F2" s="16">
        <f>E2*(1+Inputs!F$31)</f>
        <v/>
      </c>
      <c r="G2" s="16">
        <f>F2*(1+Inputs!G$31)</f>
        <v/>
      </c>
      <c r="H2" s="16">
        <f>G2*(1+Inputs!H$31)</f>
        <v/>
      </c>
      <c r="I2" s="16">
        <f>H2*(1+Inputs!I$31)</f>
        <v/>
      </c>
      <c r="J2" s="16">
        <f>I2*(1+Inputs!J$31)</f>
        <v/>
      </c>
      <c r="K2" s="16">
        <f>J2*(1+Inputs!K$31)</f>
        <v/>
      </c>
      <c r="L2" s="16">
        <f>K2*(1+Inputs!L$31)</f>
        <v/>
      </c>
      <c r="M2" s="16">
        <f>L2*(1+Inputs!M$31)</f>
        <v/>
      </c>
      <c r="N2" s="16">
        <f>M2*(1+Inputs!N$31)</f>
        <v/>
      </c>
    </row>
    <row r="3">
      <c r="A3" t="inlineStr">
        <is>
          <t>Revenue Growth %</t>
        </is>
      </c>
      <c r="C3" s="19">
        <f>C2/B2-1</f>
        <v/>
      </c>
      <c r="D3" s="19">
        <f>D2/C2-1</f>
        <v/>
      </c>
      <c r="E3" s="19">
        <f>E2/D2-1</f>
        <v/>
      </c>
      <c r="F3" s="19">
        <f>F2/E2-1</f>
        <v/>
      </c>
      <c r="G3" s="19">
        <f>G2/F2-1</f>
        <v/>
      </c>
      <c r="H3" s="19">
        <f>H2/G2-1</f>
        <v/>
      </c>
      <c r="I3" s="19">
        <f>I2/H2-1</f>
        <v/>
      </c>
      <c r="J3" s="19">
        <f>J2/I2-1</f>
        <v/>
      </c>
      <c r="K3" s="19">
        <f>K2/J2-1</f>
        <v/>
      </c>
      <c r="L3" s="19">
        <f>L2/K2-1</f>
        <v/>
      </c>
      <c r="M3" s="19">
        <f>M2/L2-1</f>
        <v/>
      </c>
      <c r="N3" s="19">
        <f>N2/M2-1</f>
        <v/>
      </c>
    </row>
    <row r="4">
      <c r="A4" t="inlineStr">
        <is>
          <t>COGS</t>
        </is>
      </c>
      <c r="B4" s="6">
        <f>_CapIQ_Data!B26</f>
        <v/>
      </c>
      <c r="C4" s="6">
        <f>_CapIQ_Data!C26</f>
        <v/>
      </c>
      <c r="D4" s="6">
        <f>_CapIQ_Data!D26</f>
        <v/>
      </c>
      <c r="E4" s="16">
        <f>E2*(1-Inputs!E$32)</f>
        <v/>
      </c>
      <c r="F4" s="16">
        <f>F2*(1-Inputs!F$32)</f>
        <v/>
      </c>
      <c r="G4" s="16">
        <f>G2*(1-Inputs!G$32)</f>
        <v/>
      </c>
      <c r="H4" s="16">
        <f>H2*(1-Inputs!H$32)</f>
        <v/>
      </c>
      <c r="I4" s="16">
        <f>I2*(1-Inputs!I$32)</f>
        <v/>
      </c>
      <c r="J4" s="16">
        <f>J2*(1-Inputs!J$32)</f>
        <v/>
      </c>
      <c r="K4" s="16">
        <f>K2*(1-Inputs!K$32)</f>
        <v/>
      </c>
      <c r="L4" s="16">
        <f>L2*(1-Inputs!L$32)</f>
        <v/>
      </c>
      <c r="M4" s="16">
        <f>M2*(1-Inputs!M$32)</f>
        <v/>
      </c>
      <c r="N4" s="16">
        <f>N2*(1-Inputs!N$32)</f>
        <v/>
      </c>
    </row>
    <row r="5">
      <c r="A5" t="inlineStr">
        <is>
          <t>Gross Profit</t>
        </is>
      </c>
      <c r="B5" s="20">
        <f>B2-B4</f>
        <v/>
      </c>
      <c r="C5" s="20">
        <f>C2-C4</f>
        <v/>
      </c>
      <c r="D5" s="20">
        <f>D2-D4</f>
        <v/>
      </c>
      <c r="E5" s="20">
        <f>E2-E4</f>
        <v/>
      </c>
      <c r="F5" s="20">
        <f>F2-F4</f>
        <v/>
      </c>
      <c r="G5" s="20">
        <f>G2-G4</f>
        <v/>
      </c>
      <c r="H5" s="20">
        <f>H2-H4</f>
        <v/>
      </c>
      <c r="I5" s="20">
        <f>I2-I4</f>
        <v/>
      </c>
      <c r="J5" s="20">
        <f>J2-J4</f>
        <v/>
      </c>
      <c r="K5" s="20">
        <f>K2-K4</f>
        <v/>
      </c>
      <c r="L5" s="20">
        <f>L2-L4</f>
        <v/>
      </c>
      <c r="M5" s="20">
        <f>M2-M4</f>
        <v/>
      </c>
      <c r="N5" s="20">
        <f>N2-N4</f>
        <v/>
      </c>
    </row>
    <row r="6">
      <c r="A6" t="inlineStr">
        <is>
          <t>Gross Margin %</t>
        </is>
      </c>
      <c r="B6" s="19">
        <f>IFERROR(B5/B2,0)</f>
        <v/>
      </c>
      <c r="C6" s="19">
        <f>IFERROR(C5/C2,0)</f>
        <v/>
      </c>
      <c r="D6" s="19">
        <f>IFERROR(D5/D2,0)</f>
        <v/>
      </c>
      <c r="E6" s="19">
        <f>IFERROR(E5/E2,0)</f>
        <v/>
      </c>
      <c r="F6" s="19">
        <f>IFERROR(F5/F2,0)</f>
        <v/>
      </c>
      <c r="G6" s="19">
        <f>IFERROR(G5/G2,0)</f>
        <v/>
      </c>
      <c r="H6" s="19">
        <f>IFERROR(H5/H2,0)</f>
        <v/>
      </c>
      <c r="I6" s="19">
        <f>IFERROR(I5/I2,0)</f>
        <v/>
      </c>
      <c r="J6" s="19">
        <f>IFERROR(J5/J2,0)</f>
        <v/>
      </c>
      <c r="K6" s="19">
        <f>IFERROR(K5/K2,0)</f>
        <v/>
      </c>
      <c r="L6" s="19">
        <f>IFERROR(L5/L2,0)</f>
        <v/>
      </c>
      <c r="M6" s="19">
        <f>IFERROR(M5/M2,0)</f>
        <v/>
      </c>
      <c r="N6" s="19">
        <f>IFERROR(N5/N2,0)</f>
        <v/>
      </c>
    </row>
    <row r="7">
      <c r="A7" t="inlineStr">
        <is>
          <t>Total OpEx</t>
        </is>
      </c>
      <c r="B7" s="6">
        <f>_CapIQ_Data!B30</f>
        <v/>
      </c>
      <c r="C7" s="6">
        <f>_CapIQ_Data!C30</f>
        <v/>
      </c>
      <c r="D7" s="6">
        <f>_CapIQ_Data!D30</f>
        <v/>
      </c>
      <c r="E7" s="16">
        <f>E2*Inputs!E$33</f>
        <v/>
      </c>
      <c r="F7" s="16">
        <f>F2*Inputs!F$33</f>
        <v/>
      </c>
      <c r="G7" s="16">
        <f>G2*Inputs!G$33</f>
        <v/>
      </c>
      <c r="H7" s="16">
        <f>H2*Inputs!H$33</f>
        <v/>
      </c>
      <c r="I7" s="16">
        <f>I2*Inputs!I$33</f>
        <v/>
      </c>
      <c r="J7" s="16">
        <f>J2*Inputs!J$33</f>
        <v/>
      </c>
      <c r="K7" s="16">
        <f>K2*Inputs!K$33</f>
        <v/>
      </c>
      <c r="L7" s="16">
        <f>L2*Inputs!L$33</f>
        <v/>
      </c>
      <c r="M7" s="16">
        <f>M2*Inputs!M$33</f>
        <v/>
      </c>
      <c r="N7" s="16">
        <f>N2*Inputs!N$33</f>
        <v/>
      </c>
    </row>
    <row r="8">
      <c r="A8" t="inlineStr">
        <is>
          <t>EBITDA</t>
        </is>
      </c>
      <c r="B8" s="20">
        <f>B5-B7</f>
        <v/>
      </c>
      <c r="C8" s="20">
        <f>C5-C7</f>
        <v/>
      </c>
      <c r="D8" s="20">
        <f>D5-D7</f>
        <v/>
      </c>
      <c r="E8" s="20">
        <f>E5-E7</f>
        <v/>
      </c>
      <c r="F8" s="20">
        <f>F5-F7</f>
        <v/>
      </c>
      <c r="G8" s="20">
        <f>G5-G7</f>
        <v/>
      </c>
      <c r="H8" s="20">
        <f>H5-H7</f>
        <v/>
      </c>
      <c r="I8" s="20">
        <f>I5-I7</f>
        <v/>
      </c>
      <c r="J8" s="20">
        <f>J5-J7</f>
        <v/>
      </c>
      <c r="K8" s="20">
        <f>K5-K7</f>
        <v/>
      </c>
      <c r="L8" s="20">
        <f>L5-L7</f>
        <v/>
      </c>
      <c r="M8" s="20">
        <f>M5-M7</f>
        <v/>
      </c>
      <c r="N8" s="20">
        <f>N5-N7</f>
        <v/>
      </c>
    </row>
    <row r="9">
      <c r="A9" t="inlineStr">
        <is>
          <t>EBITDA Margin %</t>
        </is>
      </c>
      <c r="B9" s="19">
        <f>IFERROR(B8/B2,0)</f>
        <v/>
      </c>
      <c r="C9" s="19">
        <f>IFERROR(C8/C2,0)</f>
        <v/>
      </c>
      <c r="D9" s="19">
        <f>IFERROR(D8/D2,0)</f>
        <v/>
      </c>
      <c r="E9" s="19">
        <f>IFERROR(E8/E2,0)</f>
        <v/>
      </c>
      <c r="F9" s="19">
        <f>IFERROR(F8/F2,0)</f>
        <v/>
      </c>
      <c r="G9" s="19">
        <f>IFERROR(G8/G2,0)</f>
        <v/>
      </c>
      <c r="H9" s="19">
        <f>IFERROR(H8/H2,0)</f>
        <v/>
      </c>
      <c r="I9" s="19">
        <f>IFERROR(I8/I2,0)</f>
        <v/>
      </c>
      <c r="J9" s="19">
        <f>IFERROR(J8/J2,0)</f>
        <v/>
      </c>
      <c r="K9" s="19">
        <f>IFERROR(K8/K2,0)</f>
        <v/>
      </c>
      <c r="L9" s="19">
        <f>IFERROR(L8/L2,0)</f>
        <v/>
      </c>
      <c r="M9" s="19">
        <f>IFERROR(M8/M2,0)</f>
        <v/>
      </c>
      <c r="N9" s="19">
        <f>IFERROR(N8/N2,0)</f>
        <v/>
      </c>
    </row>
    <row r="10">
      <c r="A10" t="inlineStr">
        <is>
          <t>D&amp;A</t>
        </is>
      </c>
      <c r="B10" s="6">
        <f>_CapIQ_Data!B31</f>
        <v/>
      </c>
      <c r="C10" s="6">
        <f>_CapIQ_Data!C31</f>
        <v/>
      </c>
      <c r="D10" s="6">
        <f>_CapIQ_Data!D31</f>
        <v/>
      </c>
      <c r="E10" s="6">
        <f>-CF!E5*Inputs!E$35</f>
        <v/>
      </c>
      <c r="F10" s="6">
        <f>-CF!F5*Inputs!F$35</f>
        <v/>
      </c>
      <c r="G10" s="6">
        <f>-CF!G5*Inputs!G$35</f>
        <v/>
      </c>
      <c r="H10" s="6">
        <f>-CF!H5*Inputs!H$35</f>
        <v/>
      </c>
      <c r="I10" s="6">
        <f>-CF!I5*Inputs!I$35</f>
        <v/>
      </c>
      <c r="J10" s="6">
        <f>-CF!J5*Inputs!J$35</f>
        <v/>
      </c>
      <c r="K10" s="6">
        <f>-CF!K5*Inputs!K$35</f>
        <v/>
      </c>
      <c r="L10" s="6">
        <f>-CF!L5*Inputs!L$35</f>
        <v/>
      </c>
      <c r="M10" s="6">
        <f>-CF!M5*Inputs!M$35</f>
        <v/>
      </c>
      <c r="N10" s="6">
        <f>-CF!N5*Inputs!N$35</f>
        <v/>
      </c>
    </row>
    <row r="11">
      <c r="A11" t="inlineStr">
        <is>
          <t>EBIT</t>
        </is>
      </c>
      <c r="B11" s="20">
        <f>B8-B10</f>
        <v/>
      </c>
      <c r="C11" s="20">
        <f>C8-C10</f>
        <v/>
      </c>
      <c r="D11" s="20">
        <f>D8-D10</f>
        <v/>
      </c>
      <c r="E11" s="20">
        <f>E8-E10</f>
        <v/>
      </c>
      <c r="F11" s="20">
        <f>F8-F10</f>
        <v/>
      </c>
      <c r="G11" s="20">
        <f>G8-G10</f>
        <v/>
      </c>
      <c r="H11" s="20">
        <f>H8-H10</f>
        <v/>
      </c>
      <c r="I11" s="20">
        <f>I8-I10</f>
        <v/>
      </c>
      <c r="J11" s="20">
        <f>J8-J10</f>
        <v/>
      </c>
      <c r="K11" s="20">
        <f>K8-K10</f>
        <v/>
      </c>
      <c r="L11" s="20">
        <f>L8-L10</f>
        <v/>
      </c>
      <c r="M11" s="20">
        <f>M8-M10</f>
        <v/>
      </c>
      <c r="N11" s="20">
        <f>N8-N10</f>
        <v/>
      </c>
    </row>
    <row r="12">
      <c r="A12" t="inlineStr">
        <is>
          <t>EBIT Margin %</t>
        </is>
      </c>
      <c r="B12" s="19">
        <f>IFERROR(B11/B2,0)</f>
        <v/>
      </c>
      <c r="C12" s="19">
        <f>IFERROR(C11/C2,0)</f>
        <v/>
      </c>
      <c r="D12" s="19">
        <f>IFERROR(D11/D2,0)</f>
        <v/>
      </c>
      <c r="E12" s="19">
        <f>IFERROR(E11/E2,0)</f>
        <v/>
      </c>
      <c r="F12" s="19">
        <f>IFERROR(F11/F2,0)</f>
        <v/>
      </c>
      <c r="G12" s="19">
        <f>IFERROR(G11/G2,0)</f>
        <v/>
      </c>
      <c r="H12" s="19">
        <f>IFERROR(H11/H2,0)</f>
        <v/>
      </c>
      <c r="I12" s="19">
        <f>IFERROR(I11/I2,0)</f>
        <v/>
      </c>
      <c r="J12" s="19">
        <f>IFERROR(J11/J2,0)</f>
        <v/>
      </c>
      <c r="K12" s="19">
        <f>IFERROR(K11/K2,0)</f>
        <v/>
      </c>
      <c r="L12" s="19">
        <f>IFERROR(L11/L2,0)</f>
        <v/>
      </c>
      <c r="M12" s="19">
        <f>IFERROR(M11/M2,0)</f>
        <v/>
      </c>
      <c r="N12" s="19">
        <f>IFERROR(N11/N2,0)</f>
        <v/>
      </c>
    </row>
    <row r="13">
      <c r="A13" t="inlineStr">
        <is>
          <t>Interest Expense</t>
        </is>
      </c>
      <c r="B13" s="6">
        <f>_CapIQ_Data!B34</f>
        <v/>
      </c>
      <c r="C13" s="6">
        <f>_CapIQ_Data!C34</f>
        <v/>
      </c>
      <c r="D13" s="6">
        <f>_CapIQ_Data!D34</f>
        <v/>
      </c>
      <c r="E13" s="6">
        <f>Debt!E30</f>
        <v/>
      </c>
      <c r="F13" s="6">
        <f>Debt!F30</f>
        <v/>
      </c>
      <c r="G13" s="6">
        <f>Debt!G30</f>
        <v/>
      </c>
      <c r="H13" s="6">
        <f>Debt!H30</f>
        <v/>
      </c>
      <c r="I13" s="6">
        <f>Debt!I30</f>
        <v/>
      </c>
      <c r="J13" s="6">
        <f>Debt!J30</f>
        <v/>
      </c>
      <c r="K13" s="6">
        <f>Debt!K30</f>
        <v/>
      </c>
      <c r="L13" s="6">
        <f>Debt!L30</f>
        <v/>
      </c>
      <c r="M13" s="6">
        <f>Debt!M30</f>
        <v/>
      </c>
      <c r="N13" s="6">
        <f>Debt!N30</f>
        <v/>
      </c>
    </row>
    <row r="14">
      <c r="A14" t="inlineStr">
        <is>
          <t>Interest Income</t>
        </is>
      </c>
      <c r="B14" s="6">
        <f>_CapIQ_Data!B35</f>
        <v/>
      </c>
      <c r="C14" s="6">
        <f>_CapIQ_Data!C35</f>
        <v/>
      </c>
      <c r="D14" s="6">
        <f>_CapIQ_Data!D35</f>
        <v/>
      </c>
      <c r="E14" s="14" t="n">
        <v>0</v>
      </c>
      <c r="F14" s="16">
        <f>E14</f>
        <v/>
      </c>
      <c r="G14" s="16">
        <f>F14</f>
        <v/>
      </c>
      <c r="H14" s="16">
        <f>G14</f>
        <v/>
      </c>
      <c r="I14" s="16">
        <f>H14</f>
        <v/>
      </c>
      <c r="J14" s="16">
        <f>I14</f>
        <v/>
      </c>
      <c r="K14" s="16">
        <f>J14</f>
        <v/>
      </c>
      <c r="L14" s="16">
        <f>K14</f>
        <v/>
      </c>
      <c r="M14" s="16">
        <f>L14</f>
        <v/>
      </c>
      <c r="N14" s="16">
        <f>M14</f>
        <v/>
      </c>
    </row>
    <row r="15">
      <c r="A15" t="inlineStr">
        <is>
          <t>Pre-tax Income</t>
        </is>
      </c>
      <c r="B15" s="20">
        <f>B11-B13+B14</f>
        <v/>
      </c>
      <c r="C15" s="20">
        <f>C11-C13+C14</f>
        <v/>
      </c>
      <c r="D15" s="20">
        <f>D11-D13+D14</f>
        <v/>
      </c>
      <c r="E15" s="20">
        <f>E11-E13+E14</f>
        <v/>
      </c>
      <c r="F15" s="20">
        <f>F11-F13+F14</f>
        <v/>
      </c>
      <c r="G15" s="20">
        <f>G11-G13+G14</f>
        <v/>
      </c>
      <c r="H15" s="20">
        <f>H11-H13+H14</f>
        <v/>
      </c>
      <c r="I15" s="20">
        <f>I11-I13+I14</f>
        <v/>
      </c>
      <c r="J15" s="20">
        <f>J11-J13+J14</f>
        <v/>
      </c>
      <c r="K15" s="20">
        <f>K11-K13+K14</f>
        <v/>
      </c>
      <c r="L15" s="20">
        <f>L11-L13+L14</f>
        <v/>
      </c>
      <c r="M15" s="20">
        <f>M11-M13+M14</f>
        <v/>
      </c>
      <c r="N15" s="20">
        <f>N11-N13+N14</f>
        <v/>
      </c>
    </row>
    <row r="16">
      <c r="A16" t="inlineStr">
        <is>
          <t>Taxes</t>
        </is>
      </c>
      <c r="B16" s="16">
        <f>B15*inp_tax_rate</f>
        <v/>
      </c>
      <c r="C16" s="16">
        <f>C15*inp_tax_rate</f>
        <v/>
      </c>
      <c r="D16" s="16">
        <f>D15*inp_tax_rate</f>
        <v/>
      </c>
      <c r="E16" s="16">
        <f>E15*inp_tax_rate</f>
        <v/>
      </c>
      <c r="F16" s="16">
        <f>F15*inp_tax_rate</f>
        <v/>
      </c>
      <c r="G16" s="16">
        <f>G15*inp_tax_rate</f>
        <v/>
      </c>
      <c r="H16" s="16">
        <f>H15*inp_tax_rate</f>
        <v/>
      </c>
      <c r="I16" s="16">
        <f>I15*inp_tax_rate</f>
        <v/>
      </c>
      <c r="J16" s="16">
        <f>J15*inp_tax_rate</f>
        <v/>
      </c>
      <c r="K16" s="16">
        <f>K15*inp_tax_rate</f>
        <v/>
      </c>
      <c r="L16" s="16">
        <f>L15*inp_tax_rate</f>
        <v/>
      </c>
      <c r="M16" s="16">
        <f>M15*inp_tax_rate</f>
        <v/>
      </c>
      <c r="N16" s="16">
        <f>N15*inp_tax_rate</f>
        <v/>
      </c>
    </row>
    <row r="17">
      <c r="A17" t="inlineStr">
        <is>
          <t>Effective Tax Rate %</t>
        </is>
      </c>
      <c r="B17" s="19">
        <f>IFERROR(B16/B15,0)</f>
        <v/>
      </c>
      <c r="C17" s="19">
        <f>IFERROR(C16/C15,0)</f>
        <v/>
      </c>
      <c r="D17" s="19">
        <f>IFERROR(D16/D15,0)</f>
        <v/>
      </c>
      <c r="E17" s="19">
        <f>IFERROR(E16/E15,0)</f>
        <v/>
      </c>
      <c r="F17" s="19">
        <f>IFERROR(F16/F15,0)</f>
        <v/>
      </c>
      <c r="G17" s="19">
        <f>IFERROR(G16/G15,0)</f>
        <v/>
      </c>
      <c r="H17" s="19">
        <f>IFERROR(H16/H15,0)</f>
        <v/>
      </c>
      <c r="I17" s="19">
        <f>IFERROR(I16/I15,0)</f>
        <v/>
      </c>
      <c r="J17" s="19">
        <f>IFERROR(J16/J15,0)</f>
        <v/>
      </c>
      <c r="K17" s="19">
        <f>IFERROR(K16/K15,0)</f>
        <v/>
      </c>
      <c r="L17" s="19">
        <f>IFERROR(L16/L15,0)</f>
        <v/>
      </c>
      <c r="M17" s="19">
        <f>IFERROR(M16/M15,0)</f>
        <v/>
      </c>
      <c r="N17" s="19">
        <f>IFERROR(N16/N15,0)</f>
        <v/>
      </c>
    </row>
    <row r="18">
      <c r="A18" t="inlineStr">
        <is>
          <t>Net Income</t>
        </is>
      </c>
      <c r="B18" s="20">
        <f>B15-B16</f>
        <v/>
      </c>
      <c r="C18" s="20">
        <f>C15-C16</f>
        <v/>
      </c>
      <c r="D18" s="20">
        <f>D15-D16</f>
        <v/>
      </c>
      <c r="E18" s="20">
        <f>E15-E16</f>
        <v/>
      </c>
      <c r="F18" s="20">
        <f>F15-F16</f>
        <v/>
      </c>
      <c r="G18" s="20">
        <f>G15-G16</f>
        <v/>
      </c>
      <c r="H18" s="20">
        <f>H15-H16</f>
        <v/>
      </c>
      <c r="I18" s="20">
        <f>I15-I16</f>
        <v/>
      </c>
      <c r="J18" s="20">
        <f>J15-J16</f>
        <v/>
      </c>
      <c r="K18" s="20">
        <f>K15-K16</f>
        <v/>
      </c>
      <c r="L18" s="20">
        <f>L15-L16</f>
        <v/>
      </c>
      <c r="M18" s="20">
        <f>M15-M16</f>
        <v/>
      </c>
      <c r="N18" s="20">
        <f>N15-N16</f>
        <v/>
      </c>
    </row>
    <row r="19">
      <c r="A19" t="inlineStr">
        <is>
          <t>Diluted Shares Outstanding</t>
        </is>
      </c>
      <c r="B19" s="6">
        <f>_CapIQ_Data!B39</f>
        <v/>
      </c>
      <c r="C19" s="6">
        <f>_CapIQ_Data!C39</f>
        <v/>
      </c>
      <c r="D19" s="6">
        <f>_CapIQ_Data!D39</f>
        <v/>
      </c>
      <c r="E19" s="6">
        <f>inp_diluted_shares</f>
        <v/>
      </c>
      <c r="F19" s="6">
        <f>inp_diluted_shares</f>
        <v/>
      </c>
      <c r="G19" s="6">
        <f>inp_diluted_shares</f>
        <v/>
      </c>
      <c r="H19" s="6">
        <f>inp_diluted_shares</f>
        <v/>
      </c>
      <c r="I19" s="6">
        <f>inp_diluted_shares</f>
        <v/>
      </c>
      <c r="J19" s="6">
        <f>inp_diluted_shares</f>
        <v/>
      </c>
      <c r="K19" s="6">
        <f>inp_diluted_shares</f>
        <v/>
      </c>
      <c r="L19" s="6">
        <f>inp_diluted_shares</f>
        <v/>
      </c>
      <c r="M19" s="6">
        <f>inp_diluted_shares</f>
        <v/>
      </c>
      <c r="N19" s="6">
        <f>inp_diluted_shares</f>
        <v/>
      </c>
    </row>
    <row r="20">
      <c r="A20" t="inlineStr">
        <is>
          <t>Diluted EPS</t>
        </is>
      </c>
      <c r="B20" s="21">
        <f>IFERROR(B18/B19,0)</f>
        <v/>
      </c>
      <c r="C20" s="21">
        <f>IFERROR(C18/C19,0)</f>
        <v/>
      </c>
      <c r="D20" s="21">
        <f>IFERROR(D18/D19,0)</f>
        <v/>
      </c>
      <c r="E20" s="21">
        <f>IFERROR(E18/E19,0)</f>
        <v/>
      </c>
      <c r="F20" s="21">
        <f>IFERROR(F18/F19,0)</f>
        <v/>
      </c>
      <c r="G20" s="21">
        <f>IFERROR(G18/G19,0)</f>
        <v/>
      </c>
      <c r="H20" s="21">
        <f>IFERROR(H18/H19,0)</f>
        <v/>
      </c>
      <c r="I20" s="21">
        <f>IFERROR(I18/I19,0)</f>
        <v/>
      </c>
      <c r="J20" s="21">
        <f>IFERROR(J18/J19,0)</f>
        <v/>
      </c>
      <c r="K20" s="21">
        <f>IFERROR(K18/K19,0)</f>
        <v/>
      </c>
      <c r="L20" s="21">
        <f>IFERROR(L18/L19,0)</f>
        <v/>
      </c>
      <c r="M20" s="21">
        <f>IFERROR(M18/M19,0)</f>
        <v/>
      </c>
      <c r="N20" s="21">
        <f>IFERROR(N18/N19,0)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B1" s="17" t="inlineStr">
        <is>
          <t>2023A</t>
        </is>
      </c>
      <c r="C1" s="17" t="inlineStr">
        <is>
          <t>2024A</t>
        </is>
      </c>
      <c r="D1" s="17" t="inlineStr">
        <is>
          <t>2025A</t>
        </is>
      </c>
      <c r="E1" s="17" t="inlineStr">
        <is>
          <t>2026E</t>
        </is>
      </c>
      <c r="F1" s="17" t="inlineStr">
        <is>
          <t>2027E</t>
        </is>
      </c>
      <c r="G1" s="17" t="inlineStr">
        <is>
          <t>2028E</t>
        </is>
      </c>
      <c r="H1" s="17" t="inlineStr">
        <is>
          <t>2029E</t>
        </is>
      </c>
      <c r="I1" s="17" t="inlineStr">
        <is>
          <t>2030E</t>
        </is>
      </c>
      <c r="J1" s="17" t="inlineStr">
        <is>
          <t>2031E</t>
        </is>
      </c>
      <c r="K1" s="17" t="inlineStr">
        <is>
          <t>2032E</t>
        </is>
      </c>
      <c r="L1" s="17" t="inlineStr">
        <is>
          <t>2033E</t>
        </is>
      </c>
      <c r="M1" s="17" t="inlineStr">
        <is>
          <t>2034E</t>
        </is>
      </c>
      <c r="N1" s="17" t="inlineStr">
        <is>
          <t>2035E</t>
        </is>
      </c>
    </row>
    <row r="2">
      <c r="A2" t="inlineStr">
        <is>
          <t>EBITDA</t>
        </is>
      </c>
      <c r="B2" s="6">
        <f>IS!B8</f>
        <v/>
      </c>
      <c r="C2" s="6">
        <f>IS!C8</f>
        <v/>
      </c>
      <c r="D2" s="6">
        <f>IS!D8</f>
        <v/>
      </c>
      <c r="E2" s="6">
        <f>IS!E8</f>
        <v/>
      </c>
      <c r="F2" s="6">
        <f>IS!F8</f>
        <v/>
      </c>
      <c r="G2" s="6">
        <f>IS!G8</f>
        <v/>
      </c>
      <c r="H2" s="6">
        <f>IS!H8</f>
        <v/>
      </c>
      <c r="I2" s="6">
        <f>IS!I8</f>
        <v/>
      </c>
      <c r="J2" s="6">
        <f>IS!J8</f>
        <v/>
      </c>
      <c r="K2" s="6">
        <f>IS!K8</f>
        <v/>
      </c>
      <c r="L2" s="6">
        <f>IS!L8</f>
        <v/>
      </c>
      <c r="M2" s="6">
        <f>IS!M8</f>
        <v/>
      </c>
      <c r="N2" s="6">
        <f>IS!N8</f>
        <v/>
      </c>
    </row>
    <row r="3">
      <c r="A3" t="inlineStr">
        <is>
          <t>(Less) Cash Taxes</t>
        </is>
      </c>
      <c r="B3" s="6">
        <f>-IS!B16</f>
        <v/>
      </c>
      <c r="C3" s="6">
        <f>-IS!C16</f>
        <v/>
      </c>
      <c r="D3" s="6">
        <f>-IS!D16</f>
        <v/>
      </c>
      <c r="E3" s="6">
        <f>-IS!E16</f>
        <v/>
      </c>
      <c r="F3" s="6">
        <f>-IS!F16</f>
        <v/>
      </c>
      <c r="G3" s="6">
        <f>-IS!G16</f>
        <v/>
      </c>
      <c r="H3" s="6">
        <f>-IS!H16</f>
        <v/>
      </c>
      <c r="I3" s="6">
        <f>-IS!I16</f>
        <v/>
      </c>
      <c r="J3" s="6">
        <f>-IS!J16</f>
        <v/>
      </c>
      <c r="K3" s="6">
        <f>-IS!K16</f>
        <v/>
      </c>
      <c r="L3" s="6">
        <f>-IS!L16</f>
        <v/>
      </c>
      <c r="M3" s="6">
        <f>-IS!M16</f>
        <v/>
      </c>
      <c r="N3" s="6">
        <f>-IS!N16</f>
        <v/>
      </c>
    </row>
    <row r="4">
      <c r="A4" t="inlineStr">
        <is>
          <t>(Less) Cash Interest</t>
        </is>
      </c>
      <c r="B4" s="6">
        <f>-IS!B13</f>
        <v/>
      </c>
      <c r="C4" s="6">
        <f>-IS!C13</f>
        <v/>
      </c>
      <c r="D4" s="6">
        <f>-IS!D13</f>
        <v/>
      </c>
      <c r="E4" s="6">
        <f>-IS!E13</f>
        <v/>
      </c>
      <c r="F4" s="6">
        <f>-IS!F13</f>
        <v/>
      </c>
      <c r="G4" s="6">
        <f>-IS!G13</f>
        <v/>
      </c>
      <c r="H4" s="6">
        <f>-IS!H13</f>
        <v/>
      </c>
      <c r="I4" s="6">
        <f>-IS!I13</f>
        <v/>
      </c>
      <c r="J4" s="6">
        <f>-IS!J13</f>
        <v/>
      </c>
      <c r="K4" s="6">
        <f>-IS!K13</f>
        <v/>
      </c>
      <c r="L4" s="6">
        <f>-IS!L13</f>
        <v/>
      </c>
      <c r="M4" s="6">
        <f>-IS!M13</f>
        <v/>
      </c>
      <c r="N4" s="6">
        <f>-IS!N13</f>
        <v/>
      </c>
    </row>
    <row r="5">
      <c r="A5" t="inlineStr">
        <is>
          <t>(Less) CapEx</t>
        </is>
      </c>
      <c r="B5" s="6">
        <f>-_CapIQ_Data!B40</f>
        <v/>
      </c>
      <c r="C5" s="6">
        <f>-_CapIQ_Data!C40</f>
        <v/>
      </c>
      <c r="D5" s="6">
        <f>-_CapIQ_Data!D40</f>
        <v/>
      </c>
      <c r="E5" s="16">
        <f>-IS!E2*Inputs!E$34</f>
        <v/>
      </c>
      <c r="F5" s="16">
        <f>-IS!F2*Inputs!F$34</f>
        <v/>
      </c>
      <c r="G5" s="16">
        <f>-IS!G2*Inputs!G$34</f>
        <v/>
      </c>
      <c r="H5" s="16">
        <f>-IS!H2*Inputs!H$34</f>
        <v/>
      </c>
      <c r="I5" s="16">
        <f>-IS!I2*Inputs!I$34</f>
        <v/>
      </c>
      <c r="J5" s="16">
        <f>-IS!J2*Inputs!J$34</f>
        <v/>
      </c>
      <c r="K5" s="16">
        <f>-IS!K2*Inputs!K$34</f>
        <v/>
      </c>
      <c r="L5" s="16">
        <f>-IS!L2*Inputs!L$34</f>
        <v/>
      </c>
      <c r="M5" s="16">
        <f>-IS!M2*Inputs!M$34</f>
        <v/>
      </c>
      <c r="N5" s="16">
        <f>-IS!N2*Inputs!N$34</f>
        <v/>
      </c>
    </row>
    <row r="6">
      <c r="A6" t="inlineStr">
        <is>
          <t>Levered Free Cash Flow</t>
        </is>
      </c>
      <c r="B6" s="20">
        <f>SUM(B2:B5)</f>
        <v/>
      </c>
      <c r="C6" s="20">
        <f>SUM(C2:C5)</f>
        <v/>
      </c>
      <c r="D6" s="20">
        <f>SUM(D2:D5)</f>
        <v/>
      </c>
      <c r="E6" s="20">
        <f>SUM(E2:E5)</f>
        <v/>
      </c>
      <c r="F6" s="20">
        <f>SUM(F2:F5)</f>
        <v/>
      </c>
      <c r="G6" s="20">
        <f>SUM(G2:G5)</f>
        <v/>
      </c>
      <c r="H6" s="20">
        <f>SUM(H2:H5)</f>
        <v/>
      </c>
      <c r="I6" s="20">
        <f>SUM(I2:I5)</f>
        <v/>
      </c>
      <c r="J6" s="20">
        <f>SUM(J2:J5)</f>
        <v/>
      </c>
      <c r="K6" s="20">
        <f>SUM(K2:K5)</f>
        <v/>
      </c>
      <c r="L6" s="20">
        <f>SUM(L2:L5)</f>
        <v/>
      </c>
      <c r="M6" s="20">
        <f>SUM(M2:M5)</f>
        <v/>
      </c>
      <c r="N6" s="20">
        <f>SUM(N2:N5)</f>
        <v/>
      </c>
    </row>
    <row r="7">
      <c r="A7" t="inlineStr">
        <is>
          <t>(Less) Debt Amortization</t>
        </is>
      </c>
      <c r="B7" s="6">
        <f>-(Debt!B31+Debt!B32)</f>
        <v/>
      </c>
      <c r="C7" s="6">
        <f>-(Debt!C31+Debt!C32)</f>
        <v/>
      </c>
      <c r="D7" s="6">
        <f>-(Debt!D31+Debt!D32)</f>
        <v/>
      </c>
      <c r="E7" s="6">
        <f>-(Debt!E31+Debt!E32)</f>
        <v/>
      </c>
      <c r="F7" s="6">
        <f>-(Debt!F31+Debt!F32)</f>
        <v/>
      </c>
      <c r="G7" s="6">
        <f>-(Debt!G31+Debt!G32)</f>
        <v/>
      </c>
      <c r="H7" s="6">
        <f>-(Debt!H31+Debt!H32)</f>
        <v/>
      </c>
      <c r="I7" s="6">
        <f>-(Debt!I31+Debt!I32)</f>
        <v/>
      </c>
      <c r="J7" s="6">
        <f>-(Debt!J31+Debt!J32)</f>
        <v/>
      </c>
      <c r="K7" s="6">
        <f>-(Debt!K31+Debt!K32)</f>
        <v/>
      </c>
      <c r="L7" s="6">
        <f>-(Debt!L31+Debt!L32)</f>
        <v/>
      </c>
      <c r="M7" s="6">
        <f>-(Debt!M31+Debt!M32)</f>
        <v/>
      </c>
      <c r="N7" s="6">
        <f>-(Debt!N31+Debt!N32)</f>
        <v/>
      </c>
    </row>
    <row r="8">
      <c r="A8" t="inlineStr">
        <is>
          <t>(Less) Dividends</t>
        </is>
      </c>
      <c r="B8" s="14" t="n">
        <v>0</v>
      </c>
      <c r="C8" s="14" t="n">
        <v>0</v>
      </c>
      <c r="D8" s="14" t="n">
        <v>0</v>
      </c>
      <c r="E8" s="16">
        <f>-(inp_quarterly_dps*4)*((1+inp_dps_growth)^0)*IS!E19</f>
        <v/>
      </c>
      <c r="F8" s="16">
        <f>-(inp_quarterly_dps*4)*((1+inp_dps_growth)^1)*IS!F19</f>
        <v/>
      </c>
      <c r="G8" s="16">
        <f>-(inp_quarterly_dps*4)*((1+inp_dps_growth)^2)*IS!G19</f>
        <v/>
      </c>
      <c r="H8" s="16">
        <f>-(inp_quarterly_dps*4)*((1+inp_dps_growth)^3)*IS!H19</f>
        <v/>
      </c>
      <c r="I8" s="16">
        <f>-(inp_quarterly_dps*4)*((1+inp_dps_growth)^4)*IS!I19</f>
        <v/>
      </c>
      <c r="J8" s="16">
        <f>-(inp_quarterly_dps*4)*((1+inp_dps_growth)^5)*IS!J19</f>
        <v/>
      </c>
      <c r="K8" s="16">
        <f>-(inp_quarterly_dps*4)*((1+inp_dps_growth)^6)*IS!K19</f>
        <v/>
      </c>
      <c r="L8" s="16">
        <f>-(inp_quarterly_dps*4)*((1+inp_dps_growth)^7)*IS!L19</f>
        <v/>
      </c>
      <c r="M8" s="16">
        <f>-(inp_quarterly_dps*4)*((1+inp_dps_growth)^8)*IS!M19</f>
        <v/>
      </c>
      <c r="N8" s="16">
        <f>-(inp_quarterly_dps*4)*((1+inp_dps_growth)^9)*IS!N19</f>
        <v/>
      </c>
    </row>
    <row r="9">
      <c r="A9" t="inlineStr">
        <is>
          <t>Net Change in Cash</t>
        </is>
      </c>
      <c r="B9" s="20">
        <f>B6+B7+B8</f>
        <v/>
      </c>
      <c r="C9" s="20">
        <f>C6+C7+C8</f>
        <v/>
      </c>
      <c r="D9" s="20">
        <f>D6+D7+D8</f>
        <v/>
      </c>
      <c r="E9" s="20">
        <f>E6+E7+E8</f>
        <v/>
      </c>
      <c r="F9" s="20">
        <f>F6+F7+F8</f>
        <v/>
      </c>
      <c r="G9" s="20">
        <f>G6+G7+G8</f>
        <v/>
      </c>
      <c r="H9" s="20">
        <f>H6+H7+H8</f>
        <v/>
      </c>
      <c r="I9" s="20">
        <f>I6+I7+I8</f>
        <v/>
      </c>
      <c r="J9" s="20">
        <f>J6+J7+J8</f>
        <v/>
      </c>
      <c r="K9" s="20">
        <f>K6+K7+K8</f>
        <v/>
      </c>
      <c r="L9" s="20">
        <f>L6+L7+L8</f>
        <v/>
      </c>
      <c r="M9" s="20">
        <f>M6+M7+M8</f>
        <v/>
      </c>
      <c r="N9" s="20">
        <f>N6+N7+N8</f>
        <v/>
      </c>
    </row>
    <row r="10">
      <c r="A10" t="inlineStr">
        <is>
          <t>Beginning Cash</t>
        </is>
      </c>
      <c r="B10" s="14" t="n">
        <v>0</v>
      </c>
      <c r="C10" s="16">
        <f>B11</f>
        <v/>
      </c>
      <c r="D10" s="16">
        <f>C11</f>
        <v/>
      </c>
      <c r="E10" s="16">
        <f>D11</f>
        <v/>
      </c>
      <c r="F10" s="16">
        <f>E11</f>
        <v/>
      </c>
      <c r="G10" s="16">
        <f>F11</f>
        <v/>
      </c>
      <c r="H10" s="16">
        <f>G11</f>
        <v/>
      </c>
      <c r="I10" s="16">
        <f>H11</f>
        <v/>
      </c>
      <c r="J10" s="16">
        <f>I11</f>
        <v/>
      </c>
      <c r="K10" s="16">
        <f>J11</f>
        <v/>
      </c>
      <c r="L10" s="16">
        <f>K11</f>
        <v/>
      </c>
      <c r="M10" s="16">
        <f>L11</f>
        <v/>
      </c>
      <c r="N10" s="16">
        <f>M11</f>
        <v/>
      </c>
    </row>
    <row r="11">
      <c r="A11" t="inlineStr">
        <is>
          <t>Ending Cash</t>
        </is>
      </c>
      <c r="B11" s="20">
        <f>B10+B9</f>
        <v/>
      </c>
      <c r="C11" s="20">
        <f>C10+C9</f>
        <v/>
      </c>
      <c r="D11" s="20">
        <f>D10+D9</f>
        <v/>
      </c>
      <c r="E11" s="20">
        <f>E10+E9</f>
        <v/>
      </c>
      <c r="F11" s="20">
        <f>F10+F9</f>
        <v/>
      </c>
      <c r="G11" s="20">
        <f>G10+G9</f>
        <v/>
      </c>
      <c r="H11" s="20">
        <f>H10+H9</f>
        <v/>
      </c>
      <c r="I11" s="20">
        <f>I10+I9</f>
        <v/>
      </c>
      <c r="J11" s="20">
        <f>J10+J9</f>
        <v/>
      </c>
      <c r="K11" s="20">
        <f>K10+K9</f>
        <v/>
      </c>
      <c r="L11" s="20">
        <f>L10+L9</f>
        <v/>
      </c>
      <c r="M11" s="20">
        <f>M10+M9</f>
        <v/>
      </c>
      <c r="N11" s="20">
        <f>N10+N9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B1" s="17" t="inlineStr">
        <is>
          <t>2023A</t>
        </is>
      </c>
      <c r="C1" s="17" t="inlineStr">
        <is>
          <t>2024A</t>
        </is>
      </c>
      <c r="D1" s="17" t="inlineStr">
        <is>
          <t>2025A</t>
        </is>
      </c>
      <c r="E1" s="17" t="inlineStr">
        <is>
          <t>2026E</t>
        </is>
      </c>
      <c r="F1" s="17" t="inlineStr">
        <is>
          <t>2027E</t>
        </is>
      </c>
      <c r="G1" s="17" t="inlineStr">
        <is>
          <t>2028E</t>
        </is>
      </c>
      <c r="H1" s="17" t="inlineStr">
        <is>
          <t>2029E</t>
        </is>
      </c>
      <c r="I1" s="17" t="inlineStr">
        <is>
          <t>2030E</t>
        </is>
      </c>
      <c r="J1" s="17" t="inlineStr">
        <is>
          <t>2031E</t>
        </is>
      </c>
      <c r="K1" s="17" t="inlineStr">
        <is>
          <t>2032E</t>
        </is>
      </c>
      <c r="L1" s="17" t="inlineStr">
        <is>
          <t>2033E</t>
        </is>
      </c>
      <c r="M1" s="17" t="inlineStr">
        <is>
          <t>2034E</t>
        </is>
      </c>
      <c r="N1" s="17" t="inlineStr">
        <is>
          <t>2035E</t>
        </is>
      </c>
    </row>
    <row r="2">
      <c r="A2" s="7" t="inlineStr">
        <is>
          <t>Revolver</t>
        </is>
      </c>
    </row>
    <row r="3">
      <c r="A3" t="inlineStr">
        <is>
          <t>Beginning Balance</t>
        </is>
      </c>
      <c r="B3" s="14" t="n">
        <v>0</v>
      </c>
      <c r="C3" s="16">
        <f>B6</f>
        <v/>
      </c>
      <c r="D3" s="16">
        <f>C6</f>
        <v/>
      </c>
      <c r="E3" s="16">
        <f>D6</f>
        <v/>
      </c>
      <c r="F3" s="16">
        <f>E6</f>
        <v/>
      </c>
      <c r="G3" s="16">
        <f>F6</f>
        <v/>
      </c>
      <c r="H3" s="16">
        <f>G6</f>
        <v/>
      </c>
      <c r="I3" s="16">
        <f>H6</f>
        <v/>
      </c>
      <c r="J3" s="16">
        <f>I6</f>
        <v/>
      </c>
      <c r="K3" s="16">
        <f>J6</f>
        <v/>
      </c>
      <c r="L3" s="16">
        <f>K6</f>
        <v/>
      </c>
      <c r="M3" s="16">
        <f>L6</f>
        <v/>
      </c>
      <c r="N3" s="16">
        <f>M6</f>
        <v/>
      </c>
    </row>
    <row r="4">
      <c r="A4" t="inlineStr">
        <is>
          <t>Draws</t>
        </is>
      </c>
      <c r="B4" s="14" t="n">
        <v>0</v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  <c r="H4" s="14" t="n">
        <v>0</v>
      </c>
      <c r="I4" s="14" t="n">
        <v>0</v>
      </c>
      <c r="J4" s="14" t="n">
        <v>0</v>
      </c>
      <c r="K4" s="14" t="n">
        <v>0</v>
      </c>
      <c r="L4" s="14" t="n">
        <v>0</v>
      </c>
      <c r="M4" s="14" t="n">
        <v>0</v>
      </c>
      <c r="N4" s="14" t="n">
        <v>0</v>
      </c>
    </row>
    <row r="5">
      <c r="A5" t="inlineStr">
        <is>
          <t>Repayments</t>
        </is>
      </c>
      <c r="B5" s="14" t="n">
        <v>0</v>
      </c>
      <c r="C5" s="14" t="n">
        <v>0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0</v>
      </c>
      <c r="M5" s="14" t="n">
        <v>0</v>
      </c>
      <c r="N5" s="14" t="n">
        <v>0</v>
      </c>
    </row>
    <row r="6">
      <c r="A6" t="inlineStr">
        <is>
          <t>Ending Balance</t>
        </is>
      </c>
      <c r="B6" s="20">
        <f>B3+B4-B5</f>
        <v/>
      </c>
      <c r="C6" s="20">
        <f>C3+C4-C5</f>
        <v/>
      </c>
      <c r="D6" s="20">
        <f>D3+D4-D5</f>
        <v/>
      </c>
      <c r="E6" s="20">
        <f>E3+E4-E5</f>
        <v/>
      </c>
      <c r="F6" s="20">
        <f>F3+F4-F5</f>
        <v/>
      </c>
      <c r="G6" s="20">
        <f>G3+G4-G5</f>
        <v/>
      </c>
      <c r="H6" s="20">
        <f>H3+H4-H5</f>
        <v/>
      </c>
      <c r="I6" s="20">
        <f>I3+I4-I5</f>
        <v/>
      </c>
      <c r="J6" s="20">
        <f>J3+J4-J5</f>
        <v/>
      </c>
      <c r="K6" s="20">
        <f>K3+K4-K5</f>
        <v/>
      </c>
      <c r="L6" s="20">
        <f>L3+L4-L5</f>
        <v/>
      </c>
      <c r="M6" s="20">
        <f>M3+M4-M5</f>
        <v/>
      </c>
      <c r="N6" s="20">
        <f>N3+N4-N5</f>
        <v/>
      </c>
    </row>
    <row r="7">
      <c r="A7" t="inlineStr">
        <is>
          <t>Average Balance</t>
        </is>
      </c>
      <c r="B7" s="16">
        <f>(B3+B6)/2</f>
        <v/>
      </c>
      <c r="C7" s="16">
        <f>(C3+C6)/2</f>
        <v/>
      </c>
      <c r="D7" s="16">
        <f>(D3+D6)/2</f>
        <v/>
      </c>
      <c r="E7" s="16">
        <f>(E3+E6)/2</f>
        <v/>
      </c>
      <c r="F7" s="16">
        <f>(F3+F6)/2</f>
        <v/>
      </c>
      <c r="G7" s="16">
        <f>(G3+G6)/2</f>
        <v/>
      </c>
      <c r="H7" s="16">
        <f>(H3+H6)/2</f>
        <v/>
      </c>
      <c r="I7" s="16">
        <f>(I3+I6)/2</f>
        <v/>
      </c>
      <c r="J7" s="16">
        <f>(J3+J6)/2</f>
        <v/>
      </c>
      <c r="K7" s="16">
        <f>(K3+K6)/2</f>
        <v/>
      </c>
      <c r="L7" s="16">
        <f>(L3+L6)/2</f>
        <v/>
      </c>
      <c r="M7" s="16">
        <f>(M3+M6)/2</f>
        <v/>
      </c>
      <c r="N7" s="16">
        <f>(N3+N6)/2</f>
        <v/>
      </c>
    </row>
    <row r="8">
      <c r="A8" t="inlineStr">
        <is>
          <t>Interest Rate %</t>
        </is>
      </c>
      <c r="B8" s="12" t="n">
        <v>0.06</v>
      </c>
      <c r="C8" s="12" t="n">
        <v>0.06</v>
      </c>
      <c r="D8" s="12" t="n">
        <v>0.06</v>
      </c>
      <c r="E8" s="12" t="n">
        <v>0.06</v>
      </c>
      <c r="F8" s="12" t="n">
        <v>0.06</v>
      </c>
      <c r="G8" s="12" t="n">
        <v>0.06</v>
      </c>
      <c r="H8" s="12" t="n">
        <v>0.06</v>
      </c>
      <c r="I8" s="12" t="n">
        <v>0.06</v>
      </c>
      <c r="J8" s="12" t="n">
        <v>0.06</v>
      </c>
      <c r="K8" s="12" t="n">
        <v>0.06</v>
      </c>
      <c r="L8" s="12" t="n">
        <v>0.06</v>
      </c>
      <c r="M8" s="12" t="n">
        <v>0.06</v>
      </c>
      <c r="N8" s="12" t="n">
        <v>0.06</v>
      </c>
    </row>
    <row r="9">
      <c r="A9" t="inlineStr">
        <is>
          <t>Interest Expense</t>
        </is>
      </c>
      <c r="B9" s="16">
        <f>B7*B8</f>
        <v/>
      </c>
      <c r="C9" s="16">
        <f>C7*C8</f>
        <v/>
      </c>
      <c r="D9" s="16">
        <f>D7*D8</f>
        <v/>
      </c>
      <c r="E9" s="16">
        <f>E7*E8</f>
        <v/>
      </c>
      <c r="F9" s="16">
        <f>F7*F8</f>
        <v/>
      </c>
      <c r="G9" s="16">
        <f>G7*G8</f>
        <v/>
      </c>
      <c r="H9" s="16">
        <f>H7*H8</f>
        <v/>
      </c>
      <c r="I9" s="16">
        <f>I7*I8</f>
        <v/>
      </c>
      <c r="J9" s="16">
        <f>J7*J8</f>
        <v/>
      </c>
      <c r="K9" s="16">
        <f>K7*K8</f>
        <v/>
      </c>
      <c r="L9" s="16">
        <f>L7*L8</f>
        <v/>
      </c>
      <c r="M9" s="16">
        <f>M7*M8</f>
        <v/>
      </c>
      <c r="N9" s="16">
        <f>N7*N8</f>
        <v/>
      </c>
    </row>
    <row r="11">
      <c r="A11" s="7" t="inlineStr">
        <is>
          <t>Term Loan</t>
        </is>
      </c>
    </row>
    <row r="12">
      <c r="A12" t="inlineStr">
        <is>
          <t>Beginning Balance</t>
        </is>
      </c>
      <c r="B12" s="14" t="n">
        <v>0</v>
      </c>
      <c r="C12" s="16">
        <f>B15</f>
        <v/>
      </c>
      <c r="D12" s="16">
        <f>C15</f>
        <v/>
      </c>
      <c r="E12" s="16">
        <f>D15</f>
        <v/>
      </c>
      <c r="F12" s="16">
        <f>E15</f>
        <v/>
      </c>
      <c r="G12" s="16">
        <f>F15</f>
        <v/>
      </c>
      <c r="H12" s="16">
        <f>G15</f>
        <v/>
      </c>
      <c r="I12" s="16">
        <f>H15</f>
        <v/>
      </c>
      <c r="J12" s="16">
        <f>I15</f>
        <v/>
      </c>
      <c r="K12" s="16">
        <f>J15</f>
        <v/>
      </c>
      <c r="L12" s="16">
        <f>K15</f>
        <v/>
      </c>
      <c r="M12" s="16">
        <f>L15</f>
        <v/>
      </c>
      <c r="N12" s="16">
        <f>M15</f>
        <v/>
      </c>
    </row>
    <row r="13">
      <c r="A13" t="inlineStr">
        <is>
          <t>Mandatory Amortization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</row>
    <row r="14">
      <c r="A14" t="inlineStr">
        <is>
          <t>Optional Prepayment (Cash Sweep)</t>
        </is>
      </c>
      <c r="B14" s="16" t="n">
        <v>0</v>
      </c>
      <c r="C14" s="16" t="n">
        <v>0</v>
      </c>
      <c r="D14" s="16" t="n">
        <v>0</v>
      </c>
      <c r="E14" s="6">
        <f>E37</f>
        <v/>
      </c>
      <c r="F14" s="6">
        <f>F37</f>
        <v/>
      </c>
      <c r="G14" s="6">
        <f>G37</f>
        <v/>
      </c>
      <c r="H14" s="6">
        <f>H37</f>
        <v/>
      </c>
      <c r="I14" s="6">
        <f>I37</f>
        <v/>
      </c>
      <c r="J14" s="6">
        <f>J37</f>
        <v/>
      </c>
      <c r="K14" s="6">
        <f>K37</f>
        <v/>
      </c>
      <c r="L14" s="6">
        <f>L37</f>
        <v/>
      </c>
      <c r="M14" s="6">
        <f>M37</f>
        <v/>
      </c>
      <c r="N14" s="6">
        <f>N37</f>
        <v/>
      </c>
    </row>
    <row r="15">
      <c r="A15" t="inlineStr">
        <is>
          <t>Ending Balance</t>
        </is>
      </c>
      <c r="B15" s="20">
        <f>B12-B13-B14</f>
        <v/>
      </c>
      <c r="C15" s="20">
        <f>C12-C13-C14</f>
        <v/>
      </c>
      <c r="D15" s="20">
        <f>D12-D13-D14</f>
        <v/>
      </c>
      <c r="E15" s="20">
        <f>E12-E13-E14</f>
        <v/>
      </c>
      <c r="F15" s="20">
        <f>F12-F13-F14</f>
        <v/>
      </c>
      <c r="G15" s="20">
        <f>G12-G13-G14</f>
        <v/>
      </c>
      <c r="H15" s="20">
        <f>H12-H13-H14</f>
        <v/>
      </c>
      <c r="I15" s="20">
        <f>I12-I13-I14</f>
        <v/>
      </c>
      <c r="J15" s="20">
        <f>J12-J13-J14</f>
        <v/>
      </c>
      <c r="K15" s="20">
        <f>K12-K13-K14</f>
        <v/>
      </c>
      <c r="L15" s="20">
        <f>L12-L13-L14</f>
        <v/>
      </c>
      <c r="M15" s="20">
        <f>M12-M13-M14</f>
        <v/>
      </c>
      <c r="N15" s="20">
        <f>N12-N13-N14</f>
        <v/>
      </c>
    </row>
    <row r="16">
      <c r="A16" t="inlineStr">
        <is>
          <t>Average Balance</t>
        </is>
      </c>
      <c r="B16" s="16">
        <f>(B12+B15)/2</f>
        <v/>
      </c>
      <c r="C16" s="16">
        <f>(C12+C15)/2</f>
        <v/>
      </c>
      <c r="D16" s="16">
        <f>(D12+D15)/2</f>
        <v/>
      </c>
      <c r="E16" s="16">
        <f>(E12+E15)/2</f>
        <v/>
      </c>
      <c r="F16" s="16">
        <f>(F12+F15)/2</f>
        <v/>
      </c>
      <c r="G16" s="16">
        <f>(G12+G15)/2</f>
        <v/>
      </c>
      <c r="H16" s="16">
        <f>(H12+H15)/2</f>
        <v/>
      </c>
      <c r="I16" s="16">
        <f>(I12+I15)/2</f>
        <v/>
      </c>
      <c r="J16" s="16">
        <f>(J12+J15)/2</f>
        <v/>
      </c>
      <c r="K16" s="16">
        <f>(K12+K15)/2</f>
        <v/>
      </c>
      <c r="L16" s="16">
        <f>(L12+L15)/2</f>
        <v/>
      </c>
      <c r="M16" s="16">
        <f>(M12+M15)/2</f>
        <v/>
      </c>
      <c r="N16" s="16">
        <f>(N12+N15)/2</f>
        <v/>
      </c>
    </row>
    <row r="17">
      <c r="A17" t="inlineStr">
        <is>
          <t>Interest Rate %</t>
        </is>
      </c>
      <c r="B17" s="12" t="n">
        <v>0.07000000000000001</v>
      </c>
      <c r="C17" s="12" t="n">
        <v>0.07000000000000001</v>
      </c>
      <c r="D17" s="12" t="n">
        <v>0.07000000000000001</v>
      </c>
      <c r="E17" s="12" t="n">
        <v>0.07000000000000001</v>
      </c>
      <c r="F17" s="12" t="n">
        <v>0.07000000000000001</v>
      </c>
      <c r="G17" s="12" t="n">
        <v>0.07000000000000001</v>
      </c>
      <c r="H17" s="12" t="n">
        <v>0.07000000000000001</v>
      </c>
      <c r="I17" s="12" t="n">
        <v>0.07000000000000001</v>
      </c>
      <c r="J17" s="12" t="n">
        <v>0.07000000000000001</v>
      </c>
      <c r="K17" s="12" t="n">
        <v>0.07000000000000001</v>
      </c>
      <c r="L17" s="12" t="n">
        <v>0.07000000000000001</v>
      </c>
      <c r="M17" s="12" t="n">
        <v>0.07000000000000001</v>
      </c>
      <c r="N17" s="12" t="n">
        <v>0.07000000000000001</v>
      </c>
    </row>
    <row r="18">
      <c r="A18" t="inlineStr">
        <is>
          <t>Interest Expense</t>
        </is>
      </c>
      <c r="B18" s="16">
        <f>B16*B17</f>
        <v/>
      </c>
      <c r="C18" s="16">
        <f>C16*C17</f>
        <v/>
      </c>
      <c r="D18" s="16">
        <f>D16*D17</f>
        <v/>
      </c>
      <c r="E18" s="16">
        <f>E16*E17</f>
        <v/>
      </c>
      <c r="F18" s="16">
        <f>F16*F17</f>
        <v/>
      </c>
      <c r="G18" s="16">
        <f>G16*G17</f>
        <v/>
      </c>
      <c r="H18" s="16">
        <f>H16*H17</f>
        <v/>
      </c>
      <c r="I18" s="16">
        <f>I16*I17</f>
        <v/>
      </c>
      <c r="J18" s="16">
        <f>J16*J17</f>
        <v/>
      </c>
      <c r="K18" s="16">
        <f>K16*K17</f>
        <v/>
      </c>
      <c r="L18" s="16">
        <f>L16*L17</f>
        <v/>
      </c>
      <c r="M18" s="16">
        <f>M16*M17</f>
        <v/>
      </c>
      <c r="N18" s="16">
        <f>N16*N17</f>
        <v/>
      </c>
    </row>
    <row r="20">
      <c r="A20" s="7" t="inlineStr">
        <is>
          <t>Senior Notes</t>
        </is>
      </c>
    </row>
    <row r="21">
      <c r="A21" t="inlineStr">
        <is>
          <t>Beginning Balance</t>
        </is>
      </c>
      <c r="B21" s="14" t="n">
        <v>0</v>
      </c>
      <c r="C21" s="16">
        <f>B23</f>
        <v/>
      </c>
      <c r="D21" s="16">
        <f>C23</f>
        <v/>
      </c>
      <c r="E21" s="16">
        <f>D23</f>
        <v/>
      </c>
      <c r="F21" s="16">
        <f>E23</f>
        <v/>
      </c>
      <c r="G21" s="16">
        <f>F23</f>
        <v/>
      </c>
      <c r="H21" s="16">
        <f>G23</f>
        <v/>
      </c>
      <c r="I21" s="16">
        <f>H23</f>
        <v/>
      </c>
      <c r="J21" s="16">
        <f>I23</f>
        <v/>
      </c>
      <c r="K21" s="16">
        <f>J23</f>
        <v/>
      </c>
      <c r="L21" s="16">
        <f>K23</f>
        <v/>
      </c>
      <c r="M21" s="16">
        <f>L23</f>
        <v/>
      </c>
      <c r="N21" s="16">
        <f>M23</f>
        <v/>
      </c>
    </row>
    <row r="22">
      <c r="A22" t="inlineStr">
        <is>
          <t>Repayment at Maturity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</row>
    <row r="23">
      <c r="A23" t="inlineStr">
        <is>
          <t>Ending Balance</t>
        </is>
      </c>
      <c r="B23" s="20">
        <f>B21-B22</f>
        <v/>
      </c>
      <c r="C23" s="20">
        <f>C21-C22</f>
        <v/>
      </c>
      <c r="D23" s="20">
        <f>D21-D22</f>
        <v/>
      </c>
      <c r="E23" s="20">
        <f>E21-E22</f>
        <v/>
      </c>
      <c r="F23" s="20">
        <f>F21-F22</f>
        <v/>
      </c>
      <c r="G23" s="20">
        <f>G21-G22</f>
        <v/>
      </c>
      <c r="H23" s="20">
        <f>H21-H22</f>
        <v/>
      </c>
      <c r="I23" s="20">
        <f>I21-I22</f>
        <v/>
      </c>
      <c r="J23" s="20">
        <f>J21-J22</f>
        <v/>
      </c>
      <c r="K23" s="20">
        <f>K21-K22</f>
        <v/>
      </c>
      <c r="L23" s="20">
        <f>L21-L22</f>
        <v/>
      </c>
      <c r="M23" s="20">
        <f>M21-M22</f>
        <v/>
      </c>
      <c r="N23" s="20">
        <f>N21-N22</f>
        <v/>
      </c>
    </row>
    <row r="24">
      <c r="A24" t="inlineStr">
        <is>
          <t>Interest Rate %</t>
        </is>
      </c>
      <c r="B24" s="12" t="n">
        <v>0.05</v>
      </c>
      <c r="C24" s="12" t="n">
        <v>0.05</v>
      </c>
      <c r="D24" s="12" t="n">
        <v>0.05</v>
      </c>
      <c r="E24" s="12" t="n">
        <v>0.05</v>
      </c>
      <c r="F24" s="12" t="n">
        <v>0.05</v>
      </c>
      <c r="G24" s="12" t="n">
        <v>0.05</v>
      </c>
      <c r="H24" s="12" t="n">
        <v>0.05</v>
      </c>
      <c r="I24" s="12" t="n">
        <v>0.05</v>
      </c>
      <c r="J24" s="12" t="n">
        <v>0.05</v>
      </c>
      <c r="K24" s="12" t="n">
        <v>0.05</v>
      </c>
      <c r="L24" s="12" t="n">
        <v>0.05</v>
      </c>
      <c r="M24" s="12" t="n">
        <v>0.05</v>
      </c>
      <c r="N24" s="12" t="n">
        <v>0.05</v>
      </c>
    </row>
    <row r="25">
      <c r="A25" t="inlineStr">
        <is>
          <t>Interest Expense</t>
        </is>
      </c>
      <c r="B25" s="16">
        <f>B21*B24</f>
        <v/>
      </c>
      <c r="C25" s="16">
        <f>C21*C24</f>
        <v/>
      </c>
      <c r="D25" s="16">
        <f>D21*D24</f>
        <v/>
      </c>
      <c r="E25" s="16">
        <f>E21*E24</f>
        <v/>
      </c>
      <c r="F25" s="16">
        <f>F21*F24</f>
        <v/>
      </c>
      <c r="G25" s="16">
        <f>G21*G24</f>
        <v/>
      </c>
      <c r="H25" s="16">
        <f>H21*H24</f>
        <v/>
      </c>
      <c r="I25" s="16">
        <f>I21*I24</f>
        <v/>
      </c>
      <c r="J25" s="16">
        <f>J21*J24</f>
        <v/>
      </c>
      <c r="K25" s="16">
        <f>K21*K24</f>
        <v/>
      </c>
      <c r="L25" s="16">
        <f>L21*L24</f>
        <v/>
      </c>
      <c r="M25" s="16">
        <f>M21*M24</f>
        <v/>
      </c>
      <c r="N25" s="16">
        <f>N21*N24</f>
        <v/>
      </c>
    </row>
    <row r="27">
      <c r="A27" s="7" t="inlineStr">
        <is>
          <t>Totals</t>
        </is>
      </c>
    </row>
    <row r="28">
      <c r="A28" t="inlineStr">
        <is>
          <t>Total Beginning Debt</t>
        </is>
      </c>
      <c r="B28" s="20">
        <f>B3+B12+B21</f>
        <v/>
      </c>
      <c r="C28" s="20">
        <f>C3+C12+C21</f>
        <v/>
      </c>
      <c r="D28" s="20">
        <f>D3+D12+D21</f>
        <v/>
      </c>
      <c r="E28" s="20">
        <f>E3+E12+E21</f>
        <v/>
      </c>
      <c r="F28" s="20">
        <f>F3+F12+F21</f>
        <v/>
      </c>
      <c r="G28" s="20">
        <f>G3+G12+G21</f>
        <v/>
      </c>
      <c r="H28" s="20">
        <f>H3+H12+H21</f>
        <v/>
      </c>
      <c r="I28" s="20">
        <f>I3+I12+I21</f>
        <v/>
      </c>
      <c r="J28" s="20">
        <f>J3+J12+J21</f>
        <v/>
      </c>
      <c r="K28" s="20">
        <f>K3+K12+K21</f>
        <v/>
      </c>
      <c r="L28" s="20">
        <f>L3+L12+L21</f>
        <v/>
      </c>
      <c r="M28" s="20">
        <f>M3+M12+M21</f>
        <v/>
      </c>
      <c r="N28" s="20">
        <f>N3+N12+N21</f>
        <v/>
      </c>
    </row>
    <row r="29">
      <c r="A29" t="inlineStr">
        <is>
          <t>Total Ending Debt</t>
        </is>
      </c>
      <c r="B29" s="20">
        <f>B6+B15+B23</f>
        <v/>
      </c>
      <c r="C29" s="20">
        <f>C6+C15+C23</f>
        <v/>
      </c>
      <c r="D29" s="20">
        <f>D6+D15+D23</f>
        <v/>
      </c>
      <c r="E29" s="20">
        <f>E6+E15+E23</f>
        <v/>
      </c>
      <c r="F29" s="20">
        <f>F6+F15+F23</f>
        <v/>
      </c>
      <c r="G29" s="20">
        <f>G6+G15+G23</f>
        <v/>
      </c>
      <c r="H29" s="20">
        <f>H6+H15+H23</f>
        <v/>
      </c>
      <c r="I29" s="20">
        <f>I6+I15+I23</f>
        <v/>
      </c>
      <c r="J29" s="20">
        <f>J6+J15+J23</f>
        <v/>
      </c>
      <c r="K29" s="20">
        <f>K6+K15+K23</f>
        <v/>
      </c>
      <c r="L29" s="20">
        <f>L6+L15+L23</f>
        <v/>
      </c>
      <c r="M29" s="20">
        <f>M6+M15+M23</f>
        <v/>
      </c>
      <c r="N29" s="20">
        <f>N6+N15+N23</f>
        <v/>
      </c>
    </row>
    <row r="30">
      <c r="A30" t="inlineStr">
        <is>
          <t>Total Interest Expense</t>
        </is>
      </c>
      <c r="B30" s="20">
        <f>B9+B18+B25</f>
        <v/>
      </c>
      <c r="C30" s="20">
        <f>C9+C18+C25</f>
        <v/>
      </c>
      <c r="D30" s="20">
        <f>D9+D18+D25</f>
        <v/>
      </c>
      <c r="E30" s="20">
        <f>E9+E18+E25</f>
        <v/>
      </c>
      <c r="F30" s="20">
        <f>F9+F18+F25</f>
        <v/>
      </c>
      <c r="G30" s="20">
        <f>G9+G18+G25</f>
        <v/>
      </c>
      <c r="H30" s="20">
        <f>H9+H18+H25</f>
        <v/>
      </c>
      <c r="I30" s="20">
        <f>I9+I18+I25</f>
        <v/>
      </c>
      <c r="J30" s="20">
        <f>J9+J18+J25</f>
        <v/>
      </c>
      <c r="K30" s="20">
        <f>K9+K18+K25</f>
        <v/>
      </c>
      <c r="L30" s="20">
        <f>L9+L18+L25</f>
        <v/>
      </c>
      <c r="M30" s="20">
        <f>M9+M18+M25</f>
        <v/>
      </c>
      <c r="N30" s="20">
        <f>N9+N18+N25</f>
        <v/>
      </c>
    </row>
    <row r="31">
      <c r="A31" t="inlineStr">
        <is>
          <t>Total Mandatory Amortization</t>
        </is>
      </c>
      <c r="B31" s="16">
        <f>B13</f>
        <v/>
      </c>
      <c r="C31" s="16">
        <f>C13</f>
        <v/>
      </c>
      <c r="D31" s="16">
        <f>D13</f>
        <v/>
      </c>
      <c r="E31" s="16">
        <f>E13</f>
        <v/>
      </c>
      <c r="F31" s="16">
        <f>F13</f>
        <v/>
      </c>
      <c r="G31" s="16">
        <f>G13</f>
        <v/>
      </c>
      <c r="H31" s="16">
        <f>H13</f>
        <v/>
      </c>
      <c r="I31" s="16">
        <f>I13</f>
        <v/>
      </c>
      <c r="J31" s="16">
        <f>J13</f>
        <v/>
      </c>
      <c r="K31" s="16">
        <f>K13</f>
        <v/>
      </c>
      <c r="L31" s="16">
        <f>L13</f>
        <v/>
      </c>
      <c r="M31" s="16">
        <f>M13</f>
        <v/>
      </c>
      <c r="N31" s="16">
        <f>N13</f>
        <v/>
      </c>
    </row>
    <row r="32">
      <c r="A32" t="inlineStr">
        <is>
          <t>Total Optional Prepayment</t>
        </is>
      </c>
      <c r="B32" s="16">
        <f>B14</f>
        <v/>
      </c>
      <c r="C32" s="16">
        <f>C14</f>
        <v/>
      </c>
      <c r="D32" s="16">
        <f>D14</f>
        <v/>
      </c>
      <c r="E32" s="16">
        <f>E14</f>
        <v/>
      </c>
      <c r="F32" s="16">
        <f>F14</f>
        <v/>
      </c>
      <c r="G32" s="16">
        <f>G14</f>
        <v/>
      </c>
      <c r="H32" s="16">
        <f>H14</f>
        <v/>
      </c>
      <c r="I32" s="16">
        <f>I14</f>
        <v/>
      </c>
      <c r="J32" s="16">
        <f>J14</f>
        <v/>
      </c>
      <c r="K32" s="16">
        <f>K14</f>
        <v/>
      </c>
      <c r="L32" s="16">
        <f>L14</f>
        <v/>
      </c>
      <c r="M32" s="16">
        <f>M14</f>
        <v/>
      </c>
      <c r="N32" s="16">
        <f>N14</f>
        <v/>
      </c>
    </row>
    <row r="34">
      <c r="A34" s="7" t="inlineStr">
        <is>
          <t>Cash Sweep</t>
        </is>
      </c>
    </row>
    <row r="35">
      <c r="A35" t="inlineStr">
        <is>
          <t>Available Cash for Sweep</t>
        </is>
      </c>
      <c r="B35" s="16" t="n">
        <v>0</v>
      </c>
      <c r="C35" s="16" t="n">
        <v>0</v>
      </c>
      <c r="D35" s="16" t="n">
        <v>0</v>
      </c>
      <c r="E35" s="16">
        <f>MAX(0,CF!E11-inp_min_cash)</f>
        <v/>
      </c>
      <c r="F35" s="16">
        <f>MAX(0,CF!F11-inp_min_cash)</f>
        <v/>
      </c>
      <c r="G35" s="16">
        <f>MAX(0,CF!G11-inp_min_cash)</f>
        <v/>
      </c>
      <c r="H35" s="16">
        <f>MAX(0,CF!H11-inp_min_cash)</f>
        <v/>
      </c>
      <c r="I35" s="16">
        <f>MAX(0,CF!I11-inp_min_cash)</f>
        <v/>
      </c>
      <c r="J35" s="16">
        <f>MAX(0,CF!J11-inp_min_cash)</f>
        <v/>
      </c>
      <c r="K35" s="16">
        <f>MAX(0,CF!K11-inp_min_cash)</f>
        <v/>
      </c>
      <c r="L35" s="16">
        <f>MAX(0,CF!L11-inp_min_cash)</f>
        <v/>
      </c>
      <c r="M35" s="16">
        <f>MAX(0,CF!M11-inp_min_cash)</f>
        <v/>
      </c>
      <c r="N35" s="16">
        <f>MAX(0,CF!N11-inp_min_cash)</f>
        <v/>
      </c>
    </row>
    <row r="36">
      <c r="A36" t="inlineStr">
        <is>
          <t>Cash Sweep Applied</t>
        </is>
      </c>
      <c r="B36" s="16" t="n">
        <v>0</v>
      </c>
      <c r="C36" s="16" t="n">
        <v>0</v>
      </c>
      <c r="D36" s="16" t="n">
        <v>0</v>
      </c>
      <c r="E36" s="16">
        <f>E35*inp_cash_sweep_pct</f>
        <v/>
      </c>
      <c r="F36" s="16">
        <f>F35*inp_cash_sweep_pct</f>
        <v/>
      </c>
      <c r="G36" s="16">
        <f>G35*inp_cash_sweep_pct</f>
        <v/>
      </c>
      <c r="H36" s="16">
        <f>H35*inp_cash_sweep_pct</f>
        <v/>
      </c>
      <c r="I36" s="16">
        <f>I35*inp_cash_sweep_pct</f>
        <v/>
      </c>
      <c r="J36" s="16">
        <f>J35*inp_cash_sweep_pct</f>
        <v/>
      </c>
      <c r="K36" s="16">
        <f>K35*inp_cash_sweep_pct</f>
        <v/>
      </c>
      <c r="L36" s="16">
        <f>L35*inp_cash_sweep_pct</f>
        <v/>
      </c>
      <c r="M36" s="16">
        <f>M35*inp_cash_sweep_pct</f>
        <v/>
      </c>
      <c r="N36" s="16">
        <f>N35*inp_cash_sweep_pct</f>
        <v/>
      </c>
    </row>
    <row r="37">
      <c r="A37" t="inlineStr">
        <is>
          <t>Allocated to Term Loan</t>
        </is>
      </c>
      <c r="B37" s="16" t="n">
        <v>0</v>
      </c>
      <c r="C37" s="16" t="n">
        <v>0</v>
      </c>
      <c r="D37" s="16" t="n">
        <v>0</v>
      </c>
      <c r="E37" s="16">
        <f>E36</f>
        <v/>
      </c>
      <c r="F37" s="16">
        <f>F36</f>
        <v/>
      </c>
      <c r="G37" s="16">
        <f>G36</f>
        <v/>
      </c>
      <c r="H37" s="16">
        <f>H36</f>
        <v/>
      </c>
      <c r="I37" s="16">
        <f>I36</f>
        <v/>
      </c>
      <c r="J37" s="16">
        <f>J36</f>
        <v/>
      </c>
      <c r="K37" s="16">
        <f>K36</f>
        <v/>
      </c>
      <c r="L37" s="16">
        <f>L36</f>
        <v/>
      </c>
      <c r="M37" s="16">
        <f>M36</f>
        <v/>
      </c>
      <c r="N37" s="16">
        <f>N36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E1" s="17" t="inlineStr">
        <is>
          <t>2026E</t>
        </is>
      </c>
      <c r="F1" s="17" t="inlineStr">
        <is>
          <t>2027E</t>
        </is>
      </c>
      <c r="G1" s="17" t="inlineStr">
        <is>
          <t>2028E</t>
        </is>
      </c>
      <c r="H1" s="17" t="inlineStr">
        <is>
          <t>2029E</t>
        </is>
      </c>
      <c r="I1" s="17" t="inlineStr">
        <is>
          <t>2030E</t>
        </is>
      </c>
      <c r="J1" s="17" t="inlineStr">
        <is>
          <t>2031E</t>
        </is>
      </c>
      <c r="K1" s="17" t="inlineStr">
        <is>
          <t>2032E</t>
        </is>
      </c>
      <c r="L1" s="17" t="inlineStr">
        <is>
          <t>2033E</t>
        </is>
      </c>
      <c r="M1" s="17" t="inlineStr">
        <is>
          <t>2034E</t>
        </is>
      </c>
      <c r="N1" s="17" t="inlineStr">
        <is>
          <t>2035E</t>
        </is>
      </c>
    </row>
    <row r="2">
      <c r="A2" t="inlineStr">
        <is>
          <t>Year-end EBITDA</t>
        </is>
      </c>
      <c r="E2" s="6">
        <f>IS!E8</f>
        <v/>
      </c>
      <c r="F2" s="6">
        <f>IS!F8</f>
        <v/>
      </c>
      <c r="G2" s="6">
        <f>IS!G8</f>
        <v/>
      </c>
      <c r="H2" s="6">
        <f>IS!H8</f>
        <v/>
      </c>
      <c r="I2" s="6">
        <f>IS!I8</f>
        <v/>
      </c>
      <c r="J2" s="6">
        <f>IS!J8</f>
        <v/>
      </c>
      <c r="K2" s="6">
        <f>IS!K8</f>
        <v/>
      </c>
      <c r="L2" s="6">
        <f>IS!L8</f>
        <v/>
      </c>
      <c r="M2" s="6">
        <f>IS!M8</f>
        <v/>
      </c>
      <c r="N2" s="6">
        <f>IS!N8</f>
        <v/>
      </c>
    </row>
    <row r="3">
      <c r="A3" t="inlineStr">
        <is>
          <t>Exit EBITDA Multiple</t>
        </is>
      </c>
      <c r="E3" s="22">
        <f>Inputs!E$36</f>
        <v/>
      </c>
      <c r="F3" s="22">
        <f>Inputs!F$36</f>
        <v/>
      </c>
      <c r="G3" s="22">
        <f>Inputs!G$36</f>
        <v/>
      </c>
      <c r="H3" s="22">
        <f>Inputs!H$36</f>
        <v/>
      </c>
      <c r="I3" s="22">
        <f>Inputs!I$36</f>
        <v/>
      </c>
      <c r="J3" s="22">
        <f>Inputs!J$36</f>
        <v/>
      </c>
      <c r="K3" s="22">
        <f>Inputs!K$36</f>
        <v/>
      </c>
      <c r="L3" s="22">
        <f>Inputs!L$36</f>
        <v/>
      </c>
      <c r="M3" s="22">
        <f>Inputs!M$36</f>
        <v/>
      </c>
      <c r="N3" s="22">
        <f>Inputs!N$36</f>
        <v/>
      </c>
    </row>
    <row r="4">
      <c r="A4" t="inlineStr">
        <is>
          <t>Implied Enterprise Value</t>
        </is>
      </c>
      <c r="E4" s="20">
        <f>E2*E3</f>
        <v/>
      </c>
      <c r="F4" s="20">
        <f>F2*F3</f>
        <v/>
      </c>
      <c r="G4" s="20">
        <f>G2*G3</f>
        <v/>
      </c>
      <c r="H4" s="20">
        <f>H2*H3</f>
        <v/>
      </c>
      <c r="I4" s="20">
        <f>I2*I3</f>
        <v/>
      </c>
      <c r="J4" s="20">
        <f>J2*J3</f>
        <v/>
      </c>
      <c r="K4" s="20">
        <f>K2*K3</f>
        <v/>
      </c>
      <c r="L4" s="20">
        <f>L2*L3</f>
        <v/>
      </c>
      <c r="M4" s="20">
        <f>M2*M3</f>
        <v/>
      </c>
      <c r="N4" s="20">
        <f>N2*N3</f>
        <v/>
      </c>
    </row>
    <row r="5">
      <c r="A5" t="inlineStr">
        <is>
          <t>(Less) Year-end Total Debt</t>
        </is>
      </c>
      <c r="E5" s="6">
        <f>-Debt!E29</f>
        <v/>
      </c>
      <c r="F5" s="6">
        <f>-Debt!F29</f>
        <v/>
      </c>
      <c r="G5" s="6">
        <f>-Debt!G29</f>
        <v/>
      </c>
      <c r="H5" s="6">
        <f>-Debt!H29</f>
        <v/>
      </c>
      <c r="I5" s="6">
        <f>-Debt!I29</f>
        <v/>
      </c>
      <c r="J5" s="6">
        <f>-Debt!J29</f>
        <v/>
      </c>
      <c r="K5" s="6">
        <f>-Debt!K29</f>
        <v/>
      </c>
      <c r="L5" s="6">
        <f>-Debt!L29</f>
        <v/>
      </c>
      <c r="M5" s="6">
        <f>-Debt!M29</f>
        <v/>
      </c>
      <c r="N5" s="6">
        <f>-Debt!N29</f>
        <v/>
      </c>
    </row>
    <row r="6">
      <c r="A6" t="inlineStr">
        <is>
          <t>Plus: Year-end Cash</t>
        </is>
      </c>
      <c r="E6" s="6">
        <f>CF!E11</f>
        <v/>
      </c>
      <c r="F6" s="6">
        <f>CF!F11</f>
        <v/>
      </c>
      <c r="G6" s="6">
        <f>CF!G11</f>
        <v/>
      </c>
      <c r="H6" s="6">
        <f>CF!H11</f>
        <v/>
      </c>
      <c r="I6" s="6">
        <f>CF!I11</f>
        <v/>
      </c>
      <c r="J6" s="6">
        <f>CF!J11</f>
        <v/>
      </c>
      <c r="K6" s="6">
        <f>CF!K11</f>
        <v/>
      </c>
      <c r="L6" s="6">
        <f>CF!L11</f>
        <v/>
      </c>
      <c r="M6" s="6">
        <f>CF!M11</f>
        <v/>
      </c>
      <c r="N6" s="6">
        <f>CF!N11</f>
        <v/>
      </c>
    </row>
    <row r="7">
      <c r="A7" t="inlineStr">
        <is>
          <t>(Less) Minority Interest</t>
        </is>
      </c>
      <c r="E7" s="6">
        <f>-inp_minority_interest</f>
        <v/>
      </c>
      <c r="F7" s="6">
        <f>-inp_minority_interest</f>
        <v/>
      </c>
      <c r="G7" s="6">
        <f>-inp_minority_interest</f>
        <v/>
      </c>
      <c r="H7" s="6">
        <f>-inp_minority_interest</f>
        <v/>
      </c>
      <c r="I7" s="6">
        <f>-inp_minority_interest</f>
        <v/>
      </c>
      <c r="J7" s="6">
        <f>-inp_minority_interest</f>
        <v/>
      </c>
      <c r="K7" s="6">
        <f>-inp_minority_interest</f>
        <v/>
      </c>
      <c r="L7" s="6">
        <f>-inp_minority_interest</f>
        <v/>
      </c>
      <c r="M7" s="6">
        <f>-inp_minority_interest</f>
        <v/>
      </c>
      <c r="N7" s="6">
        <f>-inp_minority_interest</f>
        <v/>
      </c>
    </row>
    <row r="8">
      <c r="A8" t="inlineStr">
        <is>
          <t>Plus: Equity Investments</t>
        </is>
      </c>
      <c r="E8" s="6">
        <f>inp_equity_investments</f>
        <v/>
      </c>
      <c r="F8" s="6">
        <f>inp_equity_investments</f>
        <v/>
      </c>
      <c r="G8" s="6">
        <f>inp_equity_investments</f>
        <v/>
      </c>
      <c r="H8" s="6">
        <f>inp_equity_investments</f>
        <v/>
      </c>
      <c r="I8" s="6">
        <f>inp_equity_investments</f>
        <v/>
      </c>
      <c r="J8" s="6">
        <f>inp_equity_investments</f>
        <v/>
      </c>
      <c r="K8" s="6">
        <f>inp_equity_investments</f>
        <v/>
      </c>
      <c r="L8" s="6">
        <f>inp_equity_investments</f>
        <v/>
      </c>
      <c r="M8" s="6">
        <f>inp_equity_investments</f>
        <v/>
      </c>
      <c r="N8" s="6">
        <f>inp_equity_investments</f>
        <v/>
      </c>
    </row>
    <row r="9">
      <c r="A9" t="inlineStr">
        <is>
          <t>Implied Equity Value</t>
        </is>
      </c>
      <c r="E9" s="20">
        <f>E4+E5+E6+E7+E8</f>
        <v/>
      </c>
      <c r="F9" s="20">
        <f>F4+F5+F6+F7+F8</f>
        <v/>
      </c>
      <c r="G9" s="20">
        <f>G4+G5+G6+G7+G8</f>
        <v/>
      </c>
      <c r="H9" s="20">
        <f>H4+H5+H6+H7+H8</f>
        <v/>
      </c>
      <c r="I9" s="20">
        <f>I4+I5+I6+I7+I8</f>
        <v/>
      </c>
      <c r="J9" s="20">
        <f>J4+J5+J6+J7+J8</f>
        <v/>
      </c>
      <c r="K9" s="20">
        <f>K4+K5+K6+K7+K8</f>
        <v/>
      </c>
      <c r="L9" s="20">
        <f>L4+L5+L6+L7+L8</f>
        <v/>
      </c>
      <c r="M9" s="20">
        <f>M4+M5+M6+M7+M8</f>
        <v/>
      </c>
      <c r="N9" s="20">
        <f>N4+N5+N6+N7+N8</f>
        <v/>
      </c>
    </row>
    <row r="10">
      <c r="A10" t="inlineStr">
        <is>
          <t>/ Diluted Shares Outstanding</t>
        </is>
      </c>
      <c r="E10" s="6">
        <f>IS!E19</f>
        <v/>
      </c>
      <c r="F10" s="6">
        <f>IS!F19</f>
        <v/>
      </c>
      <c r="G10" s="6">
        <f>IS!G19</f>
        <v/>
      </c>
      <c r="H10" s="6">
        <f>IS!H19</f>
        <v/>
      </c>
      <c r="I10" s="6">
        <f>IS!I19</f>
        <v/>
      </c>
      <c r="J10" s="6">
        <f>IS!J19</f>
        <v/>
      </c>
      <c r="K10" s="6">
        <f>IS!K19</f>
        <v/>
      </c>
      <c r="L10" s="6">
        <f>IS!L19</f>
        <v/>
      </c>
      <c r="M10" s="6">
        <f>IS!M19</f>
        <v/>
      </c>
      <c r="N10" s="6">
        <f>IS!N19</f>
        <v/>
      </c>
    </row>
    <row r="11">
      <c r="A11" t="inlineStr">
        <is>
          <t>Implied Price per Share</t>
        </is>
      </c>
      <c r="E11" s="23">
        <f>IFERROR(E9/E10,0)</f>
        <v/>
      </c>
      <c r="F11" s="23">
        <f>IFERROR(F9/F10,0)</f>
        <v/>
      </c>
      <c r="G11" s="23">
        <f>IFERROR(G9/G10,0)</f>
        <v/>
      </c>
      <c r="H11" s="23">
        <f>IFERROR(H9/H10,0)</f>
        <v/>
      </c>
      <c r="I11" s="23">
        <f>IFERROR(I9/I10,0)</f>
        <v/>
      </c>
      <c r="J11" s="23">
        <f>IFERROR(J9/J10,0)</f>
        <v/>
      </c>
      <c r="K11" s="23">
        <f>IFERROR(K9/K10,0)</f>
        <v/>
      </c>
      <c r="L11" s="23">
        <f>IFERROR(L9/L10,0)</f>
        <v/>
      </c>
      <c r="M11" s="23">
        <f>IFERROR(M9/M10,0)</f>
        <v/>
      </c>
      <c r="N11" s="23">
        <f>IFERROR(N9/N10,0)</f>
        <v/>
      </c>
    </row>
    <row r="12">
      <c r="A12" t="inlineStr">
        <is>
          <t>Implied IRR from Today</t>
        </is>
      </c>
      <c r="E12" s="19">
        <f>IFERROR((E11/inp_current_price)^(1/1)-1,0)</f>
        <v/>
      </c>
      <c r="F12" s="19">
        <f>IFERROR((F11/inp_current_price)^(1/2)-1,0)</f>
        <v/>
      </c>
      <c r="G12" s="19">
        <f>IFERROR((G11/inp_current_price)^(1/3)-1,0)</f>
        <v/>
      </c>
      <c r="H12" s="19">
        <f>IFERROR((H11/inp_current_price)^(1/4)-1,0)</f>
        <v/>
      </c>
      <c r="I12" s="19">
        <f>IFERROR((I11/inp_current_price)^(1/5)-1,0)</f>
        <v/>
      </c>
      <c r="J12" s="19">
        <f>IFERROR((J11/inp_current_price)^(1/6)-1,0)</f>
        <v/>
      </c>
      <c r="K12" s="19">
        <f>IFERROR((K11/inp_current_price)^(1/7)-1,0)</f>
        <v/>
      </c>
      <c r="L12" s="19">
        <f>IFERROR((L11/inp_current_price)^(1/8)-1,0)</f>
        <v/>
      </c>
      <c r="M12" s="19">
        <f>IFERROR((M11/inp_current_price)^(1/9)-1,0)</f>
        <v/>
      </c>
      <c r="N12" s="19">
        <f>IFERROR((N11/inp_current_price)^(1/10)-1,0)</f>
        <v/>
      </c>
    </row>
    <row r="13">
      <c r="A13" t="inlineStr">
        <is>
          <t>Implied MOIC</t>
        </is>
      </c>
      <c r="E13" s="24">
        <f>IFERROR(E11/inp_current_price,0)</f>
        <v/>
      </c>
      <c r="F13" s="24">
        <f>IFERROR(F11/inp_current_price,0)</f>
        <v/>
      </c>
      <c r="G13" s="24">
        <f>IFERROR(G11/inp_current_price,0)</f>
        <v/>
      </c>
      <c r="H13" s="24">
        <f>IFERROR(H11/inp_current_price,0)</f>
        <v/>
      </c>
      <c r="I13" s="24">
        <f>IFERROR(I11/inp_current_price,0)</f>
        <v/>
      </c>
      <c r="J13" s="24">
        <f>IFERROR(J11/inp_current_price,0)</f>
        <v/>
      </c>
      <c r="K13" s="24">
        <f>IFERROR(K11/inp_current_price,0)</f>
        <v/>
      </c>
      <c r="L13" s="24">
        <f>IFERROR(L11/inp_current_price,0)</f>
        <v/>
      </c>
      <c r="M13" s="24">
        <f>IFERROR(M11/inp_current_price,0)</f>
        <v/>
      </c>
      <c r="N13" s="24">
        <f>IFERROR(N11/inp_current_price,0)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Company Name</t>
        </is>
      </c>
      <c r="B1" s="3">
        <f>inp_company_name</f>
        <v/>
      </c>
    </row>
    <row r="2">
      <c r="A2" s="2" t="inlineStr">
        <is>
          <t>Ticker</t>
        </is>
      </c>
      <c r="B2" s="3">
        <f>inp_ticker</f>
        <v/>
      </c>
    </row>
    <row r="3">
      <c r="A3" s="2" t="inlineStr">
        <is>
          <t>Sector</t>
        </is>
      </c>
      <c r="B3" s="3">
        <f>inp_sector</f>
        <v/>
      </c>
    </row>
    <row r="5">
      <c r="A5" s="7" t="inlineStr">
        <is>
          <t>Financial Summary</t>
        </is>
      </c>
    </row>
    <row r="6">
      <c r="B6" s="17" t="inlineStr">
        <is>
          <t>2023A</t>
        </is>
      </c>
      <c r="C6" s="17" t="inlineStr">
        <is>
          <t>2024A</t>
        </is>
      </c>
      <c r="D6" s="17" t="inlineStr">
        <is>
          <t>2025A</t>
        </is>
      </c>
      <c r="E6" s="17" t="inlineStr">
        <is>
          <t>2026E</t>
        </is>
      </c>
      <c r="F6" s="17" t="inlineStr">
        <is>
          <t>2027E</t>
        </is>
      </c>
      <c r="G6" s="17" t="inlineStr">
        <is>
          <t>2028E</t>
        </is>
      </c>
      <c r="H6" s="17" t="inlineStr">
        <is>
          <t>2029E</t>
        </is>
      </c>
      <c r="I6" s="17" t="inlineStr">
        <is>
          <t>2030E</t>
        </is>
      </c>
      <c r="J6" s="17" t="inlineStr">
        <is>
          <t>2031E</t>
        </is>
      </c>
      <c r="K6" s="17" t="inlineStr">
        <is>
          <t>2032E</t>
        </is>
      </c>
      <c r="L6" s="17" t="inlineStr">
        <is>
          <t>2033E</t>
        </is>
      </c>
      <c r="M6" s="17" t="inlineStr">
        <is>
          <t>2034E</t>
        </is>
      </c>
      <c r="N6" s="17" t="inlineStr">
        <is>
          <t>2035E</t>
        </is>
      </c>
    </row>
    <row r="7">
      <c r="A7" t="inlineStr">
        <is>
          <t>Revenue</t>
        </is>
      </c>
      <c r="B7" s="6">
        <f>IS!B2</f>
        <v/>
      </c>
      <c r="C7" s="6">
        <f>IS!C2</f>
        <v/>
      </c>
      <c r="D7" s="6">
        <f>IS!D2</f>
        <v/>
      </c>
      <c r="E7" s="6">
        <f>IS!E2</f>
        <v/>
      </c>
      <c r="F7" s="6">
        <f>IS!F2</f>
        <v/>
      </c>
      <c r="G7" s="6">
        <f>IS!G2</f>
        <v/>
      </c>
      <c r="H7" s="6">
        <f>IS!H2</f>
        <v/>
      </c>
      <c r="I7" s="6">
        <f>IS!I2</f>
        <v/>
      </c>
      <c r="J7" s="6">
        <f>IS!J2</f>
        <v/>
      </c>
      <c r="K7" s="6">
        <f>IS!K2</f>
        <v/>
      </c>
      <c r="L7" s="6">
        <f>IS!L2</f>
        <v/>
      </c>
      <c r="M7" s="6">
        <f>IS!M2</f>
        <v/>
      </c>
      <c r="N7" s="6">
        <f>IS!N2</f>
        <v/>
      </c>
    </row>
    <row r="8">
      <c r="A8" t="inlineStr">
        <is>
          <t>Revenue Growth %</t>
        </is>
      </c>
      <c r="B8" s="13">
        <f>IS!B3</f>
        <v/>
      </c>
      <c r="C8" s="13">
        <f>IS!C3</f>
        <v/>
      </c>
      <c r="D8" s="13">
        <f>IS!D3</f>
        <v/>
      </c>
      <c r="E8" s="13">
        <f>IS!E3</f>
        <v/>
      </c>
      <c r="F8" s="13">
        <f>IS!F3</f>
        <v/>
      </c>
      <c r="G8" s="13">
        <f>IS!G3</f>
        <v/>
      </c>
      <c r="H8" s="13">
        <f>IS!H3</f>
        <v/>
      </c>
      <c r="I8" s="13">
        <f>IS!I3</f>
        <v/>
      </c>
      <c r="J8" s="13">
        <f>IS!J3</f>
        <v/>
      </c>
      <c r="K8" s="13">
        <f>IS!K3</f>
        <v/>
      </c>
      <c r="L8" s="13">
        <f>IS!L3</f>
        <v/>
      </c>
      <c r="M8" s="13">
        <f>IS!M3</f>
        <v/>
      </c>
      <c r="N8" s="13">
        <f>IS!N3</f>
        <v/>
      </c>
    </row>
    <row r="9">
      <c r="A9" t="inlineStr">
        <is>
          <t>EBITDA</t>
        </is>
      </c>
      <c r="B9" s="6">
        <f>IS!B8</f>
        <v/>
      </c>
      <c r="C9" s="6">
        <f>IS!C8</f>
        <v/>
      </c>
      <c r="D9" s="6">
        <f>IS!D8</f>
        <v/>
      </c>
      <c r="E9" s="6">
        <f>IS!E8</f>
        <v/>
      </c>
      <c r="F9" s="6">
        <f>IS!F8</f>
        <v/>
      </c>
      <c r="G9" s="6">
        <f>IS!G8</f>
        <v/>
      </c>
      <c r="H9" s="6">
        <f>IS!H8</f>
        <v/>
      </c>
      <c r="I9" s="6">
        <f>IS!I8</f>
        <v/>
      </c>
      <c r="J9" s="6">
        <f>IS!J8</f>
        <v/>
      </c>
      <c r="K9" s="6">
        <f>IS!K8</f>
        <v/>
      </c>
      <c r="L9" s="6">
        <f>IS!L8</f>
        <v/>
      </c>
      <c r="M9" s="6">
        <f>IS!M8</f>
        <v/>
      </c>
      <c r="N9" s="6">
        <f>IS!N8</f>
        <v/>
      </c>
    </row>
    <row r="10">
      <c r="A10" t="inlineStr">
        <is>
          <t>EBITDA Margin %</t>
        </is>
      </c>
      <c r="B10" s="13">
        <f>IS!B9</f>
        <v/>
      </c>
      <c r="C10" s="13">
        <f>IS!C9</f>
        <v/>
      </c>
      <c r="D10" s="13">
        <f>IS!D9</f>
        <v/>
      </c>
      <c r="E10" s="13">
        <f>IS!E9</f>
        <v/>
      </c>
      <c r="F10" s="13">
        <f>IS!F9</f>
        <v/>
      </c>
      <c r="G10" s="13">
        <f>IS!G9</f>
        <v/>
      </c>
      <c r="H10" s="13">
        <f>IS!H9</f>
        <v/>
      </c>
      <c r="I10" s="13">
        <f>IS!I9</f>
        <v/>
      </c>
      <c r="J10" s="13">
        <f>IS!J9</f>
        <v/>
      </c>
      <c r="K10" s="13">
        <f>IS!K9</f>
        <v/>
      </c>
      <c r="L10" s="13">
        <f>IS!L9</f>
        <v/>
      </c>
      <c r="M10" s="13">
        <f>IS!M9</f>
        <v/>
      </c>
      <c r="N10" s="13">
        <f>IS!N9</f>
        <v/>
      </c>
    </row>
    <row r="11">
      <c r="A11" t="inlineStr">
        <is>
          <t>Levered Free Cash Flow</t>
        </is>
      </c>
      <c r="B11" s="6">
        <f>CF!B6</f>
        <v/>
      </c>
      <c r="C11" s="6">
        <f>CF!C6</f>
        <v/>
      </c>
      <c r="D11" s="6">
        <f>CF!D6</f>
        <v/>
      </c>
      <c r="E11" s="6">
        <f>CF!E6</f>
        <v/>
      </c>
      <c r="F11" s="6">
        <f>CF!F6</f>
        <v/>
      </c>
      <c r="G11" s="6">
        <f>CF!G6</f>
        <v/>
      </c>
      <c r="H11" s="6">
        <f>CF!H6</f>
        <v/>
      </c>
      <c r="I11" s="6">
        <f>CF!I6</f>
        <v/>
      </c>
      <c r="J11" s="6">
        <f>CF!J6</f>
        <v/>
      </c>
      <c r="K11" s="6">
        <f>CF!K6</f>
        <v/>
      </c>
      <c r="L11" s="6">
        <f>CF!L6</f>
        <v/>
      </c>
      <c r="M11" s="6">
        <f>CF!M6</f>
        <v/>
      </c>
      <c r="N11" s="6">
        <f>CF!N6</f>
        <v/>
      </c>
    </row>
    <row r="12">
      <c r="A12" t="inlineStr">
        <is>
          <t>LFCF Margin %</t>
        </is>
      </c>
      <c r="B12" s="19">
        <f>IFERROR(B11/B7,0)</f>
        <v/>
      </c>
      <c r="C12" s="19">
        <f>IFERROR(C11/C7,0)</f>
        <v/>
      </c>
      <c r="D12" s="19">
        <f>IFERROR(D11/D7,0)</f>
        <v/>
      </c>
      <c r="E12" s="19">
        <f>IFERROR(E11/E7,0)</f>
        <v/>
      </c>
      <c r="F12" s="19">
        <f>IFERROR(F11/F7,0)</f>
        <v/>
      </c>
      <c r="G12" s="19">
        <f>IFERROR(G11/G7,0)</f>
        <v/>
      </c>
      <c r="H12" s="19">
        <f>IFERROR(H11/H7,0)</f>
        <v/>
      </c>
      <c r="I12" s="19">
        <f>IFERROR(I11/I7,0)</f>
        <v/>
      </c>
      <c r="J12" s="19">
        <f>IFERROR(J11/J7,0)</f>
        <v/>
      </c>
      <c r="K12" s="19">
        <f>IFERROR(K11/K7,0)</f>
        <v/>
      </c>
      <c r="L12" s="19">
        <f>IFERROR(L11/L7,0)</f>
        <v/>
      </c>
      <c r="M12" s="19">
        <f>IFERROR(M11/M7,0)</f>
        <v/>
      </c>
      <c r="N12" s="19">
        <f>IFERROR(N11/N7,0)</f>
        <v/>
      </c>
    </row>
    <row r="13">
      <c r="A13" t="inlineStr">
        <is>
          <t>Net Debt</t>
        </is>
      </c>
      <c r="B13" s="16">
        <f>Debt!B29-CF!B11</f>
        <v/>
      </c>
      <c r="C13" s="16">
        <f>Debt!C29-CF!C11</f>
        <v/>
      </c>
      <c r="D13" s="16">
        <f>Debt!D29-CF!D11</f>
        <v/>
      </c>
      <c r="E13" s="16">
        <f>Debt!E29-CF!E11</f>
        <v/>
      </c>
      <c r="F13" s="16">
        <f>Debt!F29-CF!F11</f>
        <v/>
      </c>
      <c r="G13" s="16">
        <f>Debt!G29-CF!G11</f>
        <v/>
      </c>
      <c r="H13" s="16">
        <f>Debt!H29-CF!H11</f>
        <v/>
      </c>
      <c r="I13" s="16">
        <f>Debt!I29-CF!I11</f>
        <v/>
      </c>
      <c r="J13" s="16">
        <f>Debt!J29-CF!J11</f>
        <v/>
      </c>
      <c r="K13" s="16">
        <f>Debt!K29-CF!K11</f>
        <v/>
      </c>
      <c r="L13" s="16">
        <f>Debt!L29-CF!L11</f>
        <v/>
      </c>
      <c r="M13" s="16">
        <f>Debt!M29-CF!M11</f>
        <v/>
      </c>
      <c r="N13" s="16">
        <f>Debt!N29-CF!N11</f>
        <v/>
      </c>
    </row>
    <row r="14">
      <c r="A14" t="inlineStr">
        <is>
          <t>Net Leverage (Net Debt / EBITDA)</t>
        </is>
      </c>
      <c r="B14" s="25">
        <f>IFERROR(B13/B9,0)</f>
        <v/>
      </c>
      <c r="C14" s="25">
        <f>IFERROR(C13/C9,0)</f>
        <v/>
      </c>
      <c r="D14" s="25">
        <f>IFERROR(D13/D9,0)</f>
        <v/>
      </c>
      <c r="E14" s="25">
        <f>IFERROR(E13/E9,0)</f>
        <v/>
      </c>
      <c r="F14" s="25">
        <f>IFERROR(F13/F9,0)</f>
        <v/>
      </c>
      <c r="G14" s="25">
        <f>IFERROR(G13/G9,0)</f>
        <v/>
      </c>
      <c r="H14" s="25">
        <f>IFERROR(H13/H9,0)</f>
        <v/>
      </c>
      <c r="I14" s="25">
        <f>IFERROR(I13/I9,0)</f>
        <v/>
      </c>
      <c r="J14" s="25">
        <f>IFERROR(J13/J9,0)</f>
        <v/>
      </c>
      <c r="K14" s="25">
        <f>IFERROR(K13/K9,0)</f>
        <v/>
      </c>
      <c r="L14" s="25">
        <f>IFERROR(L13/L9,0)</f>
        <v/>
      </c>
      <c r="M14" s="25">
        <f>IFERROR(M13/M9,0)</f>
        <v/>
      </c>
      <c r="N14" s="25">
        <f>IFERROR(N13/N9,0)</f>
        <v/>
      </c>
    </row>
    <row r="16">
      <c r="A16" s="7" t="inlineStr">
        <is>
          <t>Returns Table</t>
        </is>
      </c>
    </row>
    <row r="17">
      <c r="A17" s="17" t="inlineStr">
        <is>
          <t>Year</t>
        </is>
      </c>
      <c r="B17" s="17" t="inlineStr">
        <is>
          <t>Implied Price per Share</t>
        </is>
      </c>
      <c r="C17" s="17" t="inlineStr">
        <is>
          <t>Implied IRR</t>
        </is>
      </c>
      <c r="D17" s="17" t="inlineStr">
        <is>
          <t>Implied MOIC</t>
        </is>
      </c>
    </row>
    <row r="18">
      <c r="A18" s="2" t="inlineStr">
        <is>
          <t>Y1 (2026E)</t>
        </is>
      </c>
      <c r="B18" s="26">
        <f>Valuation!E11</f>
        <v/>
      </c>
      <c r="C18" s="13">
        <f>Valuation!E12</f>
        <v/>
      </c>
      <c r="D18" s="22">
        <f>Valuation!E13</f>
        <v/>
      </c>
    </row>
    <row r="19">
      <c r="A19" s="2" t="inlineStr">
        <is>
          <t>Y3 (2028E)</t>
        </is>
      </c>
      <c r="B19" s="26">
        <f>Valuation!G11</f>
        <v/>
      </c>
      <c r="C19" s="13">
        <f>Valuation!G12</f>
        <v/>
      </c>
      <c r="D19" s="22">
        <f>Valuation!G13</f>
        <v/>
      </c>
    </row>
    <row r="20">
      <c r="A20" s="2" t="inlineStr">
        <is>
          <t>Y5 (2030E)</t>
        </is>
      </c>
      <c r="B20" s="26">
        <f>Valuation!I11</f>
        <v/>
      </c>
      <c r="C20" s="13">
        <f>Valuation!I12</f>
        <v/>
      </c>
      <c r="D20" s="22">
        <f>Valuation!I13</f>
        <v/>
      </c>
    </row>
    <row r="21">
      <c r="A21" s="2" t="inlineStr">
        <is>
          <t>Y10 (2035E)</t>
        </is>
      </c>
      <c r="B21" s="26">
        <f>Valuation!N11</f>
        <v/>
      </c>
      <c r="C21" s="13">
        <f>Valuation!N12</f>
        <v/>
      </c>
      <c r="D21" s="22">
        <f>Valuation!N13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Exit Multiple Sensitivity</t>
        </is>
      </c>
    </row>
    <row r="2">
      <c r="A2" t="inlineStr">
        <is>
          <t>Target Year Offset (1 = first projection year)</t>
        </is>
      </c>
      <c r="B2" s="9" t="n">
        <v>5</v>
      </c>
    </row>
    <row r="4">
      <c r="A4" s="2" t="inlineStr">
        <is>
          <t>Exit Multiple</t>
        </is>
      </c>
      <c r="B4" s="2">
        <f>"Implied Price per Share at Year " &amp; sens_target_year_offset</f>
        <v/>
      </c>
    </row>
    <row r="5">
      <c r="A5" s="18" t="n">
        <v>6</v>
      </c>
      <c r="B5" s="21">
        <f>(INDEX(IS!$E$8:$N$8,sens_target_year_offset)*$A5-INDEX(Debt!$E$29:$N$29,sens_target_year_offset)+INDEX(CF!$E$11:$N$11,sens_target_year_offset)-inp_minority_interest+inp_equity_investments)/INDEX(IS!$E$19:$N$19,sens_target_year_offset)</f>
        <v/>
      </c>
    </row>
    <row r="6">
      <c r="A6" s="18" t="n">
        <v>7</v>
      </c>
      <c r="B6" s="21">
        <f>(INDEX(IS!$E$8:$N$8,sens_target_year_offset)*$A6-INDEX(Debt!$E$29:$N$29,sens_target_year_offset)+INDEX(CF!$E$11:$N$11,sens_target_year_offset)-inp_minority_interest+inp_equity_investments)/INDEX(IS!$E$19:$N$19,sens_target_year_offset)</f>
        <v/>
      </c>
    </row>
    <row r="7">
      <c r="A7" s="18" t="n">
        <v>8</v>
      </c>
      <c r="B7" s="21">
        <f>(INDEX(IS!$E$8:$N$8,sens_target_year_offset)*$A7-INDEX(Debt!$E$29:$N$29,sens_target_year_offset)+INDEX(CF!$E$11:$N$11,sens_target_year_offset)-inp_minority_interest+inp_equity_investments)/INDEX(IS!$E$19:$N$19,sens_target_year_offset)</f>
        <v/>
      </c>
    </row>
    <row r="8">
      <c r="A8" s="18" t="n">
        <v>9</v>
      </c>
      <c r="B8" s="21">
        <f>(INDEX(IS!$E$8:$N$8,sens_target_year_offset)*$A8-INDEX(Debt!$E$29:$N$29,sens_target_year_offset)+INDEX(CF!$E$11:$N$11,sens_target_year_offset)-inp_minority_interest+inp_equity_investments)/INDEX(IS!$E$19:$N$19,sens_target_year_offset)</f>
        <v/>
      </c>
    </row>
    <row r="9">
      <c r="A9" s="18" t="n">
        <v>10</v>
      </c>
      <c r="B9" s="21">
        <f>(INDEX(IS!$E$8:$N$8,sens_target_year_offset)*$A9-INDEX(Debt!$E$29:$N$29,sens_target_year_offset)+INDEX(CF!$E$11:$N$11,sens_target_year_offset)-inp_minority_interest+inp_equity_investments)/INDEX(IS!$E$19:$N$19,sens_target_year_offset)</f>
        <v/>
      </c>
    </row>
    <row r="10">
      <c r="A10" s="18" t="n">
        <v>11</v>
      </c>
      <c r="B10" s="21">
        <f>(INDEX(IS!$E$8:$N$8,sens_target_year_offset)*$A10-INDEX(Debt!$E$29:$N$29,sens_target_year_offset)+INDEX(CF!$E$11:$N$11,sens_target_year_offset)-inp_minority_interest+inp_equity_investments)/INDEX(IS!$E$19:$N$19,sens_target_year_offset)</f>
        <v/>
      </c>
    </row>
    <row r="11">
      <c r="A11" s="18" t="n">
        <v>12</v>
      </c>
      <c r="B11" s="21">
        <f>(INDEX(IS!$E$8:$N$8,sens_target_year_offset)*$A11-INDEX(Debt!$E$29:$N$29,sens_target_year_offset)+INDEX(CF!$E$11:$N$11,sens_target_year_offset)-inp_minority_interest+inp_equity_investments)/INDEX(IS!$E$19:$N$19,sens_target_year_offset)</f>
        <v/>
      </c>
    </row>
    <row r="12">
      <c r="A12" s="18" t="n">
        <v>13</v>
      </c>
      <c r="B12" s="21">
        <f>(INDEX(IS!$E$8:$N$8,sens_target_year_offset)*$A12-INDEX(Debt!$E$29:$N$29,sens_target_year_offset)+INDEX(CF!$E$11:$N$11,sens_target_year_offset)-inp_minority_interest+inp_equity_investments)/INDEX(IS!$E$19:$N$19,sens_target_year_offset)</f>
        <v/>
      </c>
    </row>
    <row r="13">
      <c r="A13" s="18" t="n">
        <v>14</v>
      </c>
      <c r="B13" s="21">
        <f>(INDEX(IS!$E$8:$N$8,sens_target_year_offset)*$A13-INDEX(Debt!$E$29:$N$29,sens_target_year_offset)+INDEX(CF!$E$11:$N$11,sens_target_year_offset)-inp_minority_interest+inp_equity_investments)/INDEX(IS!$E$19:$N$19,sens_target_year_offset)</f>
        <v/>
      </c>
    </row>
    <row r="15">
      <c r="A15" s="7" t="inlineStr">
        <is>
          <t>2D Sensitivity (Exit Multiple x Year)</t>
        </is>
      </c>
    </row>
    <row r="16">
      <c r="A16" s="17" t="inlineStr">
        <is>
          <t>Multiple</t>
        </is>
      </c>
      <c r="B16" s="17" t="inlineStr">
        <is>
          <t>Y3</t>
        </is>
      </c>
      <c r="C16" s="17" t="inlineStr">
        <is>
          <t>Y5</t>
        </is>
      </c>
      <c r="D16" s="17" t="inlineStr">
        <is>
          <t>Y7</t>
        </is>
      </c>
      <c r="E16" s="17" t="inlineStr">
        <is>
          <t>Y10</t>
        </is>
      </c>
    </row>
    <row r="17">
      <c r="A17" s="18" t="n">
        <v>6</v>
      </c>
      <c r="B17" s="21">
        <f>(INDEX(IS!$E$8:$N$8,3)*$A17-INDEX(Debt!$E$29:$N$29,3)+INDEX(CF!$E$11:$N$11,3)-inp_minority_interest+inp_equity_investments)/INDEX(IS!$E$19:$N$19,3)</f>
        <v/>
      </c>
      <c r="C17" s="21">
        <f>(INDEX(IS!$E$8:$N$8,5)*$A17-INDEX(Debt!$E$29:$N$29,5)+INDEX(CF!$E$11:$N$11,5)-inp_minority_interest+inp_equity_investments)/INDEX(IS!$E$19:$N$19,5)</f>
        <v/>
      </c>
      <c r="D17" s="21">
        <f>(INDEX(IS!$E$8:$N$8,7)*$A17-INDEX(Debt!$E$29:$N$29,7)+INDEX(CF!$E$11:$N$11,7)-inp_minority_interest+inp_equity_investments)/INDEX(IS!$E$19:$N$19,7)</f>
        <v/>
      </c>
      <c r="E17" s="21">
        <f>(INDEX(IS!$E$8:$N$8,10)*$A17-INDEX(Debt!$E$29:$N$29,10)+INDEX(CF!$E$11:$N$11,10)-inp_minority_interest+inp_equity_investments)/INDEX(IS!$E$19:$N$19,10)</f>
        <v/>
      </c>
    </row>
    <row r="18">
      <c r="A18" s="18" t="n">
        <v>7</v>
      </c>
      <c r="B18" s="21">
        <f>(INDEX(IS!$E$8:$N$8,3)*$A18-INDEX(Debt!$E$29:$N$29,3)+INDEX(CF!$E$11:$N$11,3)-inp_minority_interest+inp_equity_investments)/INDEX(IS!$E$19:$N$19,3)</f>
        <v/>
      </c>
      <c r="C18" s="21">
        <f>(INDEX(IS!$E$8:$N$8,5)*$A18-INDEX(Debt!$E$29:$N$29,5)+INDEX(CF!$E$11:$N$11,5)-inp_minority_interest+inp_equity_investments)/INDEX(IS!$E$19:$N$19,5)</f>
        <v/>
      </c>
      <c r="D18" s="21">
        <f>(INDEX(IS!$E$8:$N$8,7)*$A18-INDEX(Debt!$E$29:$N$29,7)+INDEX(CF!$E$11:$N$11,7)-inp_minority_interest+inp_equity_investments)/INDEX(IS!$E$19:$N$19,7)</f>
        <v/>
      </c>
      <c r="E18" s="21">
        <f>(INDEX(IS!$E$8:$N$8,10)*$A18-INDEX(Debt!$E$29:$N$29,10)+INDEX(CF!$E$11:$N$11,10)-inp_minority_interest+inp_equity_investments)/INDEX(IS!$E$19:$N$19,10)</f>
        <v/>
      </c>
    </row>
    <row r="19">
      <c r="A19" s="18" t="n">
        <v>8</v>
      </c>
      <c r="B19" s="21">
        <f>(INDEX(IS!$E$8:$N$8,3)*$A19-INDEX(Debt!$E$29:$N$29,3)+INDEX(CF!$E$11:$N$11,3)-inp_minority_interest+inp_equity_investments)/INDEX(IS!$E$19:$N$19,3)</f>
        <v/>
      </c>
      <c r="C19" s="21">
        <f>(INDEX(IS!$E$8:$N$8,5)*$A19-INDEX(Debt!$E$29:$N$29,5)+INDEX(CF!$E$11:$N$11,5)-inp_minority_interest+inp_equity_investments)/INDEX(IS!$E$19:$N$19,5)</f>
        <v/>
      </c>
      <c r="D19" s="21">
        <f>(INDEX(IS!$E$8:$N$8,7)*$A19-INDEX(Debt!$E$29:$N$29,7)+INDEX(CF!$E$11:$N$11,7)-inp_minority_interest+inp_equity_investments)/INDEX(IS!$E$19:$N$19,7)</f>
        <v/>
      </c>
      <c r="E19" s="21">
        <f>(INDEX(IS!$E$8:$N$8,10)*$A19-INDEX(Debt!$E$29:$N$29,10)+INDEX(CF!$E$11:$N$11,10)-inp_minority_interest+inp_equity_investments)/INDEX(IS!$E$19:$N$19,10)</f>
        <v/>
      </c>
    </row>
    <row r="20">
      <c r="A20" s="18" t="n">
        <v>9</v>
      </c>
      <c r="B20" s="21">
        <f>(INDEX(IS!$E$8:$N$8,3)*$A20-INDEX(Debt!$E$29:$N$29,3)+INDEX(CF!$E$11:$N$11,3)-inp_minority_interest+inp_equity_investments)/INDEX(IS!$E$19:$N$19,3)</f>
        <v/>
      </c>
      <c r="C20" s="21">
        <f>(INDEX(IS!$E$8:$N$8,5)*$A20-INDEX(Debt!$E$29:$N$29,5)+INDEX(CF!$E$11:$N$11,5)-inp_minority_interest+inp_equity_investments)/INDEX(IS!$E$19:$N$19,5)</f>
        <v/>
      </c>
      <c r="D20" s="21">
        <f>(INDEX(IS!$E$8:$N$8,7)*$A20-INDEX(Debt!$E$29:$N$29,7)+INDEX(CF!$E$11:$N$11,7)-inp_minority_interest+inp_equity_investments)/INDEX(IS!$E$19:$N$19,7)</f>
        <v/>
      </c>
      <c r="E20" s="21">
        <f>(INDEX(IS!$E$8:$N$8,10)*$A20-INDEX(Debt!$E$29:$N$29,10)+INDEX(CF!$E$11:$N$11,10)-inp_minority_interest+inp_equity_investments)/INDEX(IS!$E$19:$N$19,10)</f>
        <v/>
      </c>
    </row>
    <row r="21">
      <c r="A21" s="18" t="n">
        <v>10</v>
      </c>
      <c r="B21" s="21">
        <f>(INDEX(IS!$E$8:$N$8,3)*$A21-INDEX(Debt!$E$29:$N$29,3)+INDEX(CF!$E$11:$N$11,3)-inp_minority_interest+inp_equity_investments)/INDEX(IS!$E$19:$N$19,3)</f>
        <v/>
      </c>
      <c r="C21" s="21">
        <f>(INDEX(IS!$E$8:$N$8,5)*$A21-INDEX(Debt!$E$29:$N$29,5)+INDEX(CF!$E$11:$N$11,5)-inp_minority_interest+inp_equity_investments)/INDEX(IS!$E$19:$N$19,5)</f>
        <v/>
      </c>
      <c r="D21" s="21">
        <f>(INDEX(IS!$E$8:$N$8,7)*$A21-INDEX(Debt!$E$29:$N$29,7)+INDEX(CF!$E$11:$N$11,7)-inp_minority_interest+inp_equity_investments)/INDEX(IS!$E$19:$N$19,7)</f>
        <v/>
      </c>
      <c r="E21" s="21">
        <f>(INDEX(IS!$E$8:$N$8,10)*$A21-INDEX(Debt!$E$29:$N$29,10)+INDEX(CF!$E$11:$N$11,10)-inp_minority_interest+inp_equity_investments)/INDEX(IS!$E$19:$N$19,10)</f>
        <v/>
      </c>
    </row>
    <row r="22">
      <c r="A22" s="18" t="n">
        <v>11</v>
      </c>
      <c r="B22" s="21">
        <f>(INDEX(IS!$E$8:$N$8,3)*$A22-INDEX(Debt!$E$29:$N$29,3)+INDEX(CF!$E$11:$N$11,3)-inp_minority_interest+inp_equity_investments)/INDEX(IS!$E$19:$N$19,3)</f>
        <v/>
      </c>
      <c r="C22" s="21">
        <f>(INDEX(IS!$E$8:$N$8,5)*$A22-INDEX(Debt!$E$29:$N$29,5)+INDEX(CF!$E$11:$N$11,5)-inp_minority_interest+inp_equity_investments)/INDEX(IS!$E$19:$N$19,5)</f>
        <v/>
      </c>
      <c r="D22" s="21">
        <f>(INDEX(IS!$E$8:$N$8,7)*$A22-INDEX(Debt!$E$29:$N$29,7)+INDEX(CF!$E$11:$N$11,7)-inp_minority_interest+inp_equity_investments)/INDEX(IS!$E$19:$N$19,7)</f>
        <v/>
      </c>
      <c r="E22" s="21">
        <f>(INDEX(IS!$E$8:$N$8,10)*$A22-INDEX(Debt!$E$29:$N$29,10)+INDEX(CF!$E$11:$N$11,10)-inp_minority_interest+inp_equity_investments)/INDEX(IS!$E$19:$N$19,10)</f>
        <v/>
      </c>
    </row>
    <row r="23">
      <c r="A23" s="18" t="n">
        <v>12</v>
      </c>
      <c r="B23" s="21">
        <f>(INDEX(IS!$E$8:$N$8,3)*$A23-INDEX(Debt!$E$29:$N$29,3)+INDEX(CF!$E$11:$N$11,3)-inp_minority_interest+inp_equity_investments)/INDEX(IS!$E$19:$N$19,3)</f>
        <v/>
      </c>
      <c r="C23" s="21">
        <f>(INDEX(IS!$E$8:$N$8,5)*$A23-INDEX(Debt!$E$29:$N$29,5)+INDEX(CF!$E$11:$N$11,5)-inp_minority_interest+inp_equity_investments)/INDEX(IS!$E$19:$N$19,5)</f>
        <v/>
      </c>
      <c r="D23" s="21">
        <f>(INDEX(IS!$E$8:$N$8,7)*$A23-INDEX(Debt!$E$29:$N$29,7)+INDEX(CF!$E$11:$N$11,7)-inp_minority_interest+inp_equity_investments)/INDEX(IS!$E$19:$N$19,7)</f>
        <v/>
      </c>
      <c r="E23" s="21">
        <f>(INDEX(IS!$E$8:$N$8,10)*$A23-INDEX(Debt!$E$29:$N$29,10)+INDEX(CF!$E$11:$N$11,10)-inp_minority_interest+inp_equity_investments)/INDEX(IS!$E$19:$N$19,10)</f>
        <v/>
      </c>
    </row>
    <row r="24">
      <c r="A24" s="18" t="n">
        <v>13</v>
      </c>
      <c r="B24" s="21">
        <f>(INDEX(IS!$E$8:$N$8,3)*$A24-INDEX(Debt!$E$29:$N$29,3)+INDEX(CF!$E$11:$N$11,3)-inp_minority_interest+inp_equity_investments)/INDEX(IS!$E$19:$N$19,3)</f>
        <v/>
      </c>
      <c r="C24" s="21">
        <f>(INDEX(IS!$E$8:$N$8,5)*$A24-INDEX(Debt!$E$29:$N$29,5)+INDEX(CF!$E$11:$N$11,5)-inp_minority_interest+inp_equity_investments)/INDEX(IS!$E$19:$N$19,5)</f>
        <v/>
      </c>
      <c r="D24" s="21">
        <f>(INDEX(IS!$E$8:$N$8,7)*$A24-INDEX(Debt!$E$29:$N$29,7)+INDEX(CF!$E$11:$N$11,7)-inp_minority_interest+inp_equity_investments)/INDEX(IS!$E$19:$N$19,7)</f>
        <v/>
      </c>
      <c r="E24" s="21">
        <f>(INDEX(IS!$E$8:$N$8,10)*$A24-INDEX(Debt!$E$29:$N$29,10)+INDEX(CF!$E$11:$N$11,10)-inp_minority_interest+inp_equity_investments)/INDEX(IS!$E$19:$N$19,10)</f>
        <v/>
      </c>
    </row>
    <row r="25">
      <c r="A25" s="18" t="n">
        <v>14</v>
      </c>
      <c r="B25" s="21">
        <f>(INDEX(IS!$E$8:$N$8,3)*$A25-INDEX(Debt!$E$29:$N$29,3)+INDEX(CF!$E$11:$N$11,3)-inp_minority_interest+inp_equity_investments)/INDEX(IS!$E$19:$N$19,3)</f>
        <v/>
      </c>
      <c r="C25" s="21">
        <f>(INDEX(IS!$E$8:$N$8,5)*$A25-INDEX(Debt!$E$29:$N$29,5)+INDEX(CF!$E$11:$N$11,5)-inp_minority_interest+inp_equity_investments)/INDEX(IS!$E$19:$N$19,5)</f>
        <v/>
      </c>
      <c r="D25" s="21">
        <f>(INDEX(IS!$E$8:$N$8,7)*$A25-INDEX(Debt!$E$29:$N$29,7)+INDEX(CF!$E$11:$N$11,7)-inp_minority_interest+inp_equity_investments)/INDEX(IS!$E$19:$N$19,7)</f>
        <v/>
      </c>
      <c r="E25" s="21">
        <f>(INDEX(IS!$E$8:$N$8,10)*$A25-INDEX(Debt!$E$29:$N$29,10)+INDEX(CF!$E$11:$N$11,10)-inp_minority_interest+inp_equity_investments)/INDEX(IS!$E$19:$N$19,10)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7" t="inlineStr">
        <is>
          <t>_CapIQ_Data — DO NOT EDIT MANUALLY. Populated by shared/fetch_capiq.py.</t>
        </is>
      </c>
    </row>
    <row r="2">
      <c r="A2" s="2" t="inlineStr">
        <is>
          <t>Last fetch:</t>
        </is>
      </c>
    </row>
    <row r="3">
      <c r="A3" s="2" t="inlineStr">
        <is>
          <t>Ticker:</t>
        </is>
      </c>
    </row>
    <row r="5">
      <c r="A5" s="17" t="inlineStr">
        <is>
          <t>Field</t>
        </is>
      </c>
      <c r="B5" s="17" t="inlineStr">
        <is>
          <t>FY-3</t>
        </is>
      </c>
      <c r="C5" s="17" t="inlineStr">
        <is>
          <t>FY-2</t>
        </is>
      </c>
      <c r="D5" s="17" t="inlineStr">
        <is>
          <t>FY-1</t>
        </is>
      </c>
      <c r="E5" s="17" t="inlineStr">
        <is>
          <t>Current/LTM</t>
        </is>
      </c>
    </row>
    <row r="7">
      <c r="A7" t="inlineStr">
        <is>
          <t>Company Name</t>
        </is>
      </c>
    </row>
    <row r="8">
      <c r="A8" t="inlineStr">
        <is>
          <t>Sector</t>
        </is>
      </c>
    </row>
    <row r="9">
      <c r="A9" t="inlineStr">
        <is>
          <t>Currency</t>
        </is>
      </c>
    </row>
    <row r="10">
      <c r="A10" t="inlineStr">
        <is>
          <t>Filing Status</t>
        </is>
      </c>
    </row>
    <row r="13">
      <c r="A13" t="inlineStr">
        <is>
          <t>Current Price</t>
        </is>
      </c>
    </row>
    <row r="14">
      <c r="A14" t="inlineStr">
        <is>
          <t>Diluted Shares Out</t>
        </is>
      </c>
    </row>
    <row r="15">
      <c r="A15" t="inlineStr">
        <is>
          <t>Quarterly DPS</t>
        </is>
      </c>
    </row>
    <row r="16">
      <c r="A16" t="inlineStr">
        <is>
          <t>Cash &amp; Equivalents</t>
        </is>
      </c>
    </row>
    <row r="17">
      <c r="A17" t="inlineStr">
        <is>
          <t>Total Debt</t>
        </is>
      </c>
    </row>
    <row r="18">
      <c r="A18" t="inlineStr">
        <is>
          <t>Minority Interest</t>
        </is>
      </c>
    </row>
    <row r="19">
      <c r="A19" t="inlineStr">
        <is>
          <t>Equity Investments</t>
        </is>
      </c>
    </row>
    <row r="20">
      <c r="A20" t="inlineStr">
        <is>
          <t>Effective Tax Rate</t>
        </is>
      </c>
    </row>
    <row r="21">
      <c r="A21" t="inlineStr">
        <is>
          <t>Market Cap (CapIQ calc)</t>
        </is>
      </c>
    </row>
    <row r="22">
      <c r="A22" t="inlineStr">
        <is>
          <t>Net Debt (CapIQ calc)</t>
        </is>
      </c>
    </row>
    <row r="25">
      <c r="A25" t="inlineStr">
        <is>
          <t>Revenue</t>
        </is>
      </c>
    </row>
    <row r="26">
      <c r="A26" t="inlineStr">
        <is>
          <t>COGS</t>
        </is>
      </c>
    </row>
    <row r="27">
      <c r="A27" t="inlineStr">
        <is>
          <t>Gross Profit</t>
        </is>
      </c>
    </row>
    <row r="28">
      <c r="A28" t="inlineStr">
        <is>
          <t>SG&amp;A</t>
        </is>
      </c>
    </row>
    <row r="29">
      <c r="A29" t="inlineStr">
        <is>
          <t>R&amp;D Expense</t>
        </is>
      </c>
    </row>
    <row r="30">
      <c r="A30" t="inlineStr">
        <is>
          <t>Total OpEx (SG&amp;A + R&amp;D)</t>
        </is>
      </c>
    </row>
    <row r="31">
      <c r="A31" t="inlineStr">
        <is>
          <t>D&amp;A</t>
        </is>
      </c>
    </row>
    <row r="32">
      <c r="A32" t="inlineStr">
        <is>
          <t>EBITDA</t>
        </is>
      </c>
    </row>
    <row r="33">
      <c r="A33" t="inlineStr">
        <is>
          <t>EBIT</t>
        </is>
      </c>
    </row>
    <row r="34">
      <c r="A34" t="inlineStr">
        <is>
          <t>Interest Expense</t>
        </is>
      </c>
    </row>
    <row r="35">
      <c r="A35" t="inlineStr">
        <is>
          <t>Interest Income</t>
        </is>
      </c>
    </row>
    <row r="36">
      <c r="A36" t="inlineStr">
        <is>
          <t>Pre-tax Income</t>
        </is>
      </c>
    </row>
    <row r="37">
      <c r="A37" t="inlineStr">
        <is>
          <t>Taxes</t>
        </is>
      </c>
    </row>
    <row r="38">
      <c r="A38" t="inlineStr">
        <is>
          <t>Net Income</t>
        </is>
      </c>
    </row>
    <row r="39">
      <c r="A39" t="inlineStr">
        <is>
          <t>Diluted Weighted Avg Shares</t>
        </is>
      </c>
    </row>
    <row r="40">
      <c r="A40" t="inlineStr">
        <is>
          <t>CapEx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7" t="inlineStr">
        <is>
          <t>_Broker_Data — DO NOT EDIT MANUALLY. Populated by shared/fetch_broker_estimates.py.</t>
        </is>
      </c>
    </row>
    <row r="2">
      <c r="A2" s="2" t="inlineStr">
        <is>
          <t>Last fetch:</t>
        </is>
      </c>
    </row>
    <row r="3">
      <c r="A3" s="2" t="inlineStr">
        <is>
          <t>Ticker:</t>
        </is>
      </c>
    </row>
    <row r="4">
      <c r="A4" s="2" t="inlineStr">
        <is>
          <t>FY1 fiscal year:</t>
        </is>
      </c>
    </row>
    <row r="5">
      <c r="A5" s="2" t="inlineStr">
        <is>
          <t>FY2 fiscal year:</t>
        </is>
      </c>
    </row>
    <row r="6">
      <c r="A6" s="2" t="inlineStr">
        <is>
          <t>FY3 fiscal year:</t>
        </is>
      </c>
    </row>
    <row r="8">
      <c r="A8" s="17" t="inlineStr">
        <is>
          <t>Field</t>
        </is>
      </c>
      <c r="B8" s="17" t="inlineStr">
        <is>
          <t>FY1 Mean</t>
        </is>
      </c>
      <c r="C8" s="17" t="inlineStr">
        <is>
          <t>FY2 Mean</t>
        </is>
      </c>
      <c r="D8" s="17" t="inlineStr">
        <is>
          <t>FY3 Mean</t>
        </is>
      </c>
      <c r="E8" s="17" t="inlineStr">
        <is>
          <t>FY1 High</t>
        </is>
      </c>
      <c r="F8" s="17" t="inlineStr">
        <is>
          <t>FY1 Low</t>
        </is>
      </c>
      <c r="G8" s="17" t="inlineStr">
        <is>
          <t>FY1 # Est</t>
        </is>
      </c>
    </row>
    <row r="10">
      <c r="A10" t="inlineStr">
        <is>
          <t>Revenue</t>
        </is>
      </c>
    </row>
    <row r="11">
      <c r="A11" t="inlineStr">
        <is>
          <t>Gross Profit</t>
        </is>
      </c>
    </row>
    <row r="12">
      <c r="A12" t="inlineStr">
        <is>
          <t>EBITDA</t>
        </is>
      </c>
    </row>
    <row r="13">
      <c r="A13" t="inlineStr">
        <is>
          <t>EBIT</t>
        </is>
      </c>
    </row>
    <row r="14">
      <c r="A14" t="inlineStr">
        <is>
          <t>Net Income</t>
        </is>
      </c>
    </row>
    <row r="15">
      <c r="A15" t="inlineStr">
        <is>
          <t>EPS (Diluted)</t>
        </is>
      </c>
    </row>
    <row r="16">
      <c r="A16" t="inlineStr">
        <is>
          <t>CFO</t>
        </is>
      </c>
    </row>
    <row r="17">
      <c r="A17" t="inlineStr">
        <is>
          <t>CapEx</t>
        </is>
      </c>
    </row>
    <row r="20">
      <c r="A20" t="inlineStr">
        <is>
          <t>Revenue Growth FY1 %</t>
        </is>
      </c>
      <c r="B20" s="19">
        <f>IFERROR(B10/_CapIQ_Data!D25-1,"")</f>
        <v/>
      </c>
    </row>
    <row r="21">
      <c r="A21" t="inlineStr">
        <is>
          <t>Revenue Growth FY2 %</t>
        </is>
      </c>
      <c r="B21" s="19">
        <f>IFERROR(C10/B10-1,"")</f>
        <v/>
      </c>
    </row>
    <row r="22">
      <c r="A22" t="inlineStr">
        <is>
          <t>Revenue Growth FY3 %</t>
        </is>
      </c>
      <c r="B22" s="19">
        <f>IFERROR(D10/C10-1,"")</f>
        <v/>
      </c>
    </row>
    <row r="23">
      <c r="A23" t="inlineStr">
        <is>
          <t>Gross Margin FY1 %</t>
        </is>
      </c>
      <c r="B23" s="19">
        <f>IFERROR(B11/B10,"")</f>
        <v/>
      </c>
    </row>
    <row r="24">
      <c r="A24" t="inlineStr">
        <is>
          <t>EBITDA Margin FY1 %</t>
        </is>
      </c>
      <c r="B24" s="19">
        <f>IFERROR(B12/B10,"")</f>
        <v/>
      </c>
    </row>
    <row r="25">
      <c r="A25" t="inlineStr">
        <is>
          <t>EBIT Margin FY1 %</t>
        </is>
      </c>
      <c r="B25" s="19">
        <f>IFERROR(B13/B10,"")</f>
        <v/>
      </c>
    </row>
    <row r="28">
      <c r="A28" t="inlineStr">
        <is>
          <t>Number of Analysts Covering</t>
        </is>
      </c>
    </row>
    <row r="29">
      <c r="A29" t="inlineStr">
        <is>
          <t>Average Price Target</t>
        </is>
      </c>
    </row>
    <row r="30">
      <c r="A30" t="inlineStr">
        <is>
          <t>Implied Upside %</t>
        </is>
      </c>
      <c r="B30" s="19">
        <f>IFERROR(B29/inp_current_price-1,"")</f>
        <v/>
      </c>
    </row>
    <row r="31">
      <c r="A31" t="inlineStr">
        <is>
          <t>Average Recommendation (1=Buy,5=Sell)</t>
        </is>
      </c>
    </row>
    <row r="32">
      <c r="A32" t="inlineStr">
        <is>
          <t>Recommendation Distribution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2026-04-27T20:25:24Z</dcterms:created>
  <dcterms:modified xsi:type="dcterms:W3CDTF">2026-04-27T20:25:25Z</dcterms:modified>
</cp:coreProperties>
</file>