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ubre\Documents\python_projects\investing\templates\"/>
    </mc:Choice>
  </mc:AlternateContent>
  <xr:revisionPtr revIDLastSave="0" documentId="13_ncr:1_{AC4B4786-F7E5-408D-996C-7F919CF6E3EF}" xr6:coauthVersionLast="47" xr6:coauthVersionMax="47" xr10:uidLastSave="{00000000-0000-0000-0000-000000000000}"/>
  <bookViews>
    <workbookView xWindow="-120" yWindow="-120" windowWidth="29040" windowHeight="15840" firstSheet="1" activeTab="1" xr2:uid="{00000000-000D-0000-FFFF-FFFF00000000}"/>
  </bookViews>
  <sheets>
    <sheet name="_CIQHiddenCacheSheet" sheetId="33" state="veryHidden" r:id="rId1"/>
    <sheet name="Fetcher" sheetId="1" r:id="rId2"/>
  </sheets>
  <definedNames>
    <definedName name="CIQWBGuid" hidden="1">"9bab30e2-6eb0-4db7-9b3b-4d86b5167eca"</definedName>
    <definedName name="CIQWBInfo" hidden="1">"{ ""CIQVersion"":""9.52.4409.4666"" }"</definedName>
    <definedName name="date">Fetcher!$C$7</definedName>
    <definedName name="fetcher_date">Fetcher!$C$8</definedName>
    <definedName name="fetcher_ticker">Fetcher!$C$6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45930.7803240741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E40" i="1"/>
  <c r="E39" i="1"/>
  <c r="C37" i="1"/>
  <c r="D38" i="1"/>
  <c r="E35" i="1"/>
  <c r="C33" i="1"/>
  <c r="D34" i="1"/>
  <c r="E31" i="1"/>
  <c r="F22" i="1"/>
  <c r="F26" i="1"/>
  <c r="F15" i="1"/>
  <c r="C39" i="1"/>
  <c r="E37" i="1"/>
  <c r="C35" i="1"/>
  <c r="D36" i="1"/>
  <c r="C31" i="1"/>
  <c r="F24" i="1"/>
  <c r="F19" i="1"/>
  <c r="E36" i="1"/>
  <c r="E32" i="1"/>
  <c r="F21" i="1"/>
  <c r="E38" i="1"/>
  <c r="C40" i="1"/>
  <c r="D37" i="1"/>
  <c r="E34" i="1"/>
  <c r="C36" i="1"/>
  <c r="D33" i="1"/>
  <c r="F27" i="1"/>
  <c r="C32" i="1"/>
  <c r="F23" i="1"/>
  <c r="F12" i="1"/>
  <c r="F18" i="1"/>
  <c r="E33" i="1"/>
  <c r="C34" i="1"/>
  <c r="F25" i="1"/>
  <c r="D40" i="1"/>
  <c r="D32" i="1"/>
  <c r="F13" i="1"/>
  <c r="D39" i="1"/>
  <c r="D35" i="1"/>
  <c r="D31" i="1"/>
  <c r="F14" i="1"/>
  <c r="C38" i="1"/>
  <c r="F20" i="1" l="1"/>
  <c r="F2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scaffold_capiq_fetcher</author>
  </authors>
  <commentList>
    <comment ref="C6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Set this to the ticker you want to fetch. Workbook will refresh CapIQ formulas automatically when you change it (and when fetch_capiq.py drives it programmatically).</t>
        </r>
      </text>
    </comment>
    <comment ref="C7" authorId="0" shapeId="0" xr:uid="{92796E1F-50EB-4C67-8FD0-16D2701BFDFB}">
      <text>
        <r>
          <rPr>
            <sz val="11"/>
            <color theme="1"/>
            <rFont val="Calibri"/>
            <family val="2"/>
            <scheme val="minor"/>
          </rPr>
          <t>Set this to the date you want to use for the market data</t>
        </r>
      </text>
    </comment>
  </commentList>
</comments>
</file>

<file path=xl/sharedStrings.xml><?xml version="1.0" encoding="utf-8"?>
<sst xmlns="http://schemas.openxmlformats.org/spreadsheetml/2006/main" count="56" uniqueCount="56">
  <si>
    <t>CapIQ Fetcher — formulas only. Open in Excel with CapIQ plugin loaded to refresh.</t>
  </si>
  <si>
    <t>Run via:</t>
  </si>
  <si>
    <t>python -m shared.fetch_capiq &lt;TICKER&gt;</t>
  </si>
  <si>
    <t>Ticker:</t>
  </si>
  <si>
    <t>AAPL</t>
  </si>
  <si>
    <t>Field</t>
  </si>
  <si>
    <t>Company Name</t>
  </si>
  <si>
    <t>Sector</t>
  </si>
  <si>
    <t>Currency</t>
  </si>
  <si>
    <t>Filing Status</t>
  </si>
  <si>
    <t>Current Price</t>
  </si>
  <si>
    <t>Diluted Shares Out</t>
  </si>
  <si>
    <t>Cash &amp; Equivalents</t>
  </si>
  <si>
    <t>Total Debt</t>
  </si>
  <si>
    <t>Minority Interest</t>
  </si>
  <si>
    <t>Equity Investments</t>
  </si>
  <si>
    <t>Revenue</t>
  </si>
  <si>
    <t>COGS</t>
  </si>
  <si>
    <t>Gross Profit</t>
  </si>
  <si>
    <t>D&amp;A</t>
  </si>
  <si>
    <t>EBITDA</t>
  </si>
  <si>
    <t>EBIT</t>
  </si>
  <si>
    <t>Date</t>
  </si>
  <si>
    <t>Market Cap</t>
  </si>
  <si>
    <t>Enterprise Value</t>
  </si>
  <si>
    <t>Total Opex</t>
  </si>
  <si>
    <t>Capex</t>
  </si>
  <si>
    <t>IQ_FY-2</t>
  </si>
  <si>
    <t>IQ_FY-1</t>
  </si>
  <si>
    <t>SVEuQUFQTC5JUV9UT1RBTF9PUEVSX0VYUEVOLjk5OC40LzI3LzIwMjYuLi5VU0QBAAAAaWEAAAIAAAAGMjY4OTg0AQgAAAAFAAAAATEBAAAACy0xOTE5MjI0MTcyAwAAAAMxNjACAAAAAzM3MwQAAAABMAcAAAAJNC8yNy8yMDI2CAAAAAk5LzMwLzIwMjMJAAAAATAQiqY7X6XeCD/Tqztfpd4IMENJUS5BQVBMLklRX1RPVEFMX09QRVJfRVhQRU4uOTk5LjQvMjcvMjAyNi4uLlVTRAEAAABpYQAAAgAAAAYyNjc4MTkBCAAAAAUAAAABMQEAAAALLTE5MTkyMjQxODMDAAAAAzE2MAIAAAADMzczBAAAAAEwBwAAAAk0LzI3LzIwMjYIAAAACTkvMjgvMjAyNAkAAAABMLpQYD1fpd4I7GZlPV+l3gg2Q0lRLkFBUEwuSVFfVE9UQUxfT1BFUl9FWFBFTi5JUV9GWSAtIDMuNC8yNy8yMDI2Li4uVVNEBQAAAAAAAAAIAAAAFShJbnZhbGlkIFRpbWUgUGVyaW9kKbTtRWFfpd4I26SsZ1+l3ggvQ0lRLkFBUEwuSVFfVE9UQUxfUkVWLklRX0ZZIC0gMy40LzI3LzIwMjYuLi5VU0QFAAAAAAAAAAgAAAAVKEludmFsaWQgVGltZSBQZXJpb2QptO1FYV+l3gjbpKxnX6XeCChDSVEuQUFQTC5JUV9HUC5JUV9GWSAtIDMuNC8yNy8yMDI2Li4uVVNEBQAAAAAAAAAIAAAAFShJbnZhbGlkIFRpbWUgUGVyaW9kKbTtRWFfpd4I26SsZ1+l3ggqQ0lRLkFBUEwuSVFfQ09HUy5JUV9GWSAtIDMuNC8yNy8yMDI2Li4uVVNEBQAAAAAAAAAIAAAA</t>
  </si>
  <si>
    <t>SBC</t>
  </si>
  <si>
    <t>IQ_FY</t>
  </si>
  <si>
    <t>FShJbnZhbGlkIFRpbWUgUGVyaW9kKbTtRWFfpd4I26SsZ1+l3ggvQ0lRLkFBUEwuSVFfVE9UQUxfUkVWLklRX0ZZIC0gMi40LzI3LzIwMjYuLi5VU0QFAAAAAAAAAAgAAAAVKEludmFsaWQgVGltZSBQZXJpb2Qp8iSgbF+l3ghyJEBwX6XeCCtDSVEuQUFQTC5JUV9UT1RBTF9SRVYuSVFfRlkgLSAyLjQ2MTM5Li4uVVNEBQAAAAAAAAAIAAAAFShJbnZhbGlkIFRpbWUgUGVyaW9kKRU/NKZfpd4IepVopl+l3ggpQ0lRLkFBUEwuSVFfVE9UQUxfUkVWLklRX0ZZLTIuNDYxMzkuLi5VU0QBAAAAaWEAAAIAAAAGMzgzMjg1AQgAAAAFAAAAATEBAAAACy0xOTE5MjI0MTcyAwAAAAMxNjACAAAAAjI4BAAAAAEwBwAAAAk0LzI3LzIwMjYIAAAACTkvMzAvMjAyMwkAAAABMINJoLFfpd4IR2iMtF+l3gg0Q0lRLkFBUEwuSVFfVE9UQUxfT1BFUl9FWFBFTi5JUV9GWS0yLjQvMjcvMjAyNi4uLlVTRAEAAABpYQAAAgAAAAYyNjg5ODQBCAAAAAUAAAABMQEAAAALLTE5MTkyMjQxNzIDAAAAAzE2MAIAAAADMzczBAAAAAEwBwAAAAk0LzI3LzIwMjYIAAAACTkvMzAvMjAyMwkAAAABMGynerpfpd4I8RD382Cl3ggmQ0lRLkFBUEwuSVFfR1AuSVFfRlktMi40LzI3LzIwMjYuLi5VU0QBAAAAaWEAAAIAAAAGMTY5MTQ4AQgAAAAFAAAAATEBAAAACy0xOTE5MjI0MTcyAwAAAAMxNjACAAAAAjEwBAAAAAEwBwAAAAk0LzI3LzIwMjYI</t>
  </si>
  <si>
    <t>DPS</t>
  </si>
  <si>
    <t>ST Investments</t>
  </si>
  <si>
    <t>Preferred Equity</t>
  </si>
  <si>
    <t>Marketable Securities</t>
  </si>
  <si>
    <t>Fetcher Run-Date</t>
  </si>
  <si>
    <t>LkFBUEwuSVFfRUJJVERBLklRX0ZZLTMuNC8yNy8yMDI2Li4uVVNEAQAAAGlhAAACAAAABjEzMDU0MQEIAAAABQAAAAExAQAAAAstMTk3MDkzMjY3MQMAAAADMTYwAgAAAAQ0MDUxBAAAAAEwBwAAAAk0LzI3LzIwMjYIAAAACTkvMjQvMjAyMgkAAAABMA6+19tjpd4IPS64qmWl3ggoQ0lRLkFBUEwuSVFfRUJJVC5JUV9GWS0zLjQvMjcvMjAyNi4uLlVTRAEAAABpYQAAAgAAAAYxMTk0MzcBCAAAAAUAAAABMQEAAAALLTE5NzA5MzI2NzEDAAAAAzE2MAIAAAADNDAwBAAAAAEwBwAAAAk0LzI3LzIwMjYIAAAACTkvMjQvMjAyMgkAAAABMA6+19tjpd4ITQe4qmWl3ggpQ0lRLkFBUEwuSVFfQ0FQRVguSVFfRlktMy40LzI3LzIwMjYuLi5VU0QBAAAAaWEAAAIAAAAGLTEwNzA4AQgAAAAFAAAAATEBAAAACy0xOTcwOTMyNjcxAwAAAAMxNjACAAAABDIwMjEEAAAAATAHAAAACTQvMjcvMjAyNggAAAAJOS8yNC8yMDIyCQAAAAEwDr7X22Ol3ghNB7iqZaXeCCZDSVEuQUFQTC5JUV9EQS5JUV9GWS0zLjQvMjcvMjAyNi4uLlVTRAEAAABpYQAAAwAAAAAADvZ5AGCl3gg51agAYKXeCCxDSVEuQUFQTC5JUV9EQV9TVVBQTC5JUV9GWS0zLjQvMjcvMjAyNi4uLlVTRAEAAABpYQAAAwAAAAAA23VGC2Cl3gj+2nYLYKXeCC1DSVEuQUFQTC5JUV9EQV9FQklUREEuSVFfRlktMy40LzI3LzIwMjYuLi5VU0QBAAAAaWEAAAIAAAAF</t>
  </si>
  <si>
    <t>Current</t>
  </si>
  <si>
    <t>BAABTAVMT0NBTAFI/////wFQWQAAACNDSVEuQUFQTC5JUV9MQVNUU0FMRVBSSUNFLjQvMjcvMjAyNgEAAABpYQAAAgAAAAYyNjcuNjEAk7as62Wl3gi1ZNXrZaXeCCtDSVEuQUFQTC5JUV9TSEFSRVNPVVRTVEFORElOR19PVVQuNC8yNy8yMDI2AQAAAGlhAAACAAAACDE0NjgxLjE0AJO2rOtlpd4ItWTV62Wl3ggiQ0lRLkFBUEwuSVFfR1AuOTk4LjQvMjcvMjAyNi4uLlVTRAEAAABpYQAAAgAAAAYxNjkxNDgBCAAAAAUAAAABMQEAAAALLTE5MTkyMjQxNzIDAAAAAzE2MAIAAAACMTAEAAAAATAHAAAACTQvMjcvMjAyNggAAAAJOS8zMC8yMDIzCQAAAAEwhW/WKl6l3gjfrgpcXqXeCCRDSVEuQUFQTC5JUV9DT0dTLjk5Ny40LzI3LzIwMjYuLi5VU0QBAAAAaWEAAAIAAAAGMjIzNTQ2AQgAAAAFAAAAATEBAAAACy0xOTcwOTMyNjcxAwAAAAMxNjACAAAAAjM0BAAAAAEwBwAAAAk0LzI3LzIwMjYIAAAACTkvMjQvMjAyMgkAAAABMIVv1ipepd4I364KXF6l3gggQ0lRLkFBUEwuSVFfRElWX1NIQVJFLi40LzI3LzIwMjYBAAAAaWEAAAIAAAAEMS4wMwEIAAAABQAAAAExAQAAAAstMTkwODM3MjkwNAMAAAADMTYwAgAAAAQzMDU4BAAAAAEwBwAAAAk0LzI3LzIwMjYIAAAACjEyLzI3LzIwMjUJAAAAATCFb9YqXqXeCGZL/Z5ipd4IMkNJUS5BQVBMLklRX1RPVEFMX0RFQlRfRVhDTF9PUEVSX0xFQVNFUy4uNC8yNy8y</t>
  </si>
  <si>
    <t>MDI2AQAAAGlhAAACAAAABTkwNTA5AQgAAAAFAAAAATEBAAAACy0xOTA4MzcyOTA0AwAAAAMxNjACAAAABTQ4OTgyBAAAAAEwBwAAAAk0LzI3LzIwMjYIAAAACjEyLzI3LzIwMjUJAAAAATCTtqzrZaXeCLVk1etlpd4IIUNJUS5BQVBMLklRX0NBU0hfRVFVSVYuLjQvMjcvMjAyNgEAAABpYQAAAgAAAAU0NTMxNwEIAAAABQAAAAExAQAAAAstMTkwODM3MjkwNAMAAAADMTYwAgAAAAQxMDk2BAAAAAEwBwAAAAk0LzI3LzIwMjYIAAAACjEyLzI3LzIwMjUJAAAAATCTtqzrZaXeCLVk1etlpd4IIkNJUS5BQVBMLklRX0dQLjk5OS40LzI3LzIwMjYuLi5VU0QBAAAAaWEAAAIAAAAGMTgwNjgzAQgAAAAFAAAAATEBAAAACy0xOTE5MjI0MTgzAwAAAAMxNjACAAAAAjEwBAAAAAEwBwAAAAk0LzI3LzIwMjYIAAAACTkvMjgvMjAyNAkAAAABMIVv1ipepd4I364KXF6l3ggkQ0lRLkFBUEwuSVFfQ09HUy45OTguNC8yNy8yMDI2Li4uVVNEAQAAAGlhAAACAAAABjIxNDEzNwEIAAAABQAAAAExAQAAAAstMTkxOTIyNDE3MgMAAAADMTYwAgAAAAIzNAQAAAABMAcAAAAJNC8yNy8yMDI2CAAAAAk5LzMwLzIwMjMJAAAAATCFb9YqXqXeCN+uClxepd4IKUNJUS5BQVBMLklRX1RPVEFMX1JFVi45OTcuNC8yNy8yMDI2Li4uVVNEAQAAAGlhAAACAAAABjM5NDMyOAEIAAAABQAAAAExAQAAAAstMTk3MDkzMjY3MQMAAAADMTYwAgAA</t>
  </si>
  <si>
    <t>AAIyOAQAAAABMAcAAAAJNC8yNy8yMDI2CAAAAAk5LzI0LzIwMjIJAAAAATCFb9YqXqXeCMLRr1Jfpd4IJENJUS5BQVBMLklRX0VRVUlUWV9NRVRIT0QuLjQvMjcvMjAyNgEAAABpYQAAAwAAAAAAk7as62Wl3gi1ZNXrZaXeCCJDSVEuQUFQTC5JUV9HUC45OTcuNC8yNy8yMDI2Li4uVVNEAQAAAGlhAAACAAAABjE3MDc4MgEIAAAABQAAAAExAQAAAAstMTk3MDkzMjY3MQMAAAADMTYwAgAAAAIxMAQAAAABMAcAAAAJNC8yNy8yMDI2CAAAAAk5LzI0LzIwMjIJAAAAATCFb9YqXqXeCN+uClxepd4IKUNJUS5BQVBMLklRX1RPVEFMX1JFVi45OTkuNC8yNy8yMDI2Li4uVVNEAQAAAGlhAAACAAAABjM5MTAzNQEIAAAABQAAAAExAQAAAAstMTkxOTIyNDE4MwMAAAADMTYwAgAAAAIyOAQAAAABMAcAAAAJNC8yNy8yMDI2CAAAAAk5LzI4LzIwMjQJAAAAATCFb9YqXqXeCMxfClxepd4IJkNJUS5BQVBMLklRX0ZJTElOR19DVVJSRU5DWS4uNC8yNy8yMDI2AQAAAGlhAAADAAAAA1VTRACTtqzrZaXeCLVk1etlpd4IJENJUS5BQVBMLklRX0NPR1MuOTk5LjQvMjcvMjAyNi4uLlVTRAEAAABpYQAAAgAAAAYyMTAzNTIBCAAAAAUAAAABMQEAAAALLTE5MTkyMjQxODMDAAAAAzE2MAIAAAACMzQEAAAAATAHAAAACTQvMjcvMjAyNggAAAAJOS8yOC8yMDI0CQAAAAEwhW/WKl6l3gjMXwpcXqXeCClDSVEuQUFQTC5JUV9UT1RB</t>
  </si>
  <si>
    <t>TF9SRVYuOTk4LjQvMjcvMjAyNi4uLlVTRAEAAABpYQAAAgAAAAYzODMyODUBCAAAAAUAAAABMQEAAAALLTE5MTkyMjQxNzIDAAAAAzE2MAIAAAACMjgEAAAAATAHAAAACTQvMjcvMjAyNggAAAAJOS8zMC8yMDIzCQAAAAEwhW/WKl6l3gjfrgpcXqXeCChDSVEuQUFQTC5JUV9NSU5PUklUWV9JTlRFUkVTVC4uNC8yNy8yMDI2AQAAAGlhAAADAAAAAACTtqzrZaXeCLVk1etlpd4IGENJUS5BQVBMLklRX0NPTVBBTllfTkFNRQEAAABpYQAAAwAAAApBcHBsZSBJbmMuAJO2rOtlpd4ItWTV62Wl3ggbQ0lRLkFBUEwuSVFfSU5EVVNUUllfU0VDVE9SAQAAAGlhAAADAAAAFkluZm9ybWF0aW9uIFRlY2hub2xvZ3kAk7as62Wl3gi1ZNXrZaXeCBpDSVEuQUFQTC5JUV9DT01QQU5ZX1NUQVRVUwEAAABpYQAAAwAAAAlPcGVyYXRpbmcAk7as62Wl3gi1ZNXrZaXeCCRDSVEuQUFQTC5JUV9PUEVYLjk5Ny40LzI3LzIwMjYuLi5VU0QFAAAAAAAAAAgAAAAWKEludmFsaWQgRm9ybXVsYSBOYW1lKa+iVDtepd4IQJoJXF6l3ggwQ0lRLkFBUEwuSVFfVE9UQUxfT1BFUl9FWFBFTi45OTcuNC8yNy8yMDI2Li4uVVNEAQAAAGlhAAACAAAABjI3NDg5MQEIAAAABQAAAAExAQAAAAstMTk3MDkzMjY3MQMAAAADMTYwAgAAAAMzNzMEAAAAATAHAAAACTQvMjcvMjAyNggAAAAJOS8yNC8yMDIyCQAAAAEwOyP/N1+l3ghRsfc5X6XeCDBD</t>
  </si>
  <si>
    <t>AAAACTkvMzAvMjAyMwkAAAABMJO2rOtlpd4ItWTV62Wl3ggoQ0lRLkFBUEwuSVFfQ09HUy5JUV9GWS0yLjQvMjcvMjAyNi4uLlVTRAEAAABpYQAAAgAAAAYyMTQxMzcBCAAAAAUAAAABMQEAAAALLTE5MTkyMjQxNzIDAAAAAzE2MAIAAAACMzQEAAAAATAHAAAACTQvMjcvMjAyNggAAAAJOS8zMC8yMDIzCQAAAAEwk7as62Wl3gi1ZNXrZaXeCChDSVEuQUFQTC5JUV9HUC5JUV9GWSAtIDEuNC8yNy8yMDI2Li4uVVNEBQAAAAAAAAAIAAAAFShJbnZhbGlkIFRpbWUgUGVyaW9kKX3Xu8Bfpd4IwOzgwF+l3ggqQ0lRLkFBUEwuSVFfQ09HUy5JUV9GWSAtIDEuNC8yNy8yMDI2Li4uVVNEBQAAAAAAAAAIAAAAFShJbnZhbGlkIFRpbWUgUGVyaW9kKZbku8Bfpd4IsRPhwF+l3gg2Q0lRLkFBUEwuSVFfVE9UQUxfT1BFUl9FWFBFTi5JUV9GWSAtIDEuNC8yNy8yMDI2Li4uVVNEBQAAAAAAAAAIAAAAFShJbnZhbGlkIFRpbWUgUGVyaW9kKZbku8Bfpd4IsRPhwF+l3ggvQ0lRLkFBUEwuSVFfVE9UQUxfUkVWLklRX0ZZIC0gMS40LzI3LzIwMjYuLi5VU0QFAAAAAAAAAAgAAAAVKEludmFsaWQgVGltZSBQZXJpb2QpluS7wF+l3gixE+HAX6XeCCZDSVEuQUFQTC5JUV9HUC5JUV9GWS0xLjQvMjcvMjAyNi4uLlVTRAEAAABpYQAAAgAAAAYxODA2ODMBCAAAAAUAAAABMQEAAAALLTE5MTkyMjQxODMDAAAAAzE2MAIAAAACMTAE</t>
  </si>
  <si>
    <t>AAAAATAHAAAACTQvMjcvMjAyNggAAAAJOS8yOC8yMDI0CQAAAAEwk7as62Wl3gi1ZNXrZaXeCChDSVEuQUFQTC5JUV9DT0dTLklRX0ZZLTEuNC8yNy8yMDI2Li4uVVNEAQAAAGlhAAACAAAABjIxMDM1MgEIAAAABQAAAAExAQAAAAstMTkxOTIyNDE4MwMAAAADMTYwAgAAAAIzNAQAAAABMAcAAAAJNC8yNy8yMDI2CAAAAAk5LzI4LzIwMjQJAAAAATCTtqzrZaXeCLVk1etlpd4INENJUS5BQVBMLklRX1RPVEFMX09QRVJfRVhQRU4uSVFfRlktMS40LzI3LzIwMjYuLi5VU0QBAAAAaWEAAAIAAAAGMjY3ODE5AQgAAAAFAAAAATEBAAAACy0xOTE5MjI0MTgzAwAAAAMxNjACAAAAAzM3MwQAAAABMAcAAAAJNC8yNy8yMDI2CAAAAAk5LzI4LzIwMjQJAAAAATCgiBbDX6XeCOE39/Ngpd4ILUNJUS5BQVBMLklRX1RPVEFMX1JFVi5JUV9GWS0xLjQvMjcvMjAyNi4uLlVTRAEAAABpYQAAAgAAAAYzOTEwMzUBCAAAAAUAAAABMQEAAAALLTE5MTkyMjQxODMDAAAAAzE2MAIAAAACMjgEAAAAATAHAAAACTQvMjcvMjAyNggAAAAJOS8yOC8yMDI0CQAAAAEwk7as62Wl3gi1ZNXrZaXeCDRDSVEuQUFQTC5JUV9UT1RBTF9PUEVSX0VYUEVOLklRX0ZZLTMuNC8yNy8yMDI2Li4uVVNEAQAAAGlhAAACAAAABjI3NDg5MQEIAAAABQAAAAExAQAAAAstMTk3MDkzMjY3MQMAAAADMTYwAgAAAAMzNzMEAAAAATAHAAAACTQvMjcvMjAy</t>
  </si>
  <si>
    <t>NggAAAAJOS8yNC8yMDIyCQAAAAEw7xzMxV+l3gizhffzYKXeCC1DSVEuQUFQTC5JUV9UT1RBTF9SRVYuSVFfRlktMy40LzI3LzIwMjYuLi5VU0QBAAAAaWEAAAIAAAAGMzk0MzI4AQgAAAAFAAAAATEBAAAACy0xOTcwOTMyNjcxAwAAAAMxNjACAAAAAjI4BAAAAAEwBwAAAAk0LzI3LzIwMjYIAAAACTkvMjQvMjAyMgkAAAABMA6+19tjpd4INFW4qmWl3ggmQ0lRLkFBUEwuSVFfR1AuSVFfRlktMy40LzI3LzIwMjYuLi5VU0QBAAAAaWEAAAIAAAAGMTcwNzgyAQgAAAAFAAAAATEBAAAACy0xOTcwOTMyNjcxAwAAAAMxNjACAAAAAjEwBAAAAAEwBwAAAAk0LzI3LzIwMjYIAAAACTkvMjQvMjAyMgkAAAABMA6+19tjpd4INFW4qmWl3ggoQ0lRLkFBUEwuSVFfQ09HUy5JUV9GWS0zLjQvMjcvMjAyNi4uLlVTRAEAAABpYQAAAgAAAAYyMjM1NDYBCAAAAAUAAAABMQEAAAALLTE5NzA5MzI2NzEDAAAAAzE2MAIAAAACMzQEAAAAATAHAAAACTQvMjcvMjAyNggAAAAJOS8yNC8yMDIyCQAAAAEwDr7X22Ol3gg0VbiqZaXeCC1DSVEuQUFQTC5JUV9UT1RBTF9SRVYuSVFfRlktMi40LzI3LzIwMjYuLi5VU0QBAAAAaWEAAAIAAAAGMzgzMjg1AQgAAAAFAAAAATEBAAAACy0xOTE5MjI0MTcyAwAAAAMxNjACAAAAAjI4BAAAAAEwBwAAAAk0LzI3LzIwMjYIAAAACTkvMzAvMjAyMwkAAAABMJO2rOtlpd4ItWTV62Wl3ggqQ0lR</t>
  </si>
  <si>
    <t>MTExMDQBCAAAAAUAAAABMQEAAAALLTE5NzA5MzI2NzEDAAAAAzE2MAIAAAAEMjIwNgQAAAABMAcAAAAJNC8yNy8yMDI2CAAAAAk5LzI0LzIwMjIJAAAAATAOvtfbY6XeCD0uuKplpd4INUNJUS5BQVBMLklRX1NUT0NLX0JBU0VEX1RPVEFMLklRX0ZZLTMuNC8yNy8yMDI2Li4uVVNEAQAAAGlhAAACAAAABDkwMzgBCAAAAAUAAAABMQEAAAALLTE5NzA5MzI2NzEDAAAAAzE2MAIAAAAFMjQwMzQEAAAAATAHAAAACTQvMjcvMjAyNggAAAAJOS8yNC8yMDIyCQAAAAEwDr7X22Ol3ghNB7iqZaXeCDVDSVEuQUFQTC5JUV9TVE9DS19CQVNFRF9UT1RBTC5JUV9GWS0yLjQvMjcvMjAyNi4uLlVTRAEAAABpYQAAAgAAAAUxMDgzMwEIAAAABQAAAAExAQAAAAstMTkxOTIyNDE3MgMAAAADMTYwAgAAAAUyNDAzNAQAAAABMAcAAAAJNC8yNy8yMDI2CAAAAAk5LzMwLzIwMjMJAAAAATCTtqzrZaXeCLVk1etlpd4INUNJUS5BQVBMLklRX1NUT0NLX0JBU0VEX1RPVEFMLklRX0ZZLTEuNC8yNy8yMDI2Li4uVVNEAQAAAGlhAAACAAAABTExNjg4AQgAAAAFAAAAATEBAAAACy0xOTE5MjI0MTgzAwAAAAMxNjACAAAABTI0MDM0BAAAAAEwBwAAAAk0LzI3LzIwMjYIAAAACTkvMjgvMjAyNAkAAAABMJO2rOtlpd4ItWTV62Wl3ggtQ0lRLkFBUEwuSVFfREFfRUJJVERBLklRX0ZZLTIuNC8yNy8yMDI2Li4uVVNEAQAAAGlhAAACAAAA</t>
  </si>
  <si>
    <t>BTExNTE5AQgAAAAFAAAAATEBAAAACy0xOTE5MjI0MTcyAwAAAAMxNjACAAAABDIyMDYEAAAAATAHAAAACTQvMjcvMjAyNggAAAAJOS8zMC8yMDIzCQAAAAEwk7as62Wl3gi1ZNXrZaXeCC1DSVEuQUFQTC5JUV9EQV9FQklUREEuSVFfRlktMS40LzI3LzIwMjYuLi5VU0QBAAAAaWEAAAIAAAAFMTE0NDUBCAAAAAUAAAABMQEAAAALLTE5MTkyMjQxODMDAAAAAzE2MAIAAAAEMjIwNgQAAAABMAcAAAAJNC8yNy8yMDI2CAAAAAk5LzI4LzIwMjQJAAAAATCTtqzrZaXeCLVk1etlpd4IKkNJUS5BQVBMLklRX0VCSVREQS5JUV9GWS0yLjQvMjcvMjAyNi4uLlVTRAEAAABpYQAAAgAAAAYxMjU4MjABCAAAAAUAAAABMQEAAAALLTE5MTkyMjQxNzIDAAAAAzE2MAIAAAAENDA1MQQAAAABMAcAAAAJNC8yNy8yMDI2CAAAAAk5LzMwLzIwMjMJAAAAATCTtqzrZaXeCLVk1etlpd4IKUNJUS5BQVBMLklRX0NBUEVYLklRX0ZZLTIuNC8yNy8yMDI2Li4uVVNEAQAAAGlhAAACAAAABi0xMDk1OQEIAAAABQAAAAExAQAAAAstMTkxOTIyNDE3MgMAAAADMTYwAgAAAAQyMDIxBAAAAAEwBwAAAAk0LzI3LzIwMjYIAAAACTkvMzAvMjAyMwkAAAABMJO2rOtlpd4ItWTV62Wl3ggoQ0lRLkFBUEwuSVFfRUJJVC5JUV9GWS0xLjQvMjcvMjAyNi4uLlVTRAEAAABpYQAAAgAAAAYxMjMyMTYBCAAAAAUAAAABMQEAAAALLTE5MTkyMjQxODMD</t>
  </si>
  <si>
    <t>AAAAAzE2MAIAAAADNDAwBAAAAAEwBwAAAAk0LzI3LzIwMjYIAAAACTkvMjgvMjAyNAkAAAABMJO2rOtlpd4ItWTV62Wl3ggqQ0lRLkFBUEwuSVFfRUJJVERBLklRX0ZZLTEuNC8yNy8yMDI2Li4uVVNEAQAAAGlhAAACAAAABjEzNDY2MQEIAAAABQAAAAExAQAAAAstMTkxOTIyNDE4MwMAAAADMTYwAgAAAAQ0MDUxBAAAAAEwBwAAAAk0LzI3LzIwMjYIAAAACTkvMjgvMjAyNAkAAAABMJO2rOtlpd4ItWTV62Wl3ggpQ0lRLkFBUEwuSVFfQ0FQRVguSVFfRlktMS40LzI3LzIwMjYuLi5VU0QBAAAAaWEAAAIAAAAFLTk0NDcBCAAAAAUAAAABMQEAAAALLTE5MTkyMjQxODMDAAAAAzE2MAIAAAAEMjAyMQQAAAABMAcAAAAJNC8yNy8yMDI2CAAAAAk5LzI4LzIwMjQJAAAAATCTtqzrZaXeCLVk1etlpd4IKENJUS5BQVBMLklRX0VCSVQuSVFfRlktMi40LzI3LzIwMjYuLi5VU0QBAAAAaWEAAAIAAAAGMTE0MzAxAQgAAAAFAAAAATEBAAAACy0xOTE5MjI0MTcyAwAAAAMxNjACAAAAAzQwMAQAAAABMAcAAAAJNC8yNy8yMDI2CAAAAAk5LzMwLzIwMjMJAAAAATCTtqzrZaXeCLVk1etlpd4IL0NJUS5BQVBMLklRX0RBX1NVUFBMX0NGLklRX0ZZLTMuNC8yNy8yMDI2Li4uVVNEAQAAAGlhAAACAAAABTExMTA0AQgAAAAFAAAAATEBAAAACy0xOTcwOTMyNjcxAwAAAAMxNjACAAAABDIxNzEEAAAAATAHAAAACTQvMjcvMjAy</t>
  </si>
  <si>
    <t>NggAAAAJOS8yNC8yMDIyCQAAAAEwhKLZqGCl3ghvgQipYKXeCDNDSVEuQUFQTC5JUV9EQV9TVVBQTF9DRi5DVVJSRU5UL0xUTS40LzI3LzIwMjYuLi5VU0QFAAAAAAAAAAgAAAAVKEludmFsaWQgVGltZSBQZXJpb2QpkdcaqmCl3ghAIEiqYKXeCC9DSVEuQUFQTC5JUV9EQV9TVVBQTF9DRi5JUV9GWS0yLjQvMjcvMjAyNi4uLlVTRAEAAABpYQAAAgAAAAUxMTUxOQEIAAAABQAAAAExAQAAAAstMTkxOTIyNDE3MgMAAAADMTYwAgAAAAQyMTcxBAAAAAEwBwAAAAk0LzI3LzIwMjYIAAAACTkvMzAvMjAyMwkAAAABMJHXGqpgpd4IQCBIqmCl3ggvQ0lRLkFBUEwuSVFfREFfU1VQUExfQ0YuSVFfRlktMS40LzI3LzIwMjYuLi5VU0QBAAAAaWEAAAIAAAAFMTE0NDUBCAAAAAUAAAABMQEAAAALLTE5MTkyMjQxODMDAAAAAzE2MAIAAAAEMjE3MQQAAAABMAcAAAAJNC8yNy8yMDI2CAAAAAk5LzI4LzIwMjQJAAAAATCR1xqqYKXeCEAgSKpgpd4IK0NJUS5BQVBMLklRX1RPVEFMX1JFVi5JUV9GWS40LzI3LzIwMjYuLi5VU0QBAAAAaWEAAAIAAAAGNDE2MTYxAQgAAAAFAAAAATEBAAAACy0xOTE5MjI0MTg2AwAAAAMxNjACAAAAAjI4BAAAAAEwBwAAAAk0LzI3LzIwMjYIAAAACTkvMjcvMjAyNQkAAAABMJO2rOtlpd4ItWTV62Wl3ggrQ0lRLkFBUEwuSVFfREFfRUJJVERBLklRX0ZZLjQvMjcvMjAyNi4uLlVTRAEAAABp</t>
  </si>
  <si>
    <t>YQAAAgAAAAUxMTY5OAEIAAAABQAAAAExAQAAAAstMTkxOTIyNDE4NgMAAAADMTYwAgAAAAQyMjA2BAAAAAEwBwAAAAk0LzI3LzIwMjYIAAAACTkvMjcvMjAyNQkAAAABMJO2rOtlpd4ItWTV62Wl3ggzQ0lRLkFBUEwuSVFfU1RPQ0tfQkFTRURfVE9UQUwuSVFfRlkuNC8yNy8yMDI2Li4uVVNEAQAAAGlhAAACAAAABTEyODYzAQgAAAAFAAAAATEBAAAACy0xOTE5MjI0MTg2AwAAAAMxNjACAAAABTI0MDM0BAAAAAEwBwAAAAk0LzI3LzIwMjYIAAAACTkvMjcvMjAyNQkAAAABMJO2rOtlpd4ItWTV62Wl3ggmQ0lRLkFBUEwuSVFfQ09HUy5JUV9GWS40LzI3LzIwMjYuLi5VU0QBAAAAaWEAAAIAAAAGMjIwOTYwAQgAAAAFAAAAATEBAAAACy0xOTE5MjI0MTg2AwAAAAMxNjACAAAAAjM0BAAAAAEwBwAAAAk0LzI3LzIwMjYIAAAACTkvMjcvMjAyNQkAAAABMJO2rOtlpd4ItWTV62Wl3ggoQ0lRLkFBUEwuSVFfRUJJVERBLklRX0ZZLjQvMjcvMjAyNi4uLlVTRAEAAABpYQAAAgAAAAYxNDQ3NDgBCAAAAAUAAAABMQEAAAALLTE5MTkyMjQxODYDAAAAAzE2MAIAAAAENDA1MQQAAAABMAcAAAAJNC8yNy8yMDI2CAAAAAk5LzI3LzIwMjUJAAAAATCTtqzrZaXeCLVk1etlpd4IJ0NJUS5BQVBMLklRX0NBUEVYLklRX0ZZLjQvMjcvMjAyNi4uLlVTRAEAAABpYQAAAgAAAAYtMTI3MTUBCAAAAAUAAAABMQEAAAALLTE5MTky</t>
  </si>
  <si>
    <t>MjQxODYDAAAAAzE2MAIAAAAEMjAyMQQAAAABMAcAAAAJNC8yNy8yMDI2CAAAAAk5LzI3LzIwMjUJAAAAATCTtqzrZaXeCLVk1etlpd4IJENJUS5BQVBMLklRX0dQLklRX0ZZLjQvMjcvMjAyNi4uLlVTRAEAAABpYQAAAgAAAAYxOTUyMDEBCAAAAAUAAAABMQEAAAALLTE5MTkyMjQxODYDAAAAAzE2MAIAAAACMTAEAAAAATAHAAAACTQvMjcvMjAyNggAAAAJOS8yNy8yMDI1CQAAAAEwk7as62Wl3gi1ZNXrZaXeCCZDSVEuQUFQTC5JUV9FQklULklRX0ZZLjQvMjcvMjAyNi4uLlVTRAEAAABpYQAAAgAAAAYxMzMwNTABCAAAAAUAAAABMQEAAAALLTE5MTkyMjQxODYDAAAAAzE2MAIAAAADNDAwBAAAAAEwBwAAAAk0LzI3LzIwMjYIAAAACTkvMjcvMjAyNQkAAAABMJO2rOtlpd4ItWTV62Wl3ggyQ0lRLkFBUEwuSVFfVE9UQUxfT1BFUl9FWFBFTi5JUV9GWS40LzI3LzIwMjYuLi5VU0QBAAAAaWEAAAIAAAAGMjgzMTExAQgAAAAFAAAAATEBAAAACy0xOTE5MjI0MTg2AwAAAAMxNjACAAAAAzM3MwQAAAABMAcAAAAJNC8yNy8yMDI2CAAAAAk5LzI3LzIwMjUJAAAAATD9fT73YKXeCI3obvdgpd4INENJUS5BQVBMLklRX1RPVEFMX09USEVSX09QRVIuSVFfRlktMy40LzI3LzIwMjYuLi5VU0QBAAAAaWEAAAIAAAAFNTEzNDUBCAAAAAUAAAABMQEAAAALLTE5NzA5MzI2NzEDAAAAAzE2MAIAAAADMzgwBAAAAAEwBwAA</t>
  </si>
  <si>
    <t>AAk0LzI3LzIwMjYIAAAACTkvMjQvMjAyMgkAAAABMA6+19tjpd4IPS64qmWl3gg0Q0lRLkFBUEwuSVFfVE9UQUxfT1RIRVJfT1BFUi5JUV9GWS0yLjQvMjcvMjAyNi4uLlVTRAEAAABpYQAAAgAAAAU1NDg0NwEIAAAABQAAAAExAQAAAAstMTkxOTIyNDE3MgMAAAADMTYwAgAAAAMzODAEAAAAATAHAAAACTQvMjcvMjAyNggAAAAJOS8zMC8yMDIzCQAAAAEwk7as62Wl3gi1ZNXrZaXeCDRDSVEuQUFQTC5JUV9UT1RBTF9PVEhFUl9PUEVSLklRX0ZZLTEuNC8yNy8yMDI2Li4uVVNEAQAAAGlhAAACAAAABTU3NDY3AQgAAAAFAAAAATEBAAAACy0xOTE5MjI0MTgzAwAAAAMxNjACAAAAAzM4MAQAAAABMAcAAAAJNC8yNy8yMDI2CAAAAAk5LzI4LzIwMjQJAAAAATCTtqzrZaXeCLVk1etlpd4IMkNJUS5BQVBMLklRX1RPVEFMX09USEVSX09QRVIuSVFfRlkuNC8yNy8yMDI2Li4uVVNEAQAAAGlhAAACAAAABTYyMTUxAQgAAAAFAAAAATEBAAAACy0xOTE5MjI0MTg2AwAAAAMxNjACAAAAAzM4MAQAAAABMAcAAAAJNC8yNy8yMDI2CAAAAAk5LzI3LzIwMjUJAAAAATCTtqzrZaXeCLVk1etlpd4ILUNJUS5BQVBMLklRX0RJVl9TSEFSRS5JUV9GWS0zLjQvMjcvMjAyNi4uLlVTRAEAAABpYQAAAgAAAAMwLjkBCAAAAAUAAAABMQEAAAALLTE5NzA5MzI2NzEDAAAAAzE2MAIAAAAEMzA1OAQAAAABMAcAAAAJNC8yNy8yMDI2</t>
  </si>
  <si>
    <t>CAAAAAk5LzI0LzIwMjIJAAAAATAOvtfbY6XeCCh8uKplpd4ILUNJUS5BQVBMLklRX0RJVl9TSEFSRS5JUV9GWS0yLjQvMjcvMjAyNi4uLlVTRAEAAABpYQAAAgAAAAQwLjk0AQgAAAAFAAAAATEBAAAACy0xOTE5MjI0MTcyAwAAAAMxNjACAAAABDMwNTgEAAAAATAHAAAACTQvMjcvMjAyNggAAAAJOS8zMC8yMDIzCQAAAAEwk7as62Wl3gi1ZNXrZaXeCC1DSVEuQUFQTC5JUV9ESVZfU0hBUkUuSVFfRlktMS40LzI3LzIwMjYuLi5VU0QBAAAAaWEAAAIAAAAEMC45OAEIAAAABQAAAAExAQAAAAstMTkxOTIyNDE4MwMAAAADMTYwAgAAAAQzMDU4BAAAAAEwBwAAAAk0LzI3LzIwMjYIAAAACTkvMjgvMjAyNAkAAAABMJO2rOtlpd4ItWTV62Wl3ggrQ0lRLkFBUEwuSVFfRElWX1NIQVJFLklRX0ZZLjQvMjcvMjAyNi4uLlVTRAEAAABpYQAAAgAAAAQxLjAyAQgAAAAFAAAAATEBAAAACy0xOTE5MjI0MTg2AwAAAAMxNjACAAAABDMwNTgEAAAAATAHAAAACTQvMjcvMjAyNggAAAAJOS8yNy8yMDI1CQAAAAEwk7as62Wl3gi1ZNXrZaXeCCBDSVEuQUFQTC5JUV9TVF9JTlZFU1QuLjQvMjcvMjAyNgEAAABpYQAAAgAAAAUyMTU5MAEIAAAABQAAAAExAQAAAAstMTkwODM3MjkwNAMAAAADMTYwAgAAAAQxMDY5BAAAAAEwBwAAAAk0LzI3LzIwMjYIAAAACjEyLzI3LzIwMjUJAAAAATCTtqzrZaXeCLVk1etlpd4IIkNJUS5B</t>
  </si>
  <si>
    <t>QVBMLklRX1BSRUZfRVFVSVRZLi40LzI3LzIwMjYBAAAAaWEAAAMAAAAAAJO2rOtlpd4ItWTV62Wl3ggsQ0lRLkFBUEwuSVFfTUFSS0VUQUJMRV9TRUNVUklUSUVTLi40LzI3LzIwMjYFAAAAAAAAAAgAAAAWKEludmFsaWQgRm9ybXVsYSBOYW1lKUWiCfdipd4IR+IUAGOl3ggpQ0lRLkFBUEwuSVFfTFRfTUFSS19TRUNVUklUSUVTLi40LzI3LzIwMjYBAAAAaWEAAAIAAAAFNzc4ODgBCAAAAAUAAAABMQEAAAALLTE5MDgzNzI5MDQDAAAAAzE2MAIAAAAFNDg5NzIEAAAAATAHAAAACTQvMjcvMjAyNggAAAAKMTIvMjcvMjAyNQkAAAABMJO2rOtlpd4ItWTV62Wl3gg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</si>
</sst>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#,##0_);\(#,##0\);#,##0_);@_)"/>
    <numFmt numFmtId="166" formatCode="#,##0.00_);\(#,##0.00\);#,##0.00_);@_)"/>
  </numFmts>
  <fonts count="9" x14ac:knownFonts="1">
    <font>
      <sz val="11"/>
      <color theme="1"/>
      <name val="Calibri"/>
      <family val="2"/>
      <scheme val="minor"/>
    </font>
    <font>
      <sz val="10"/>
      <color rgb="FF0000FF"/>
      <name val="Arial"/>
      <family val="2"/>
    </font>
    <font>
      <b/>
      <i/>
      <sz val="10"/>
      <color rgb="FF808080"/>
      <name val="Arial"/>
      <family val="2"/>
    </font>
    <font>
      <sz val="10"/>
      <color theme="1"/>
      <name val="Arial"/>
      <family val="2"/>
    </font>
    <font>
      <b/>
      <sz val="10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rgb="FF0070C0"/>
        <bgColor indexed="64"/>
      </patternFill>
    </fill>
  </fills>
  <borders count="4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164" fontId="1" fillId="2" borderId="1" xfId="0" applyNumberFormat="1" applyFont="1" applyFill="1" applyBorder="1"/>
    <xf numFmtId="0" fontId="2" fillId="0" borderId="0" xfId="0" applyFont="1"/>
    <xf numFmtId="0" fontId="3" fillId="0" borderId="0" xfId="0" applyFont="1"/>
    <xf numFmtId="0" fontId="4" fillId="0" borderId="0" xfId="0" applyFont="1"/>
    <xf numFmtId="164" fontId="1" fillId="2" borderId="1" xfId="0" applyNumberFormat="1" applyFont="1" applyFill="1" applyBorder="1" applyAlignment="1">
      <alignment horizontal="right"/>
    </xf>
    <xf numFmtId="0" fontId="6" fillId="0" borderId="0" xfId="0" applyFont="1" applyAlignment="1">
      <alignment horizontal="right"/>
    </xf>
    <xf numFmtId="165" fontId="6" fillId="0" borderId="0" xfId="0" applyNumberFormat="1" applyFont="1"/>
    <xf numFmtId="166" fontId="6" fillId="0" borderId="0" xfId="0" applyNumberFormat="1" applyFont="1"/>
    <xf numFmtId="0" fontId="7" fillId="0" borderId="2" xfId="0" applyFont="1" applyBorder="1"/>
    <xf numFmtId="165" fontId="8" fillId="0" borderId="2" xfId="0" applyNumberFormat="1" applyFont="1" applyBorder="1"/>
    <xf numFmtId="165" fontId="3" fillId="0" borderId="0" xfId="0" applyNumberFormat="1" applyFont="1"/>
    <xf numFmtId="0" fontId="5" fillId="3" borderId="0" xfId="0" applyFont="1" applyFill="1" applyAlignment="1">
      <alignment horizontal="center"/>
    </xf>
    <xf numFmtId="0" fontId="7" fillId="0" borderId="3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customProperty" Target="../customProperty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8F87C-69F9-4A9A-8F5D-82A174AB3792}">
  <dimension ref="A1:T1"/>
  <sheetViews>
    <sheetView workbookViewId="0"/>
  </sheetViews>
  <sheetFormatPr defaultRowHeight="15" x14ac:dyDescent="0.25"/>
  <sheetData>
    <row r="1" spans="1:20" x14ac:dyDescent="0.25">
      <c r="A1">
        <v>20</v>
      </c>
      <c r="B1" t="s">
        <v>40</v>
      </c>
      <c r="C1" t="s">
        <v>41</v>
      </c>
      <c r="D1" t="s">
        <v>42</v>
      </c>
      <c r="E1" t="s">
        <v>43</v>
      </c>
      <c r="F1" t="s">
        <v>29</v>
      </c>
      <c r="G1" t="s">
        <v>32</v>
      </c>
      <c r="H1" t="s">
        <v>44</v>
      </c>
      <c r="I1" t="s">
        <v>45</v>
      </c>
      <c r="J1" t="s">
        <v>46</v>
      </c>
      <c r="K1" t="s">
        <v>38</v>
      </c>
      <c r="L1" t="s">
        <v>47</v>
      </c>
      <c r="M1" t="s">
        <v>48</v>
      </c>
      <c r="N1" t="s">
        <v>49</v>
      </c>
      <c r="O1" t="s">
        <v>50</v>
      </c>
      <c r="P1" t="s">
        <v>51</v>
      </c>
      <c r="Q1" t="s">
        <v>52</v>
      </c>
      <c r="R1" t="s">
        <v>53</v>
      </c>
      <c r="S1" t="s">
        <v>54</v>
      </c>
      <c r="T1" t="s">
        <v>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40"/>
  <sheetViews>
    <sheetView showGridLines="0" tabSelected="1" workbookViewId="0"/>
  </sheetViews>
  <sheetFormatPr defaultRowHeight="12.75" x14ac:dyDescent="0.2"/>
  <cols>
    <col min="1" max="1" width="2.7109375" style="3" customWidth="1"/>
    <col min="2" max="2" width="35" style="3" customWidth="1"/>
    <col min="3" max="6" width="16" style="3" customWidth="1"/>
    <col min="7" max="16384" width="9.140625" style="3"/>
  </cols>
  <sheetData>
    <row r="2" spans="2:6" x14ac:dyDescent="0.2">
      <c r="B2" s="13" t="str">
        <f>fetcher_ticker&amp;" | CapIQ Fetcher"</f>
        <v>AAPL | CapIQ Fetcher</v>
      </c>
      <c r="C2" s="13"/>
      <c r="D2" s="13"/>
      <c r="E2" s="13"/>
      <c r="F2" s="13"/>
    </row>
    <row r="4" spans="2:6" x14ac:dyDescent="0.2">
      <c r="B4" s="2" t="s">
        <v>0</v>
      </c>
    </row>
    <row r="5" spans="2:6" x14ac:dyDescent="0.2">
      <c r="B5" s="4" t="s">
        <v>1</v>
      </c>
      <c r="C5" s="3" t="s">
        <v>2</v>
      </c>
    </row>
    <row r="6" spans="2:6" x14ac:dyDescent="0.2">
      <c r="B6" s="4" t="s">
        <v>3</v>
      </c>
      <c r="C6" s="5" t="s">
        <v>4</v>
      </c>
    </row>
    <row r="7" spans="2:6" x14ac:dyDescent="0.2">
      <c r="B7" s="4" t="s">
        <v>22</v>
      </c>
      <c r="C7" s="1">
        <v>46139</v>
      </c>
    </row>
    <row r="8" spans="2:6" x14ac:dyDescent="0.2">
      <c r="B8" s="4" t="s">
        <v>37</v>
      </c>
      <c r="C8" s="1">
        <v>46022</v>
      </c>
    </row>
    <row r="10" spans="2:6" x14ac:dyDescent="0.2">
      <c r="B10" s="12" t="s">
        <v>5</v>
      </c>
      <c r="C10" s="12" t="s">
        <v>27</v>
      </c>
      <c r="D10" s="12" t="s">
        <v>28</v>
      </c>
      <c r="E10" s="12" t="s">
        <v>31</v>
      </c>
      <c r="F10" s="12" t="s">
        <v>39</v>
      </c>
    </row>
    <row r="12" spans="2:6" x14ac:dyDescent="0.2">
      <c r="B12" s="3" t="s">
        <v>6</v>
      </c>
      <c r="F12" s="6" t="str">
        <f>_xll.ciqfunctions.udf.CIQ(fetcher_ticker, "IQ_COMPANY_NAME")</f>
        <v>Apple Inc.</v>
      </c>
    </row>
    <row r="13" spans="2:6" x14ac:dyDescent="0.2">
      <c r="B13" s="3" t="s">
        <v>7</v>
      </c>
      <c r="F13" s="6" t="str">
        <f>_xll.ciqfunctions.udf.CIQ(fetcher_ticker, "IQ_INDUSTRY_SECTOR")</f>
        <v>Information Technology</v>
      </c>
    </row>
    <row r="14" spans="2:6" x14ac:dyDescent="0.2">
      <c r="B14" s="3" t="s">
        <v>8</v>
      </c>
      <c r="F14" s="6" t="str">
        <f>_xll.ciqfunctions.udf.CIQ(fetcher_ticker, "IQ_FILING_CURRENCY", , date)</f>
        <v>USD</v>
      </c>
    </row>
    <row r="15" spans="2:6" x14ac:dyDescent="0.2">
      <c r="B15" s="3" t="s">
        <v>9</v>
      </c>
      <c r="F15" s="6" t="str">
        <f>_xll.ciqfunctions.udf.CIQ(fetcher_ticker, "IQ_COMPANY_STATUS")</f>
        <v>Operating</v>
      </c>
    </row>
    <row r="18" spans="2:6" x14ac:dyDescent="0.2">
      <c r="B18" s="3" t="s">
        <v>10</v>
      </c>
      <c r="F18" s="8">
        <f>_xll.ciqfunctions.udf.CIQ(fetcher_ticker, "IQ_LASTSALEPRICE", date)</f>
        <v>267.61</v>
      </c>
    </row>
    <row r="19" spans="2:6" x14ac:dyDescent="0.2">
      <c r="B19" s="3" t="s">
        <v>11</v>
      </c>
      <c r="F19" s="7">
        <f>_xll.ciqfunctions.udf.CIQ(fetcher_ticker, "IQ_SHARESOUTSTANDING_OUT", date)</f>
        <v>14681.14</v>
      </c>
    </row>
    <row r="20" spans="2:6" x14ac:dyDescent="0.2">
      <c r="B20" s="9" t="s">
        <v>23</v>
      </c>
      <c r="C20" s="9"/>
      <c r="D20" s="9"/>
      <c r="E20" s="9"/>
      <c r="F20" s="10">
        <f>F18*F19</f>
        <v>3928819.8754000003</v>
      </c>
    </row>
    <row r="21" spans="2:6" x14ac:dyDescent="0.2">
      <c r="B21" s="3" t="s">
        <v>12</v>
      </c>
      <c r="F21" s="7">
        <f>_xll.ciqfunctions.udf.CIQ(fetcher_ticker, "IQ_CASH_EQUIV", , date)</f>
        <v>45317</v>
      </c>
    </row>
    <row r="22" spans="2:6" x14ac:dyDescent="0.2">
      <c r="B22" s="3" t="s">
        <v>34</v>
      </c>
      <c r="F22" s="7">
        <f>_xll.ciqfunctions.udf.CIQ(fetcher_ticker, "IQ_ST_INVEST", , date)</f>
        <v>21590</v>
      </c>
    </row>
    <row r="23" spans="2:6" x14ac:dyDescent="0.2">
      <c r="B23" s="3" t="s">
        <v>13</v>
      </c>
      <c r="F23" s="7">
        <f>_xll.ciqfunctions.udf.CIQ(fetcher_ticker, "IQ_TOTAL_DEBT_EXCL_OPER_LEASES", , date)</f>
        <v>90509</v>
      </c>
    </row>
    <row r="24" spans="2:6" x14ac:dyDescent="0.2">
      <c r="B24" s="3" t="s">
        <v>35</v>
      </c>
      <c r="F24" s="7">
        <f>_xll.ciqfunctions.udf.CIQ(fetcher_ticker, "IQ_PREF_EQUITY", , date)</f>
        <v>0</v>
      </c>
    </row>
    <row r="25" spans="2:6" x14ac:dyDescent="0.2">
      <c r="B25" s="3" t="s">
        <v>14</v>
      </c>
      <c r="F25" s="7">
        <f>_xll.ciqfunctions.udf.CIQ(fetcher_ticker, "IQ_MINORITY_INTEREST", , date)</f>
        <v>0</v>
      </c>
    </row>
    <row r="26" spans="2:6" x14ac:dyDescent="0.2">
      <c r="B26" s="3" t="s">
        <v>15</v>
      </c>
      <c r="F26" s="7">
        <f>_xll.ciqfunctions.udf.CIQ(fetcher_ticker, "IQ_EQUITY_METHOD", , date)</f>
        <v>0</v>
      </c>
    </row>
    <row r="27" spans="2:6" x14ac:dyDescent="0.2">
      <c r="B27" s="3" t="s">
        <v>36</v>
      </c>
      <c r="F27" s="11">
        <f>_xll.ciqfunctions.udf.CIQ(fetcher_ticker, "IQ_LT_Mark_Securities", , date)</f>
        <v>77888</v>
      </c>
    </row>
    <row r="28" spans="2:6" x14ac:dyDescent="0.2">
      <c r="B28" s="9" t="s">
        <v>24</v>
      </c>
      <c r="C28" s="9"/>
      <c r="D28" s="9"/>
      <c r="E28" s="9"/>
      <c r="F28" s="10">
        <f>+F20-F21-F22+F23+F24+F25-F26-F27</f>
        <v>3874533.8754000003</v>
      </c>
    </row>
    <row r="31" spans="2:6" x14ac:dyDescent="0.2">
      <c r="B31" s="3" t="s">
        <v>16</v>
      </c>
      <c r="C31" s="7">
        <f>_xll.ciqfunctions.udf.CIQ($C$6, "IQ_TOTAL_REV", C$10, $C$7, , , "USD")</f>
        <v>383285</v>
      </c>
      <c r="D31" s="7">
        <f>_xll.ciqfunctions.udf.CIQ($C$6, "IQ_TOTAL_REV", D$10, $C$7, , , "USD")</f>
        <v>391035</v>
      </c>
      <c r="E31" s="7">
        <f>_xll.ciqfunctions.udf.CIQ($C$6, "IQ_TOTAL_REV", E$10, $C$7, , , "USD")</f>
        <v>416161</v>
      </c>
    </row>
    <row r="32" spans="2:6" x14ac:dyDescent="0.2">
      <c r="B32" s="3" t="s">
        <v>17</v>
      </c>
      <c r="C32" s="7">
        <f>_xll.ciqfunctions.udf.CIQ($C$6, "IQ_COGS", C$10, $C$7, , , "USD")</f>
        <v>214137</v>
      </c>
      <c r="D32" s="7">
        <f>_xll.ciqfunctions.udf.CIQ($C$6, "IQ_COGS", D$10, $C$7, , , "USD")</f>
        <v>210352</v>
      </c>
      <c r="E32" s="7">
        <f>_xll.ciqfunctions.udf.CIQ($C$6, "IQ_COGS", E$10, $C$7, , , "USD")</f>
        <v>220960</v>
      </c>
    </row>
    <row r="33" spans="2:5" x14ac:dyDescent="0.2">
      <c r="B33" s="3" t="s">
        <v>18</v>
      </c>
      <c r="C33" s="7">
        <f>_xll.ciqfunctions.udf.CIQ($C$6, "IQ_GP", C$10, $C$7, , , "USD")</f>
        <v>169148</v>
      </c>
      <c r="D33" s="7">
        <f>_xll.ciqfunctions.udf.CIQ($C$6, "IQ_GP", D$10, $C$7, , , "USD")</f>
        <v>180683</v>
      </c>
      <c r="E33" s="7">
        <f>_xll.ciqfunctions.udf.CIQ($C$6, "IQ_GP", E$10, $C$7, , , "USD")</f>
        <v>195201</v>
      </c>
    </row>
    <row r="34" spans="2:5" x14ac:dyDescent="0.2">
      <c r="B34" s="3" t="s">
        <v>25</v>
      </c>
      <c r="C34" s="7">
        <f>_xll.ciqfunctions.udf.CIQ($C$6, "IQ_TOTAL_OTHER_OPER", C$10, $C$7, , , "USD")</f>
        <v>54847</v>
      </c>
      <c r="D34" s="7">
        <f>_xll.ciqfunctions.udf.CIQ($C$6, "IQ_TOTAL_OTHER_OPER", D$10, $C$7, , , "USD")</f>
        <v>57467</v>
      </c>
      <c r="E34" s="7">
        <f>_xll.ciqfunctions.udf.CIQ($C$6, "IQ_TOTAL_OTHER_OPER", E$10, $C$7, , , "USD")</f>
        <v>62151</v>
      </c>
    </row>
    <row r="35" spans="2:5" x14ac:dyDescent="0.2">
      <c r="B35" s="3" t="s">
        <v>19</v>
      </c>
      <c r="C35" s="7">
        <f>_xll.ciqfunctions.udf.CIQ($C$6, "IQ_DA_EBITDA", C$10, $C$7, , , "USD")</f>
        <v>11519</v>
      </c>
      <c r="D35" s="7">
        <f>_xll.ciqfunctions.udf.CIQ($C$6, "IQ_DA_EBITDA", D$10, $C$7, , , "USD")</f>
        <v>11445</v>
      </c>
      <c r="E35" s="7">
        <f>_xll.ciqfunctions.udf.CIQ($C$6, "IQ_DA_EBITDA", E$10, $C$7, , , "USD")</f>
        <v>11698</v>
      </c>
    </row>
    <row r="36" spans="2:5" x14ac:dyDescent="0.2">
      <c r="B36" s="3" t="s">
        <v>20</v>
      </c>
      <c r="C36" s="7">
        <f>_xll.ciqfunctions.udf.CIQ($C$6, "IQ_EBITDA", C$10, $C$7, , , "USD")</f>
        <v>125820</v>
      </c>
      <c r="D36" s="7">
        <f>_xll.ciqfunctions.udf.CIQ($C$6, "IQ_EBITDA", D$10, $C$7, , , "USD")</f>
        <v>134661</v>
      </c>
      <c r="E36" s="7">
        <f>_xll.ciqfunctions.udf.CIQ($C$6, "IQ_EBITDA", E$10, $C$7, , , "USD")</f>
        <v>144748</v>
      </c>
    </row>
    <row r="37" spans="2:5" x14ac:dyDescent="0.2">
      <c r="B37" s="3" t="s">
        <v>21</v>
      </c>
      <c r="C37" s="7">
        <f>_xll.ciqfunctions.udf.CIQ($C$6, "IQ_EBIT", C$10, $C$7, , , "USD")</f>
        <v>114301</v>
      </c>
      <c r="D37" s="7">
        <f>_xll.ciqfunctions.udf.CIQ($C$6, "IQ_EBIT", D$10, $C$7, , , "USD")</f>
        <v>123216</v>
      </c>
      <c r="E37" s="7">
        <f>_xll.ciqfunctions.udf.CIQ($C$6, "IQ_EBIT", E$10, $C$7, , , "USD")</f>
        <v>133050</v>
      </c>
    </row>
    <row r="38" spans="2:5" x14ac:dyDescent="0.2">
      <c r="B38" s="3" t="s">
        <v>26</v>
      </c>
      <c r="C38" s="7">
        <f>_xll.ciqfunctions.udf.CIQ($C$6, "IQ_Capex", C$10, $C$7, , , "USD")</f>
        <v>-10959</v>
      </c>
      <c r="D38" s="7">
        <f>_xll.ciqfunctions.udf.CIQ($C$6, "IQ_Capex", D$10, $C$7, , , "USD")</f>
        <v>-9447</v>
      </c>
      <c r="E38" s="7">
        <f>_xll.ciqfunctions.udf.CIQ($C$6, "IQ_Capex", E$10, $C$7, , , "USD")</f>
        <v>-12715</v>
      </c>
    </row>
    <row r="39" spans="2:5" x14ac:dyDescent="0.2">
      <c r="B39" s="3" t="s">
        <v>30</v>
      </c>
      <c r="C39" s="7">
        <f>_xll.ciqfunctions.udf.CIQ($C$6, "IQ_STOCK_BASED_TOTAL", C$10, $C$7, , , "USD")</f>
        <v>10833</v>
      </c>
      <c r="D39" s="7">
        <f>_xll.ciqfunctions.udf.CIQ($C$6, "IQ_STOCK_BASED_TOTAL", D$10, $C$7, , , "USD")</f>
        <v>11688</v>
      </c>
      <c r="E39" s="7">
        <f>_xll.ciqfunctions.udf.CIQ($C$6, "IQ_STOCK_BASED_TOTAL", E$10, $C$7, , , "USD")</f>
        <v>12863</v>
      </c>
    </row>
    <row r="40" spans="2:5" x14ac:dyDescent="0.2">
      <c r="B40" s="3" t="s">
        <v>33</v>
      </c>
      <c r="C40" s="8">
        <f>_xll.ciqfunctions.udf.CIQ($C$6, "IQ_DIV_SHARE", C$10, $C$7, , , "USD")</f>
        <v>0.94</v>
      </c>
      <c r="D40" s="8">
        <f>_xll.ciqfunctions.udf.CIQ($C$6, "IQ_DIV_SHARE", D$10, $C$7, , , "USD")</f>
        <v>0.98</v>
      </c>
      <c r="E40" s="8">
        <f>_xll.ciqfunctions.udf.CIQ($C$6, "IQ_DIV_SHARE", E$10, $C$7, , , "USD")</f>
        <v>1.02</v>
      </c>
    </row>
  </sheetData>
  <pageMargins left="0.75" right="0.75" top="1" bottom="1" header="0.5" footer="0.5"/>
  <customProperties>
    <customPr name="Guid" r:id="rId1"/>
  </customPropertie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Fetcher</vt:lpstr>
      <vt:lpstr>date</vt:lpstr>
      <vt:lpstr>fetcher_date</vt:lpstr>
      <vt:lpstr>fetcher_ticker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Aubrey Ellis</cp:lastModifiedBy>
  <dcterms:created xsi:type="dcterms:W3CDTF">2026-04-27T19:54:25Z</dcterms:created>
  <dcterms:modified xsi:type="dcterms:W3CDTF">2026-04-29T01:37:21Z</dcterms:modified>
</cp:coreProperties>
</file>