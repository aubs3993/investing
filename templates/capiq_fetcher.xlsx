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ubre\Documents\python_projects\investing\templates\"/>
    </mc:Choice>
  </mc:AlternateContent>
  <xr:revisionPtr revIDLastSave="0" documentId="13_ncr:1_{32B37831-E182-40D6-902C-64D02B79CFB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_CIQHiddenCacheSheet" sheetId="7" state="veryHidden" r:id="rId1"/>
    <sheet name="Fetcher" sheetId="1" r:id="rId2"/>
  </sheets>
  <definedNames>
    <definedName name="CIQWBGuid" hidden="1">"f92a55ee-6c7d-4ef2-99ac-2cd3b931fa70"</definedName>
    <definedName name="CIQWBInfo" hidden="1">"{ ""CIQVersion"":""9.52.4409.4666"" }"</definedName>
    <definedName name="date">Fetcher!$B$4</definedName>
    <definedName name="fetcher_ticker">Fetcher!$B$3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45930.7803240741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B30" i="1"/>
  <c r="E20" i="1"/>
  <c r="E19" i="1"/>
  <c r="E18" i="1"/>
  <c r="E17" i="1"/>
  <c r="E16" i="1"/>
  <c r="E15" i="1"/>
  <c r="E14" i="1"/>
  <c r="E10" i="1"/>
  <c r="E11" i="1"/>
  <c r="E9" i="1"/>
  <c r="E8" i="1"/>
  <c r="E22" i="1" l="1"/>
  <c r="E23" i="1"/>
  <c r="B27" i="1"/>
  <c r="C27" i="1"/>
  <c r="D27" i="1"/>
  <c r="B28" i="1"/>
  <c r="C28" i="1"/>
  <c r="D28" i="1"/>
  <c r="B29" i="1"/>
  <c r="C29" i="1"/>
  <c r="D29" i="1"/>
  <c r="B31" i="1"/>
  <c r="C31" i="1"/>
  <c r="D31" i="1"/>
  <c r="B32" i="1"/>
  <c r="C32" i="1"/>
  <c r="D32" i="1"/>
  <c r="B33" i="1"/>
  <c r="C33" i="1"/>
  <c r="D33" i="1"/>
  <c r="B34" i="1"/>
  <c r="C34" i="1"/>
  <c r="D34" i="1"/>
  <c r="E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scaffold_capiq_fetcher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Set this to the ticker you want to fetch. Workbook will refresh CapIQ formulas automatically when you change it (and when fetch_capiq.py drives it programmatically).</t>
        </r>
      </text>
    </comment>
    <comment ref="B4" authorId="0" shapeId="0" xr:uid="{92796E1F-50EB-4C67-8FD0-16D2701BFDFB}">
      <text>
        <r>
          <rPr>
            <sz val="11"/>
            <color theme="1"/>
            <rFont val="Calibri"/>
            <family val="2"/>
            <scheme val="minor"/>
          </rPr>
          <t>Set this to the date you want to use for the market data</t>
        </r>
      </text>
    </comment>
  </commentList>
</comments>
</file>

<file path=xl/sharedStrings.xml><?xml version="1.0" encoding="utf-8"?>
<sst xmlns="http://schemas.openxmlformats.org/spreadsheetml/2006/main" count="36" uniqueCount="36">
  <si>
    <t>CapIQ Fetcher — formulas only. Open in Excel with CapIQ plugin loaded to refresh.</t>
  </si>
  <si>
    <t>Run via:</t>
  </si>
  <si>
    <t>python -m shared.fetch_capiq &lt;TICKER&gt;</t>
  </si>
  <si>
    <t>Ticker:</t>
  </si>
  <si>
    <t>AAPL</t>
  </si>
  <si>
    <t>Field</t>
  </si>
  <si>
    <t>FY-3</t>
  </si>
  <si>
    <t>FY-2</t>
  </si>
  <si>
    <t>FY-1</t>
  </si>
  <si>
    <t>Current/LTM</t>
  </si>
  <si>
    <t>Company Name</t>
  </si>
  <si>
    <t>Sector</t>
  </si>
  <si>
    <t>Currency</t>
  </si>
  <si>
    <t>Filing Status</t>
  </si>
  <si>
    <t>Current Price</t>
  </si>
  <si>
    <t>Diluted Shares Out</t>
  </si>
  <si>
    <t>Quarterly DPS</t>
  </si>
  <si>
    <t>Cash &amp; Equivalents</t>
  </si>
  <si>
    <t>Total Debt</t>
  </si>
  <si>
    <t>Minority Interest</t>
  </si>
  <si>
    <t>Equity Investments</t>
  </si>
  <si>
    <t>Effective Tax Rate</t>
  </si>
  <si>
    <t>Revenue</t>
  </si>
  <si>
    <t>COGS</t>
  </si>
  <si>
    <t>Gross Profit</t>
  </si>
  <si>
    <t>D&amp;A</t>
  </si>
  <si>
    <t>EBITDA</t>
  </si>
  <si>
    <t>EBIT</t>
  </si>
  <si>
    <t>Date</t>
  </si>
  <si>
    <t>Market Cap</t>
  </si>
  <si>
    <t>Net Debt</t>
  </si>
  <si>
    <t>Enterprise Value</t>
  </si>
  <si>
    <t>Total Opex</t>
  </si>
  <si>
    <t>Capex</t>
  </si>
  <si>
    <t>BAABTAVMT0NBTAFI/////wFQDQAAABhDSVEuQUFQTC5JUV9DT01QQU5ZX05BTUUBAAAAaWEAAAMAAAAKQXBwbGUgSW5jLgAKTnGNdaTeCAuVvWN3pN4IG0NJUS5BQVBMLklRX0lORFVTVFJZX1NFQ1RPUgEAAABpYQAAAwAAABZJbmZvcm1hdGlvbiBUZWNobm9sb2d5AA47KLt1pN4IC5W9Y3ek3ggmQ0lRLkFBUEwuSVFfRklMSU5HX0NVUlJFTkNZLi40LzI3LzIwMjYBAAAAaWEAAAMAAAADVVNEAN1wcuB1pN4IC5W9Y3ek3ggaQ0lRLkFBUEwuSVFfQ09NUEFOWV9TVEFUVVMBAAAAaWEAAAMAAAAJT3BlcmF0aW5nAK9QmvB1pN4IC5W9Y3ek3ggjQ0lRLkFBUEwuSVFfTEFTVFNBTEVQUklDRS40LzI3LzIwMjYBAAAAaWEAAAIAAAAGMjY3LjYyAGy8nU92pN4IC5W9Y3ek3ggrQ0lRLkFBUEwuSVFfU0hBUkVTT1VUU1RBTkRJTkdfT1VULjQvMjcvMjAyNgEAAABpYQAAAgAAAAgxNDY4MS4xNAALJohpdqTeCAuVvWN3pN4IIENJUS5BQVBMLklRX0RJVl9TSEFSRS4uNC8yNy8yMDI2AQAAAGlhAAACAAAABDEuMDMBCAAAAAUAAAABMQEAAAALLTE5MDgzNzI5MDQDAAAAAzE2MAIAAAAEMzA1OAQAAAABMAcAAAAJNC8yNy8yMDI2CAAAAAoxMi8yNy8yMDI1CQAAAAEwo7oVjHak3ggLlb1jd6TeCB1DSVEuLklRX0NBU0hfRVFVSVYuLjQvMjcvMjAyNgUAAAAAAAAACAAAABQoSW52YWxpZCBJZGVudGlmaWVyKQTJ9Jt2pN4I</t>
  </si>
  <si>
    <t>mxwdnHak3ggeQ0lRLjAuSVFfQ0FTSF9FUVVJVi4uNC8yNy8yMDI2BQAAAAAAAAAIAAAAFChJbnZhbGlkIElkZW50aWZpZXIpBMn0m3ak3ggEyfSbdqTeCCFDSVEuQUFQTC5JUV9DQVNIX0VRVUlWLi40LzI3LzIwMjYBAAAAaWEAAAIAAAAFNDUzMTcBCAAAAAUAAAABMQEAAAALLTE5MDgzNzI5MDQDAAAAAzE2MAIAAAAEMTA5NgQAAAABMAcAAAAJNC8yNy8yMDI2CAAAAAoxMi8yNy8yMDI1CQAAAAEw/wU/p3ak3ggLlb1jd6TeCDJDSVEuQUFQTC5JUV9UT1RBTF9ERUJUX0VYQ0xfT1BFUl9MRUFTRVMuLjQvMjcvMjAyNgEAAABpYQAAAgAAAAU5MDUwOQEIAAAABQAAAAExAQAAAAstMTkwODM3MjkwNAMAAAADMTYwAgAAAAU0ODk4MgQAAAABMAcAAAAJNC8yNy8yMDI2CAAAAAoxMi8yNy8yMDI1CQAAAAEwG2oCu3ak3ggLlb1jd6TeCChDSVEuQUFQTC5JUV9NSU5PUklUWV9JTlRFUkVTVC4uNC8yNy8yMDI2AQAAAGlhAAADAAAAAACOe0TJdqTeCAuVvWN3pN4IJENJUS5BQVBMLklRX0VRVUlUWV9NRVRIT0QuLjQvMjcvMjAyNgEAAABpYQAAAwAAAAAAg51F4Hak3ggLlb1jd6T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</si>
</sst>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0"/>
      <color rgb="FF808080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0" xfId="0" applyFont="1" applyFill="1" applyAlignment="1">
      <alignment horizontal="center"/>
    </xf>
    <xf numFmtId="0" fontId="5" fillId="0" borderId="0" xfId="0" applyFont="1"/>
    <xf numFmtId="14" fontId="3" fillId="2" borderId="1" xfId="0" applyNumberFormat="1" applyFont="1" applyFill="1" applyBorder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AB75-9219-43A6-8C07-B178383B3E69}">
  <dimension ref="A1:C1"/>
  <sheetViews>
    <sheetView workbookViewId="0"/>
  </sheetViews>
  <sheetFormatPr defaultRowHeight="15" x14ac:dyDescent="0.25"/>
  <sheetData>
    <row r="1" spans="1:3" x14ac:dyDescent="0.25">
      <c r="A1">
        <v>3</v>
      </c>
      <c r="B1" t="s">
        <v>34</v>
      </c>
      <c r="C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" workbookViewId="0">
      <selection activeCell="B30" sqref="B30"/>
    </sheetView>
  </sheetViews>
  <sheetFormatPr defaultRowHeight="15" x14ac:dyDescent="0.25"/>
  <cols>
    <col min="1" max="1" width="35" customWidth="1"/>
    <col min="2" max="5" width="16" customWidth="1"/>
  </cols>
  <sheetData>
    <row r="1" spans="1:5" x14ac:dyDescent="0.25">
      <c r="A1" s="1" t="s">
        <v>0</v>
      </c>
    </row>
    <row r="2" spans="1:5" x14ac:dyDescent="0.25">
      <c r="A2" s="2" t="s">
        <v>1</v>
      </c>
      <c r="B2" t="s">
        <v>2</v>
      </c>
    </row>
    <row r="3" spans="1:5" x14ac:dyDescent="0.25">
      <c r="A3" s="2" t="s">
        <v>3</v>
      </c>
      <c r="B3" s="3" t="s">
        <v>4</v>
      </c>
    </row>
    <row r="4" spans="1:5" x14ac:dyDescent="0.25">
      <c r="A4" s="2" t="s">
        <v>28</v>
      </c>
      <c r="B4" s="6">
        <v>46139</v>
      </c>
    </row>
    <row r="6" spans="1:5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8" spans="1:5" x14ac:dyDescent="0.25">
      <c r="A8" t="s">
        <v>10</v>
      </c>
      <c r="E8" s="5" t="str">
        <f>_xll.ciqfunctions.udf.CIQ($B$3, "IQ_COMPANY_NAME")</f>
        <v>Apple Inc.</v>
      </c>
    </row>
    <row r="9" spans="1:5" x14ac:dyDescent="0.25">
      <c r="A9" t="s">
        <v>11</v>
      </c>
      <c r="E9" s="5" t="str">
        <f>_xll.ciqfunctions.udf.CIQ($B$3, "IQ_INDUSTRY_SECTOR")</f>
        <v>Information Technology</v>
      </c>
    </row>
    <row r="10" spans="1:5" x14ac:dyDescent="0.25">
      <c r="A10" t="s">
        <v>12</v>
      </c>
      <c r="E10" s="5" t="str">
        <f>_xll.ciqfunctions.udf.CIQ($B$3, "IQ_FILING_CURRENCY", , $B$4)</f>
        <v>USD</v>
      </c>
    </row>
    <row r="11" spans="1:5" x14ac:dyDescent="0.25">
      <c r="A11" t="s">
        <v>13</v>
      </c>
      <c r="E11" s="5" t="str">
        <f>_xll.ciqfunctions.udf.CIQ($B$3, "IQ_COMPANY_STATUS")</f>
        <v>Operating</v>
      </c>
    </row>
    <row r="14" spans="1:5" x14ac:dyDescent="0.25">
      <c r="A14" t="s">
        <v>14</v>
      </c>
      <c r="E14" s="5">
        <f>_xll.ciqfunctions.udf.CIQ($B$3, "IQ_LASTSALEPRICE", $B$4)</f>
        <v>267.62</v>
      </c>
    </row>
    <row r="15" spans="1:5" x14ac:dyDescent="0.25">
      <c r="A15" t="s">
        <v>15</v>
      </c>
      <c r="E15" s="5">
        <f>_xll.ciqfunctions.udf.CIQ($B$3, "IQ_SHARESOUTSTANDING_OUT", $B$4)</f>
        <v>14681.14</v>
      </c>
    </row>
    <row r="16" spans="1:5" x14ac:dyDescent="0.25">
      <c r="A16" t="s">
        <v>16</v>
      </c>
      <c r="E16" s="5">
        <f>_xll.ciqfunctions.udf.CIQ($B$3, "IQ_DIV_SHARE", , $B$4)</f>
        <v>1.03</v>
      </c>
    </row>
    <row r="17" spans="1:5" x14ac:dyDescent="0.25">
      <c r="A17" t="s">
        <v>17</v>
      </c>
      <c r="E17" s="5">
        <f>_xll.ciqfunctions.udf.CIQ($B$3, "IQ_CASH_EQUIV", , $B$4)</f>
        <v>45317</v>
      </c>
    </row>
    <row r="18" spans="1:5" x14ac:dyDescent="0.25">
      <c r="A18" t="s">
        <v>18</v>
      </c>
      <c r="E18" s="5">
        <f>_xll.ciqfunctions.udf.CIQ($B$3, "IQ_TOTAL_DEBT_EXCL_OPER_LEASES", , $B$4)</f>
        <v>90509</v>
      </c>
    </row>
    <row r="19" spans="1:5" x14ac:dyDescent="0.25">
      <c r="A19" t="s">
        <v>19</v>
      </c>
      <c r="E19" s="5">
        <f>_xll.ciqfunctions.udf.CIQ($B$3, "IQ_MINORITY_INTEREST", , $B$4)</f>
        <v>0</v>
      </c>
    </row>
    <row r="20" spans="1:5" x14ac:dyDescent="0.25">
      <c r="A20" t="s">
        <v>20</v>
      </c>
      <c r="E20" s="5">
        <f>_xll.ciqfunctions.udf.CIQ($B$3, "IQ_EQUITY_METHOD", , $B$4)</f>
        <v>0</v>
      </c>
    </row>
    <row r="21" spans="1:5" x14ac:dyDescent="0.25">
      <c r="A21" t="s">
        <v>21</v>
      </c>
      <c r="E21" s="7">
        <v>0.27</v>
      </c>
    </row>
    <row r="22" spans="1:5" x14ac:dyDescent="0.25">
      <c r="A22" t="s">
        <v>29</v>
      </c>
      <c r="E22" s="5">
        <f>E14*E15</f>
        <v>3928966.6867999998</v>
      </c>
    </row>
    <row r="23" spans="1:5" x14ac:dyDescent="0.25">
      <c r="A23" t="s">
        <v>30</v>
      </c>
      <c r="E23" s="5">
        <f>E18-E17</f>
        <v>45192</v>
      </c>
    </row>
    <row r="24" spans="1:5" x14ac:dyDescent="0.25">
      <c r="A24" t="s">
        <v>31</v>
      </c>
      <c r="E24" s="5">
        <f>E22+E23+E19-E20</f>
        <v>3974158.6867999998</v>
      </c>
    </row>
    <row r="27" spans="1:5" x14ac:dyDescent="0.25">
      <c r="A27" t="s">
        <v>22</v>
      </c>
      <c r="B27" s="5" t="e">
        <f ca="1">_xlfn.SINGLE(IQ_TOTAL_REV(fetcher_ticker,_xlfn.SINGLE(IQ_FY)-3,IQ_USD))</f>
        <v>#NAME?</v>
      </c>
      <c r="C27" s="5" t="e">
        <f ca="1">_xlfn.SINGLE(IQ_TOTAL_REV(fetcher_ticker,_xlfn.SINGLE(IQ_FY)-2,IQ_USD))</f>
        <v>#NAME?</v>
      </c>
      <c r="D27" s="5" t="e">
        <f ca="1">_xlfn.SINGLE(IQ_TOTAL_REV(fetcher_ticker,_xlfn.SINGLE(IQ_FY)-1,IQ_USD))</f>
        <v>#NAME?</v>
      </c>
    </row>
    <row r="28" spans="1:5" x14ac:dyDescent="0.25">
      <c r="A28" t="s">
        <v>23</v>
      </c>
      <c r="B28" s="5" t="e">
        <f ca="1">_xlfn.SINGLE(IQ_COGS(fetcher_ticker,_xlfn.SINGLE(IQ_FY)-3,IQ_USD))</f>
        <v>#NAME?</v>
      </c>
      <c r="C28" s="5" t="e">
        <f ca="1">_xlfn.SINGLE(IQ_COGS(fetcher_ticker,_xlfn.SINGLE(IQ_FY)-2,IQ_USD))</f>
        <v>#NAME?</v>
      </c>
      <c r="D28" s="5" t="e">
        <f ca="1">_xlfn.SINGLE(IQ_COGS(fetcher_ticker,_xlfn.SINGLE(IQ_FY)-1,IQ_USD))</f>
        <v>#NAME?</v>
      </c>
    </row>
    <row r="29" spans="1:5" x14ac:dyDescent="0.25">
      <c r="A29" t="s">
        <v>24</v>
      </c>
      <c r="B29" s="5" t="e">
        <f ca="1">_xlfn.SINGLE(IQ_GP(fetcher_ticker,_xlfn.SINGLE(IQ_FY)-3,IQ_USD))</f>
        <v>#NAME?</v>
      </c>
      <c r="C29" s="5" t="e">
        <f ca="1">_xlfn.SINGLE(IQ_GP(fetcher_ticker,_xlfn.SINGLE(IQ_FY)-2,IQ_USD))</f>
        <v>#NAME?</v>
      </c>
      <c r="D29" s="5" t="e">
        <f ca="1">_xlfn.SINGLE(IQ_GP(fetcher_ticker,_xlfn.SINGLE(IQ_FY)-1,IQ_USD))</f>
        <v>#NAME?</v>
      </c>
    </row>
    <row r="30" spans="1:5" x14ac:dyDescent="0.25">
      <c r="A30" t="s">
        <v>32</v>
      </c>
      <c r="B30" s="5" t="e">
        <f ca="1">_xlfn.SINGLE(IQ_GP(fetcher_ticker,_xlfn.SINGLE(IQ_FY)-3,IQ_USD))</f>
        <v>#NAME?</v>
      </c>
      <c r="C30" s="5" t="e">
        <f ca="1">_xlfn.SINGLE(IQ_GP(fetcher_ticker,_xlfn.SINGLE(IQ_FY)-2,IQ_USD))</f>
        <v>#NAME?</v>
      </c>
      <c r="D30" s="5" t="e">
        <f ca="1">_xlfn.SINGLE(IQ_GP(fetcher_ticker,_xlfn.SINGLE(IQ_FY)-1,IQ_USD))</f>
        <v>#NAME?</v>
      </c>
    </row>
    <row r="31" spans="1:5" x14ac:dyDescent="0.25">
      <c r="A31" t="s">
        <v>25</v>
      </c>
      <c r="B31" s="5" t="e">
        <f ca="1">_xlfn.SINGLE(IQ_DA_SUPPL(fetcher_ticker,_xlfn.SINGLE(IQ_FY)-3,IQ_USD))</f>
        <v>#NAME?</v>
      </c>
      <c r="C31" s="5" t="e">
        <f ca="1">_xlfn.SINGLE(IQ_DA_SUPPL(fetcher_ticker,_xlfn.SINGLE(IQ_FY)-2,IQ_USD))</f>
        <v>#NAME?</v>
      </c>
      <c r="D31" s="5" t="e">
        <f ca="1">_xlfn.SINGLE(IQ_DA_SUPPL(fetcher_ticker,_xlfn.SINGLE(IQ_FY)-1,IQ_USD))</f>
        <v>#NAME?</v>
      </c>
    </row>
    <row r="32" spans="1:5" x14ac:dyDescent="0.25">
      <c r="A32" t="s">
        <v>26</v>
      </c>
      <c r="B32" s="5" t="e">
        <f ca="1">_xlfn.SINGLE(IQ_EBITDA(fetcher_ticker,_xlfn.SINGLE(IQ_FY)-3,IQ_USD))</f>
        <v>#NAME?</v>
      </c>
      <c r="C32" s="5" t="e">
        <f ca="1">_xlfn.SINGLE(IQ_EBITDA(fetcher_ticker,_xlfn.SINGLE(IQ_FY)-2,IQ_USD))</f>
        <v>#NAME?</v>
      </c>
      <c r="D32" s="5" t="e">
        <f ca="1">_xlfn.SINGLE(IQ_EBITDA(fetcher_ticker,_xlfn.SINGLE(IQ_FY)-1,IQ_USD))</f>
        <v>#NAME?</v>
      </c>
    </row>
    <row r="33" spans="1:4" x14ac:dyDescent="0.25">
      <c r="A33" t="s">
        <v>27</v>
      </c>
      <c r="B33" s="5" t="e">
        <f ca="1">_xlfn.SINGLE(IQ_EBIT(fetcher_ticker,_xlfn.SINGLE(IQ_FY)-3,IQ_USD))</f>
        <v>#NAME?</v>
      </c>
      <c r="C33" s="5" t="e">
        <f ca="1">_xlfn.SINGLE(IQ_EBIT(fetcher_ticker,_xlfn.SINGLE(IQ_FY)-2,IQ_USD))</f>
        <v>#NAME?</v>
      </c>
      <c r="D33" s="5" t="e">
        <f ca="1">_xlfn.SINGLE(IQ_EBIT(fetcher_ticker,_xlfn.SINGLE(IQ_FY)-1,IQ_USD))</f>
        <v>#NAME?</v>
      </c>
    </row>
    <row r="34" spans="1:4" x14ac:dyDescent="0.25">
      <c r="A34" t="s">
        <v>33</v>
      </c>
      <c r="B34" s="5" t="e">
        <f ca="1">_xlfn.SINGLE(IQ_CAPEX(fetcher_ticker,_xlfn.SINGLE(IQ_FY)-3,IQ_USD))</f>
        <v>#NAME?</v>
      </c>
      <c r="C34" s="5" t="e">
        <f ca="1">_xlfn.SINGLE(IQ_CAPEX(fetcher_ticker,_xlfn.SINGLE(IQ_FY)-2,IQ_USD))</f>
        <v>#NAME?</v>
      </c>
      <c r="D34" s="5" t="e">
        <f ca="1">_xlfn.SINGLE(IQ_CAPEX(fetcher_ticker,_xlfn.SINGLE(IQ_FY)-1,IQ_USD))</f>
        <v>#NAME?</v>
      </c>
    </row>
  </sheetData>
  <pageMargins left="0.75" right="0.75" top="1" bottom="1" header="0.5" footer="0.5"/>
  <customProperties>
    <customPr name="Gu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Fetcher</vt:lpstr>
      <vt:lpstr>date</vt:lpstr>
      <vt:lpstr>fetcher_ticker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Aubrey Ellis</cp:lastModifiedBy>
  <dcterms:created xsi:type="dcterms:W3CDTF">2026-04-27T19:54:25Z</dcterms:created>
  <dcterms:modified xsi:type="dcterms:W3CDTF">2026-04-27T21:20:12Z</dcterms:modified>
</cp:coreProperties>
</file>