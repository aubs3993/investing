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tcher" sheetId="1" state="visible" r:id="rId1"/>
  </sheets>
  <definedNames>
    <definedName name="broker_fetcher_ticker">Fetcher!$B$3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i val="1"/>
      <color rgb="00808080"/>
      <sz val="10"/>
    </font>
    <font>
      <name val="Calibri"/>
      <b val="1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dotted">
        <color rgb="000000FF"/>
      </left>
      <right style="dotted">
        <color rgb="000000FF"/>
      </right>
      <top style="dotted">
        <color rgb="000000FF"/>
      </top>
      <bottom style="dotted">
        <color rgb="000000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scaffold_broker_fetcher</author>
  </authors>
  <commentList>
    <comment ref="B3" authorId="0" shapeId="0">
      <text>
        <t>Set this to the ticker you want broker estimates for. CapIQ formulas refresh automatically when you change it (and when fetch_broker_estimates.py drives it programmatically).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Broker Estimates Fetcher — formulas only. Open in Excel with CapIQ plugin loaded to refresh.</t>
        </is>
      </c>
    </row>
    <row r="2">
      <c r="A2" s="2" t="inlineStr">
        <is>
          <t>Run via:</t>
        </is>
      </c>
      <c r="B2" t="inlineStr">
        <is>
          <t>python -m shared.fetch_broker_estimates &lt;TICKER&gt;</t>
        </is>
      </c>
    </row>
    <row r="3">
      <c r="A3" s="2" t="inlineStr">
        <is>
          <t>Ticker:</t>
        </is>
      </c>
      <c r="B3" s="3" t="inlineStr">
        <is>
          <t>AAPL</t>
        </is>
      </c>
    </row>
    <row r="4">
      <c r="A4" s="2" t="inlineStr">
        <is>
          <t>FY1 fiscal year:</t>
        </is>
      </c>
      <c r="B4" s="4">
        <f>YEAR(IQ_FY1_FYE_DATE(broker_fetcher_ticker))</f>
        <v/>
      </c>
    </row>
    <row r="5">
      <c r="A5" s="2" t="inlineStr">
        <is>
          <t>FY2 fiscal year:</t>
        </is>
      </c>
      <c r="B5" s="4">
        <f>YEAR(IQ_FY2_FYE_DATE(broker_fetcher_ticker))</f>
        <v/>
      </c>
    </row>
    <row r="6">
      <c r="A6" s="2" t="inlineStr">
        <is>
          <t>FY3 fiscal year:</t>
        </is>
      </c>
      <c r="B6" s="4">
        <f>YEAR(IQ_FY3_FYE_DATE(broker_fetcher_ticker))</f>
        <v/>
      </c>
    </row>
    <row r="8">
      <c r="A8" s="5" t="inlineStr">
        <is>
          <t>Field</t>
        </is>
      </c>
      <c r="B8" s="5" t="inlineStr">
        <is>
          <t>FY1 Mean</t>
        </is>
      </c>
      <c r="C8" s="5" t="inlineStr">
        <is>
          <t>FY2 Mean</t>
        </is>
      </c>
      <c r="D8" s="5" t="inlineStr">
        <is>
          <t>FY3 Mean</t>
        </is>
      </c>
      <c r="E8" s="5" t="inlineStr">
        <is>
          <t>FY1 High</t>
        </is>
      </c>
      <c r="F8" s="5" t="inlineStr">
        <is>
          <t>FY1 Low</t>
        </is>
      </c>
      <c r="G8" s="5" t="inlineStr">
        <is>
          <t>FY1 # Est</t>
        </is>
      </c>
    </row>
    <row r="10">
      <c r="A10" t="inlineStr">
        <is>
          <t>Revenue</t>
        </is>
      </c>
      <c r="B10" s="4">
        <f>IQ_EST_REV(broker_fetcher_ticker,IQ_FY1,IQ_USD)</f>
        <v/>
      </c>
      <c r="C10" s="4">
        <f>IQ_EST_REV(broker_fetcher_ticker,IQ_FY2,IQ_USD)</f>
        <v/>
      </c>
      <c r="D10" s="4">
        <f>IQ_EST_REV(broker_fetcher_ticker,IQ_FY3,IQ_USD)</f>
        <v/>
      </c>
      <c r="E10" s="4">
        <f>IQ_EST_REV_HIGH(broker_fetcher_ticker,IQ_FY1,IQ_USD)</f>
        <v/>
      </c>
      <c r="F10" s="4">
        <f>IQ_EST_REV_LOW(broker_fetcher_ticker,IQ_FY1,IQ_USD)</f>
        <v/>
      </c>
      <c r="G10" s="4">
        <f>IQ_EST_NUM_REV(broker_fetcher_ticker,IQ_FY1)</f>
        <v/>
      </c>
    </row>
    <row r="11">
      <c r="A11" t="inlineStr">
        <is>
          <t>Gross Profit</t>
        </is>
      </c>
      <c r="B11" s="4">
        <f>IQ_EST_GP(broker_fetcher_ticker,IQ_FY1,IQ_USD)</f>
        <v/>
      </c>
      <c r="C11" s="4">
        <f>IQ_EST_GP(broker_fetcher_ticker,IQ_FY2,IQ_USD)</f>
        <v/>
      </c>
      <c r="D11" s="4">
        <f>IQ_EST_GP(broker_fetcher_ticker,IQ_FY3,IQ_USD)</f>
        <v/>
      </c>
      <c r="E11" s="4">
        <f>IQ_EST_GP_HIGH(broker_fetcher_ticker,IQ_FY1,IQ_USD)</f>
        <v/>
      </c>
      <c r="F11" s="4">
        <f>IQ_EST_GP_LOW(broker_fetcher_ticker,IQ_FY1,IQ_USD)</f>
        <v/>
      </c>
      <c r="G11" s="4">
        <f>IQ_EST_NUM_GP(broker_fetcher_ticker,IQ_FY1)</f>
        <v/>
      </c>
    </row>
    <row r="12">
      <c r="A12" t="inlineStr">
        <is>
          <t>EBITDA</t>
        </is>
      </c>
      <c r="B12" s="4">
        <f>IQ_EST_EBITDA(broker_fetcher_ticker,IQ_FY1,IQ_USD)</f>
        <v/>
      </c>
      <c r="C12" s="4">
        <f>IQ_EST_EBITDA(broker_fetcher_ticker,IQ_FY2,IQ_USD)</f>
        <v/>
      </c>
      <c r="D12" s="4">
        <f>IQ_EST_EBITDA(broker_fetcher_ticker,IQ_FY3,IQ_USD)</f>
        <v/>
      </c>
      <c r="E12" s="4">
        <f>IQ_EST_EBITDA_HIGH(broker_fetcher_ticker,IQ_FY1,IQ_USD)</f>
        <v/>
      </c>
      <c r="F12" s="4">
        <f>IQ_EST_EBITDA_LOW(broker_fetcher_ticker,IQ_FY1,IQ_USD)</f>
        <v/>
      </c>
      <c r="G12" s="4">
        <f>IQ_EST_NUM_EBITDA(broker_fetcher_ticker,IQ_FY1)</f>
        <v/>
      </c>
    </row>
    <row r="13">
      <c r="A13" t="inlineStr">
        <is>
          <t>EBIT</t>
        </is>
      </c>
      <c r="B13" s="4">
        <f>IQ_EST_EBIT(broker_fetcher_ticker,IQ_FY1,IQ_USD)</f>
        <v/>
      </c>
      <c r="C13" s="4">
        <f>IQ_EST_EBIT(broker_fetcher_ticker,IQ_FY2,IQ_USD)</f>
        <v/>
      </c>
      <c r="D13" s="4">
        <f>IQ_EST_EBIT(broker_fetcher_ticker,IQ_FY3,IQ_USD)</f>
        <v/>
      </c>
      <c r="E13" s="4">
        <f>IQ_EST_EBIT_HIGH(broker_fetcher_ticker,IQ_FY1,IQ_USD)</f>
        <v/>
      </c>
      <c r="F13" s="4">
        <f>IQ_EST_EBIT_LOW(broker_fetcher_ticker,IQ_FY1,IQ_USD)</f>
        <v/>
      </c>
      <c r="G13" s="4">
        <f>IQ_EST_NUM_EBIT(broker_fetcher_ticker,IQ_FY1)</f>
        <v/>
      </c>
    </row>
    <row r="14">
      <c r="A14" t="inlineStr">
        <is>
          <t>Net Income</t>
        </is>
      </c>
      <c r="B14" s="4">
        <f>IQ_EST_NI(broker_fetcher_ticker,IQ_FY1,IQ_USD)</f>
        <v/>
      </c>
      <c r="C14" s="4">
        <f>IQ_EST_NI(broker_fetcher_ticker,IQ_FY2,IQ_USD)</f>
        <v/>
      </c>
      <c r="D14" s="4">
        <f>IQ_EST_NI(broker_fetcher_ticker,IQ_FY3,IQ_USD)</f>
        <v/>
      </c>
      <c r="E14" s="4">
        <f>IQ_EST_NI_HIGH(broker_fetcher_ticker,IQ_FY1,IQ_USD)</f>
        <v/>
      </c>
      <c r="F14" s="4">
        <f>IQ_EST_NI_LOW(broker_fetcher_ticker,IQ_FY1,IQ_USD)</f>
        <v/>
      </c>
      <c r="G14" s="4">
        <f>IQ_EST_NUM_NI(broker_fetcher_ticker,IQ_FY1)</f>
        <v/>
      </c>
    </row>
    <row r="15">
      <c r="A15" t="inlineStr">
        <is>
          <t>EPS (Diluted)</t>
        </is>
      </c>
      <c r="B15" s="4">
        <f>IQ_EST_EPS(broker_fetcher_ticker,IQ_FY1)</f>
        <v/>
      </c>
      <c r="C15" s="4">
        <f>IQ_EST_EPS(broker_fetcher_ticker,IQ_FY2)</f>
        <v/>
      </c>
      <c r="D15" s="4">
        <f>IQ_EST_EPS(broker_fetcher_ticker,IQ_FY3)</f>
        <v/>
      </c>
      <c r="E15" s="4">
        <f>IQ_EST_EPS_HIGH(broker_fetcher_ticker,IQ_FY1)</f>
        <v/>
      </c>
      <c r="F15" s="4">
        <f>IQ_EST_EPS_LOW(broker_fetcher_ticker,IQ_FY1)</f>
        <v/>
      </c>
      <c r="G15" s="4">
        <f>IQ_EST_NUM_EPS(broker_fetcher_ticker,IQ_FY1)</f>
        <v/>
      </c>
    </row>
    <row r="16">
      <c r="A16" t="inlineStr">
        <is>
          <t>CFO</t>
        </is>
      </c>
      <c r="B16" s="4">
        <f>IQ_EST_CFO(broker_fetcher_ticker,IQ_FY1,IQ_USD)</f>
        <v/>
      </c>
      <c r="C16" s="4">
        <f>IQ_EST_CFO(broker_fetcher_ticker,IQ_FY2,IQ_USD)</f>
        <v/>
      </c>
      <c r="D16" s="4">
        <f>IQ_EST_CFO(broker_fetcher_ticker,IQ_FY3,IQ_USD)</f>
        <v/>
      </c>
      <c r="E16" s="4">
        <f>IQ_EST_CFO_HIGH(broker_fetcher_ticker,IQ_FY1,IQ_USD)</f>
        <v/>
      </c>
      <c r="F16" s="4">
        <f>IQ_EST_CFO_LOW(broker_fetcher_ticker,IQ_FY1,IQ_USD)</f>
        <v/>
      </c>
      <c r="G16" s="4">
        <f>IQ_EST_NUM_CFO(broker_fetcher_ticker,IQ_FY1)</f>
        <v/>
      </c>
    </row>
    <row r="17">
      <c r="A17" t="inlineStr">
        <is>
          <t>CapEx</t>
        </is>
      </c>
      <c r="B17" s="4">
        <f>IQ_EST_CAPEX(broker_fetcher_ticker,IQ_FY1,IQ_USD)</f>
        <v/>
      </c>
      <c r="C17" s="4">
        <f>IQ_EST_CAPEX(broker_fetcher_ticker,IQ_FY2,IQ_USD)</f>
        <v/>
      </c>
      <c r="D17" s="4">
        <f>IQ_EST_CAPEX(broker_fetcher_ticker,IQ_FY3,IQ_USD)</f>
        <v/>
      </c>
      <c r="E17" s="4">
        <f>IQ_EST_CAPEX_HIGH(broker_fetcher_ticker,IQ_FY1,IQ_USD)</f>
        <v/>
      </c>
      <c r="F17" s="4">
        <f>IQ_EST_CAPEX_LOW(broker_fetcher_ticker,IQ_FY1,IQ_USD)</f>
        <v/>
      </c>
      <c r="G17" s="4">
        <f>IQ_EST_NUM_CAPEX(broker_fetcher_ticker,IQ_FY1)</f>
        <v/>
      </c>
    </row>
    <row r="20">
      <c r="A20" t="inlineStr">
        <is>
          <t>Revenue Growth FY1 %</t>
        </is>
      </c>
    </row>
    <row r="21">
      <c r="A21" t="inlineStr">
        <is>
          <t>Revenue Growth FY2 %</t>
        </is>
      </c>
    </row>
    <row r="22">
      <c r="A22" t="inlineStr">
        <is>
          <t>Revenue Growth FY3 %</t>
        </is>
      </c>
    </row>
    <row r="23">
      <c r="A23" t="inlineStr">
        <is>
          <t>Gross Margin FY1 %</t>
        </is>
      </c>
    </row>
    <row r="24">
      <c r="A24" t="inlineStr">
        <is>
          <t>EBITDA Margin FY1 %</t>
        </is>
      </c>
    </row>
    <row r="25">
      <c r="A25" t="inlineStr">
        <is>
          <t>EBIT Margin FY1 %</t>
        </is>
      </c>
    </row>
    <row r="28">
      <c r="A28" t="inlineStr">
        <is>
          <t>Number of Analysts Covering</t>
        </is>
      </c>
      <c r="B28" s="4">
        <f>IQ_EST_NUM_REV(broker_fetcher_ticker,IQ_FY1)</f>
        <v/>
      </c>
    </row>
    <row r="29">
      <c r="A29" t="inlineStr">
        <is>
          <t>Average Price Target</t>
        </is>
      </c>
      <c r="B29" s="4">
        <f>IQ_PRICETARGET_AVG(broker_fetcher_ticker)</f>
        <v/>
      </c>
    </row>
    <row r="30">
      <c r="A30" t="inlineStr">
        <is>
          <t>Implied Upside %</t>
        </is>
      </c>
    </row>
    <row r="31">
      <c r="A31" t="inlineStr">
        <is>
          <t>Average Recommendation (1=Buy,5=Sell)</t>
        </is>
      </c>
      <c r="B31" s="4">
        <f>IQ_RECOMMENDATION_AVG(broker_fetcher_ticker)</f>
        <v/>
      </c>
    </row>
    <row r="32">
      <c r="A32" t="inlineStr">
        <is>
          <t>Recommendation Distribution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2026-04-27T20:26:02Z</dcterms:created>
  <dcterms:modified xsi:type="dcterms:W3CDTF">2026-04-27T20:26:02Z</dcterms:modified>
</cp:coreProperties>
</file>