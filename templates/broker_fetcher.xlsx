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tcher" sheetId="1" state="visible" r:id="rId1"/>
  </sheets>
  <definedNames>
    <definedName name="broker_fetcher_ticker">Fetcher!$C$6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b val="1"/>
      <i val="1"/>
      <color rgb="00808080"/>
      <sz val="10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0070C0"/>
      </patternFill>
    </fill>
  </fills>
  <borders count="2">
    <border>
      <left/>
      <right/>
      <top/>
      <bottom/>
      <diagonal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scaffold_broker_fetcher</author>
  </authors>
  <commentList>
    <comment ref="C6" authorId="0" shapeId="0">
      <text>
        <t>Set this to the ticker you want broker estimates for. CapIQ formulas refresh automatically when you change it (and when fetch_broker_estimates.py drives it programmatically).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5"/>
  <sheetViews>
    <sheetView showGridLines="0" workbookViewId="0">
      <selection activeCell="A1" sqref="A1"/>
    </sheetView>
  </sheetViews>
  <sheetFormatPr baseColWidth="8" defaultRowHeight="15"/>
  <cols>
    <col width="2.71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2">
      <c r="B2" s="1">
        <f>broker_fetcher_ticker&amp;" | Broker Estimates Fetcher"</f>
        <v/>
      </c>
    </row>
    <row r="4">
      <c r="B4" s="2" t="inlineStr">
        <is>
          <t>Broker Estimates Fetcher — formulas only. Open in Excel with CapIQ plugin loaded to refresh.</t>
        </is>
      </c>
    </row>
    <row r="5">
      <c r="B5" s="1" t="inlineStr">
        <is>
          <t>Run via:</t>
        </is>
      </c>
      <c r="C5" s="3" t="inlineStr">
        <is>
          <t>python -m shared.fetch_broker_estimates &lt;TICKER&gt;</t>
        </is>
      </c>
    </row>
    <row r="6">
      <c r="B6" s="1" t="inlineStr">
        <is>
          <t>Ticker:</t>
        </is>
      </c>
      <c r="C6" s="4" t="inlineStr">
        <is>
          <t>AAPL</t>
        </is>
      </c>
    </row>
    <row r="7">
      <c r="B7" s="1" t="inlineStr">
        <is>
          <t>FY1 fiscal year:</t>
        </is>
      </c>
      <c r="C7" s="5">
        <f>YEAR(IQ_FY1_FYE_DATE(broker_fetcher_ticker))</f>
        <v/>
      </c>
    </row>
    <row r="8">
      <c r="B8" s="1" t="inlineStr">
        <is>
          <t>FY2 fiscal year:</t>
        </is>
      </c>
      <c r="C8" s="5">
        <f>YEAR(IQ_FY2_FYE_DATE(broker_fetcher_ticker))</f>
        <v/>
      </c>
    </row>
    <row r="9">
      <c r="B9" s="1" t="inlineStr">
        <is>
          <t>FY3 fiscal year:</t>
        </is>
      </c>
      <c r="C9" s="5">
        <f>YEAR(IQ_FY3_FYE_DATE(broker_fetcher_ticker))</f>
        <v/>
      </c>
    </row>
    <row r="11">
      <c r="B11" s="6" t="inlineStr">
        <is>
          <t>Field</t>
        </is>
      </c>
      <c r="C11" s="6" t="inlineStr">
        <is>
          <t>FY1 Mean</t>
        </is>
      </c>
      <c r="D11" s="6" t="inlineStr">
        <is>
          <t>FY2 Mean</t>
        </is>
      </c>
      <c r="E11" s="6" t="inlineStr">
        <is>
          <t>FY3 Mean</t>
        </is>
      </c>
      <c r="F11" s="6" t="inlineStr">
        <is>
          <t>FY1 High</t>
        </is>
      </c>
      <c r="G11" s="6" t="inlineStr">
        <is>
          <t>FY1 Low</t>
        </is>
      </c>
      <c r="H11" s="6" t="inlineStr">
        <is>
          <t>FY1 # Est</t>
        </is>
      </c>
    </row>
    <row r="13">
      <c r="B13" s="3" t="inlineStr">
        <is>
          <t>Revenue</t>
        </is>
      </c>
      <c r="C13" s="5">
        <f>IQ_EST_REV(broker_fetcher_ticker,IQ_FY1,IQ_USD)</f>
        <v/>
      </c>
      <c r="D13" s="5">
        <f>IQ_EST_REV(broker_fetcher_ticker,IQ_FY2,IQ_USD)</f>
        <v/>
      </c>
      <c r="E13" s="5">
        <f>IQ_EST_REV(broker_fetcher_ticker,IQ_FY3,IQ_USD)</f>
        <v/>
      </c>
      <c r="F13" s="5">
        <f>IQ_EST_REV_HIGH(broker_fetcher_ticker,IQ_FY1,IQ_USD)</f>
        <v/>
      </c>
      <c r="G13" s="5">
        <f>IQ_EST_REV_LOW(broker_fetcher_ticker,IQ_FY1,IQ_USD)</f>
        <v/>
      </c>
      <c r="H13" s="5">
        <f>IQ_EST_NUM_REV(broker_fetcher_ticker,IQ_FY1)</f>
        <v/>
      </c>
    </row>
    <row r="14">
      <c r="B14" s="3" t="inlineStr">
        <is>
          <t>Gross Profit</t>
        </is>
      </c>
      <c r="C14" s="5">
        <f>IQ_EST_GP(broker_fetcher_ticker,IQ_FY1,IQ_USD)</f>
        <v/>
      </c>
      <c r="D14" s="5">
        <f>IQ_EST_GP(broker_fetcher_ticker,IQ_FY2,IQ_USD)</f>
        <v/>
      </c>
      <c r="E14" s="5">
        <f>IQ_EST_GP(broker_fetcher_ticker,IQ_FY3,IQ_USD)</f>
        <v/>
      </c>
      <c r="F14" s="5">
        <f>IQ_EST_GP_HIGH(broker_fetcher_ticker,IQ_FY1,IQ_USD)</f>
        <v/>
      </c>
      <c r="G14" s="5">
        <f>IQ_EST_GP_LOW(broker_fetcher_ticker,IQ_FY1,IQ_USD)</f>
        <v/>
      </c>
      <c r="H14" s="5">
        <f>IQ_EST_NUM_GP(broker_fetcher_ticker,IQ_FY1)</f>
        <v/>
      </c>
    </row>
    <row r="15">
      <c r="B15" s="3" t="inlineStr">
        <is>
          <t>EBITDA</t>
        </is>
      </c>
      <c r="C15" s="5">
        <f>IQ_EST_EBITDA(broker_fetcher_ticker,IQ_FY1,IQ_USD)</f>
        <v/>
      </c>
      <c r="D15" s="5">
        <f>IQ_EST_EBITDA(broker_fetcher_ticker,IQ_FY2,IQ_USD)</f>
        <v/>
      </c>
      <c r="E15" s="5">
        <f>IQ_EST_EBITDA(broker_fetcher_ticker,IQ_FY3,IQ_USD)</f>
        <v/>
      </c>
      <c r="F15" s="5">
        <f>IQ_EST_EBITDA_HIGH(broker_fetcher_ticker,IQ_FY1,IQ_USD)</f>
        <v/>
      </c>
      <c r="G15" s="5">
        <f>IQ_EST_EBITDA_LOW(broker_fetcher_ticker,IQ_FY1,IQ_USD)</f>
        <v/>
      </c>
      <c r="H15" s="5">
        <f>IQ_EST_NUM_EBITDA(broker_fetcher_ticker,IQ_FY1)</f>
        <v/>
      </c>
    </row>
    <row r="16">
      <c r="B16" s="3" t="inlineStr">
        <is>
          <t>EBIT</t>
        </is>
      </c>
      <c r="C16" s="5">
        <f>IQ_EST_EBIT(broker_fetcher_ticker,IQ_FY1,IQ_USD)</f>
        <v/>
      </c>
      <c r="D16" s="5">
        <f>IQ_EST_EBIT(broker_fetcher_ticker,IQ_FY2,IQ_USD)</f>
        <v/>
      </c>
      <c r="E16" s="5">
        <f>IQ_EST_EBIT(broker_fetcher_ticker,IQ_FY3,IQ_USD)</f>
        <v/>
      </c>
      <c r="F16" s="5">
        <f>IQ_EST_EBIT_HIGH(broker_fetcher_ticker,IQ_FY1,IQ_USD)</f>
        <v/>
      </c>
      <c r="G16" s="5">
        <f>IQ_EST_EBIT_LOW(broker_fetcher_ticker,IQ_FY1,IQ_USD)</f>
        <v/>
      </c>
      <c r="H16" s="5">
        <f>IQ_EST_NUM_EBIT(broker_fetcher_ticker,IQ_FY1)</f>
        <v/>
      </c>
    </row>
    <row r="17">
      <c r="B17" s="3" t="inlineStr">
        <is>
          <t>Net Income</t>
        </is>
      </c>
      <c r="C17" s="5">
        <f>IQ_EST_NI(broker_fetcher_ticker,IQ_FY1,IQ_USD)</f>
        <v/>
      </c>
      <c r="D17" s="5">
        <f>IQ_EST_NI(broker_fetcher_ticker,IQ_FY2,IQ_USD)</f>
        <v/>
      </c>
      <c r="E17" s="5">
        <f>IQ_EST_NI(broker_fetcher_ticker,IQ_FY3,IQ_USD)</f>
        <v/>
      </c>
      <c r="F17" s="5">
        <f>IQ_EST_NI_HIGH(broker_fetcher_ticker,IQ_FY1,IQ_USD)</f>
        <v/>
      </c>
      <c r="G17" s="5">
        <f>IQ_EST_NI_LOW(broker_fetcher_ticker,IQ_FY1,IQ_USD)</f>
        <v/>
      </c>
      <c r="H17" s="5">
        <f>IQ_EST_NUM_NI(broker_fetcher_ticker,IQ_FY1)</f>
        <v/>
      </c>
    </row>
    <row r="18">
      <c r="B18" s="3" t="inlineStr">
        <is>
          <t>EPS (Diluted)</t>
        </is>
      </c>
      <c r="C18" s="5">
        <f>IQ_EST_EPS(broker_fetcher_ticker,IQ_FY1)</f>
        <v/>
      </c>
      <c r="D18" s="5">
        <f>IQ_EST_EPS(broker_fetcher_ticker,IQ_FY2)</f>
        <v/>
      </c>
      <c r="E18" s="5">
        <f>IQ_EST_EPS(broker_fetcher_ticker,IQ_FY3)</f>
        <v/>
      </c>
      <c r="F18" s="5">
        <f>IQ_EST_EPS_HIGH(broker_fetcher_ticker,IQ_FY1)</f>
        <v/>
      </c>
      <c r="G18" s="5">
        <f>IQ_EST_EPS_LOW(broker_fetcher_ticker,IQ_FY1)</f>
        <v/>
      </c>
      <c r="H18" s="5">
        <f>IQ_EST_NUM_EPS(broker_fetcher_ticker,IQ_FY1)</f>
        <v/>
      </c>
    </row>
    <row r="19">
      <c r="B19" s="3" t="inlineStr">
        <is>
          <t>CFO</t>
        </is>
      </c>
      <c r="C19" s="5">
        <f>IQ_EST_CFO(broker_fetcher_ticker,IQ_FY1,IQ_USD)</f>
        <v/>
      </c>
      <c r="D19" s="5">
        <f>IQ_EST_CFO(broker_fetcher_ticker,IQ_FY2,IQ_USD)</f>
        <v/>
      </c>
      <c r="E19" s="5">
        <f>IQ_EST_CFO(broker_fetcher_ticker,IQ_FY3,IQ_USD)</f>
        <v/>
      </c>
      <c r="F19" s="5">
        <f>IQ_EST_CFO_HIGH(broker_fetcher_ticker,IQ_FY1,IQ_USD)</f>
        <v/>
      </c>
      <c r="G19" s="5">
        <f>IQ_EST_CFO_LOW(broker_fetcher_ticker,IQ_FY1,IQ_USD)</f>
        <v/>
      </c>
      <c r="H19" s="5">
        <f>IQ_EST_NUM_CFO(broker_fetcher_ticker,IQ_FY1)</f>
        <v/>
      </c>
    </row>
    <row r="20">
      <c r="B20" s="3" t="inlineStr">
        <is>
          <t>CapEx</t>
        </is>
      </c>
      <c r="C20" s="5">
        <f>IQ_EST_CAPEX(broker_fetcher_ticker,IQ_FY1,IQ_USD)</f>
        <v/>
      </c>
      <c r="D20" s="5">
        <f>IQ_EST_CAPEX(broker_fetcher_ticker,IQ_FY2,IQ_USD)</f>
        <v/>
      </c>
      <c r="E20" s="5">
        <f>IQ_EST_CAPEX(broker_fetcher_ticker,IQ_FY3,IQ_USD)</f>
        <v/>
      </c>
      <c r="F20" s="5">
        <f>IQ_EST_CAPEX_HIGH(broker_fetcher_ticker,IQ_FY1,IQ_USD)</f>
        <v/>
      </c>
      <c r="G20" s="5">
        <f>IQ_EST_CAPEX_LOW(broker_fetcher_ticker,IQ_FY1,IQ_USD)</f>
        <v/>
      </c>
      <c r="H20" s="5">
        <f>IQ_EST_NUM_CAPEX(broker_fetcher_ticker,IQ_FY1)</f>
        <v/>
      </c>
    </row>
    <row r="23">
      <c r="B23" s="3" t="inlineStr">
        <is>
          <t>Revenue Growth FY1 %</t>
        </is>
      </c>
    </row>
    <row r="24">
      <c r="B24" s="3" t="inlineStr">
        <is>
          <t>Revenue Growth FY2 %</t>
        </is>
      </c>
    </row>
    <row r="25">
      <c r="B25" s="3" t="inlineStr">
        <is>
          <t>Revenue Growth FY3 %</t>
        </is>
      </c>
    </row>
    <row r="26">
      <c r="B26" s="3" t="inlineStr">
        <is>
          <t>Gross Margin FY1 %</t>
        </is>
      </c>
    </row>
    <row r="27">
      <c r="B27" s="3" t="inlineStr">
        <is>
          <t>EBITDA Margin FY1 %</t>
        </is>
      </c>
    </row>
    <row r="28">
      <c r="B28" s="3" t="inlineStr">
        <is>
          <t>EBIT Margin FY1 %</t>
        </is>
      </c>
    </row>
    <row r="31">
      <c r="B31" s="3" t="inlineStr">
        <is>
          <t>Number of Analysts Covering</t>
        </is>
      </c>
      <c r="C31" s="5">
        <f>IQ_EST_NUM_REV(broker_fetcher_ticker,IQ_FY1)</f>
        <v/>
      </c>
    </row>
    <row r="32">
      <c r="B32" s="3" t="inlineStr">
        <is>
          <t>Average Price Target</t>
        </is>
      </c>
      <c r="C32" s="5">
        <f>IQ_PRICETARGET_AVG(broker_fetcher_ticker)</f>
        <v/>
      </c>
    </row>
    <row r="33">
      <c r="B33" s="3" t="inlineStr">
        <is>
          <t>Implied Upside %</t>
        </is>
      </c>
    </row>
    <row r="34">
      <c r="B34" s="3" t="inlineStr">
        <is>
          <t>Average Recommendation (1=Buy,5=Sell)</t>
        </is>
      </c>
      <c r="C34" s="5">
        <f>IQ_RECOMMENDATION_AVG(broker_fetcher_ticker)</f>
        <v/>
      </c>
    </row>
    <row r="35">
      <c r="B35" s="3" t="inlineStr">
        <is>
          <t>Recommendation Distribution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2026-04-29T02:14:54Z</dcterms:created>
  <dcterms:modified xsi:type="dcterms:W3CDTF">2026-04-29T02:14:54Z</dcterms:modified>
</cp:coreProperties>
</file>